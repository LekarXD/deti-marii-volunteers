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водка и аналитика" sheetId="1" state="visible" r:id="rId1"/>
    <sheet name="База мероприятий"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11">
    <font>
      <name val="Calibri"/>
      <family val="2"/>
      <color theme="1"/>
      <sz val="11"/>
      <scheme val="minor"/>
    </font>
    <font>
      <name val="Calibri"/>
      <b val="1"/>
      <color rgb="00FFFFFF"/>
      <sz val="16"/>
    </font>
    <font>
      <name val="Calibri"/>
      <i val="1"/>
      <color rgb="00D6EAF8"/>
      <sz val="10"/>
    </font>
    <font>
      <name val="Calibri"/>
      <b val="1"/>
      <color rgb="00FFFFFF"/>
      <sz val="9"/>
    </font>
    <font>
      <name val="Calibri"/>
      <b val="1"/>
      <color rgb="001B4F72"/>
      <sz val="15"/>
    </font>
    <font>
      <name val="Calibri"/>
      <color rgb="00566573"/>
      <sz val="9"/>
    </font>
    <font>
      <name val="Calibri"/>
      <b val="1"/>
      <color rgb="001B4F72"/>
      <sz val="12"/>
    </font>
    <font>
      <name val="Calibri"/>
      <b val="1"/>
      <color rgb="00FFFFFF"/>
      <sz val="10"/>
    </font>
    <font>
      <name val="Calibri"/>
      <color rgb="001C2833"/>
      <sz val="10"/>
    </font>
    <font>
      <name val="Calibri"/>
      <color rgb="001155CC"/>
      <sz val="10"/>
      <u val="single"/>
    </font>
    <font>
      <name val="Calibri"/>
      <b val="1"/>
      <color rgb="001C2833"/>
      <sz val="10"/>
    </font>
  </fonts>
  <fills count="6">
    <fill>
      <patternFill/>
    </fill>
    <fill>
      <patternFill patternType="gray125"/>
    </fill>
    <fill>
      <patternFill patternType="solid">
        <fgColor rgb="001B4F72"/>
        <bgColor rgb="001B4F72"/>
      </patternFill>
    </fill>
    <fill>
      <patternFill patternType="solid">
        <fgColor rgb="002E86C1"/>
        <bgColor rgb="002E86C1"/>
      </patternFill>
    </fill>
    <fill>
      <patternFill patternType="solid">
        <fgColor rgb="00EBF5FB"/>
        <bgColor rgb="00EBF5FB"/>
      </patternFill>
    </fill>
    <fill>
      <patternFill patternType="solid">
        <fgColor rgb="00F8F9F9"/>
        <bgColor rgb="00F8F9F9"/>
      </patternFill>
    </fill>
  </fills>
  <borders count="3">
    <border>
      <left/>
      <right/>
      <top/>
      <bottom/>
      <diagonal/>
    </border>
    <border>
      <left style="thin">
        <color rgb="00D5D8DC"/>
      </left>
      <right style="thin">
        <color rgb="00D5D8DC"/>
      </right>
      <top style="thin">
        <color rgb="00D5D8DC"/>
      </top>
      <bottom style="thin">
        <color rgb="00D5D8DC"/>
      </bottom>
    </border>
    <border>
      <left style="thin">
        <color rgb="00D5D8DC"/>
      </left>
      <right style="thin">
        <color rgb="00D5D8DC"/>
      </right>
      <top style="thin">
        <color rgb="001B4F72"/>
      </top>
      <bottom style="double">
        <color rgb="001B4F72"/>
      </bottom>
    </border>
  </borders>
  <cellStyleXfs count="1">
    <xf numFmtId="0" fontId="0" fillId="0" borderId="0"/>
  </cellStyleXfs>
  <cellXfs count="33">
    <xf numFmtId="0" fontId="0" fillId="0" borderId="0" pivotButton="0" quotePrefix="0" xfId="0"/>
    <xf numFmtId="0" fontId="1" fillId="2" borderId="0" applyAlignment="1" pivotButton="0" quotePrefix="0" xfId="0">
      <alignment horizontal="left" vertical="center" indent="1"/>
    </xf>
    <xf numFmtId="0" fontId="2" fillId="2" borderId="0" applyAlignment="1" pivotButton="0" quotePrefix="0" xfId="0">
      <alignment horizontal="left" vertical="center" indent="1"/>
    </xf>
    <xf numFmtId="0" fontId="3" fillId="3" borderId="1" applyAlignment="1" pivotButton="0" quotePrefix="0" xfId="0">
      <alignment horizontal="center" vertical="center"/>
    </xf>
    <xf numFmtId="3" fontId="4" fillId="4" borderId="1" applyAlignment="1" pivotButton="0" quotePrefix="0" xfId="0">
      <alignment horizontal="center" vertical="center"/>
    </xf>
    <xf numFmtId="0" fontId="4" fillId="4" borderId="1" applyAlignment="1" pivotButton="0" quotePrefix="0" xfId="0">
      <alignment horizontal="center" vertical="center"/>
    </xf>
    <xf numFmtId="164" fontId="4" fillId="4" borderId="1" applyAlignment="1" pivotButton="0" quotePrefix="0" xfId="0">
      <alignment horizontal="center" vertical="center"/>
    </xf>
    <xf numFmtId="0" fontId="5" fillId="4" borderId="1" applyAlignment="1" pivotButton="0" quotePrefix="0" xfId="0">
      <alignment horizontal="center" vertical="center"/>
    </xf>
    <xf numFmtId="0" fontId="6" fillId="0" borderId="0" pivotButton="0" quotePrefix="0" xfId="0"/>
    <xf numFmtId="0" fontId="7" fillId="2" borderId="1" applyAlignment="1" pivotButton="0" quotePrefix="0" xfId="0">
      <alignment horizontal="left" vertical="center" wrapText="1"/>
    </xf>
    <xf numFmtId="0" fontId="8" fillId="0" borderId="1" applyAlignment="1" pivotButton="0" quotePrefix="0" xfId="0">
      <alignment horizontal="left" vertical="center" wrapText="1"/>
    </xf>
    <xf numFmtId="3" fontId="8" fillId="0" borderId="1" applyAlignment="1" pivotButton="0" quotePrefix="0" xfId="0">
      <alignment horizontal="right" vertical="center"/>
    </xf>
    <xf numFmtId="164" fontId="8" fillId="0" borderId="1" applyAlignment="1" pivotButton="0" quotePrefix="0" xfId="0">
      <alignment horizontal="right" vertical="center"/>
    </xf>
    <xf numFmtId="0" fontId="9" fillId="0" borderId="1" applyAlignment="1" pivotButton="0" quotePrefix="0" xfId="0">
      <alignment horizontal="center" vertical="center"/>
    </xf>
    <xf numFmtId="0" fontId="8" fillId="5" borderId="1" applyAlignment="1" pivotButton="0" quotePrefix="0" xfId="0">
      <alignment horizontal="left" vertical="center" wrapText="1"/>
    </xf>
    <xf numFmtId="3" fontId="8" fillId="5" borderId="1" applyAlignment="1" pivotButton="0" quotePrefix="0" xfId="0">
      <alignment horizontal="right" vertical="center"/>
    </xf>
    <xf numFmtId="164" fontId="8" fillId="5" borderId="1" applyAlignment="1" pivotButton="0" quotePrefix="0" xfId="0">
      <alignment horizontal="right" vertical="center"/>
    </xf>
    <xf numFmtId="0" fontId="9" fillId="5" borderId="1" applyAlignment="1" pivotButton="0" quotePrefix="0" xfId="0">
      <alignment horizontal="center" vertical="center"/>
    </xf>
    <xf numFmtId="0" fontId="10" fillId="4" borderId="2" applyAlignment="1" pivotButton="0" quotePrefix="0" xfId="0">
      <alignment horizontal="left" vertical="center"/>
    </xf>
    <xf numFmtId="3" fontId="10" fillId="4" borderId="2" applyAlignment="1" pivotButton="0" quotePrefix="0" xfId="0">
      <alignment horizontal="right" vertical="center"/>
    </xf>
    <xf numFmtId="164" fontId="10" fillId="4" borderId="2" applyAlignment="1" pivotButton="0" quotePrefix="0" xfId="0">
      <alignment horizontal="right" vertical="center"/>
    </xf>
    <xf numFmtId="0" fontId="10" fillId="4" borderId="2" applyAlignment="1" pivotButton="0" quotePrefix="0" xfId="0">
      <alignment horizontal="center" vertical="center"/>
    </xf>
    <xf numFmtId="0" fontId="7" fillId="2" borderId="1" applyAlignment="1" pivotButton="0" quotePrefix="0" xfId="0">
      <alignment horizontal="center" vertical="center" wrapText="1"/>
    </xf>
    <xf numFmtId="3" fontId="8" fillId="0" borderId="1" applyAlignment="1" pivotButton="0" quotePrefix="0" xfId="0">
      <alignment horizontal="right" vertical="top"/>
    </xf>
    <xf numFmtId="0" fontId="8" fillId="0" borderId="1" applyAlignment="1" pivotButton="0" quotePrefix="0" xfId="0">
      <alignment horizontal="center" vertical="top"/>
    </xf>
    <xf numFmtId="0" fontId="9" fillId="0" borderId="1" applyAlignment="1" pivotButton="0" quotePrefix="0" xfId="0">
      <alignment horizontal="center" vertical="top"/>
    </xf>
    <xf numFmtId="0" fontId="8" fillId="0" borderId="1" applyAlignment="1" pivotButton="0" quotePrefix="0" xfId="0">
      <alignment horizontal="left" vertical="top" wrapText="1"/>
    </xf>
    <xf numFmtId="0" fontId="8" fillId="0" borderId="1" applyAlignment="1" pivotButton="0" quotePrefix="0" xfId="0">
      <alignment horizontal="center" vertical="top" wrapText="1"/>
    </xf>
    <xf numFmtId="3" fontId="8" fillId="5" borderId="1" applyAlignment="1" pivotButton="0" quotePrefix="0" xfId="0">
      <alignment horizontal="right" vertical="top"/>
    </xf>
    <xf numFmtId="0" fontId="8" fillId="5" borderId="1" applyAlignment="1" pivotButton="0" quotePrefix="0" xfId="0">
      <alignment horizontal="center" vertical="top"/>
    </xf>
    <xf numFmtId="0" fontId="9" fillId="5" borderId="1" applyAlignment="1" pivotButton="0" quotePrefix="0" xfId="0">
      <alignment horizontal="center" vertical="top"/>
    </xf>
    <xf numFmtId="0" fontId="8" fillId="5" borderId="1" applyAlignment="1" pivotButton="0" quotePrefix="0" xfId="0">
      <alignment horizontal="left" vertical="top" wrapText="1"/>
    </xf>
    <xf numFmtId="0" fontId="8"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style val="10"/>
  <chart>
    <title>
      <tx>
        <rich>
          <a:bodyPr/>
          <a:p>
            <a:pPr>
              <a:defRPr/>
            </a:pPr>
            <a:r>
              <a:t>Распределение мероприятий БФ «Дети Марии» по основным типам</a:t>
            </a:r>
          </a:p>
        </rich>
      </tx>
    </title>
    <plotArea>
      <barChart>
        <barDir val="bar"/>
        <grouping val="clustered"/>
        <ser>
          <idx val="0"/>
          <order val="0"/>
          <tx>
            <strRef>
              <f>'Сводка и аналитика'!B10</f>
            </strRef>
          </tx>
          <spPr>
            <a:ln>
              <a:prstDash val="solid"/>
            </a:ln>
          </spPr>
          <cat>
            <numRef>
              <f>'Сводка и аналитика'!$A$11:$A$19</f>
            </numRef>
          </cat>
          <val>
            <numRef>
              <f>'Сводка и аналитика'!$B$11:$B$19</f>
            </numRef>
          </val>
        </ser>
        <gapWidth val="150"/>
        <axId val="10"/>
        <axId val="100"/>
      </barChart>
      <catAx>
        <axId val="10"/>
        <scaling>
          <orientation val="minMax"/>
        </scaling>
        <axPos val="l"/>
        <title>
          <tx>
            <rich>
              <a:bodyPr/>
              <a:p>
                <a:pPr>
                  <a:defRPr/>
                </a:pPr>
                <a:r>
                  <a:t>Количество постов о мероприятиях</a:t>
                </a:r>
              </a:p>
            </rich>
          </tx>
        </title>
        <majorTickMark val="none"/>
        <minorTickMark val="none"/>
        <crossAx val="100"/>
        <lblOffset val="100"/>
      </catAx>
      <valAx>
        <axId val="100"/>
        <scaling>
          <orientation val="minMax"/>
        </scaling>
        <axPos val="l"/>
        <majorGridlines/>
        <title>
          <tx>
            <rich>
              <a:bodyPr/>
              <a:p>
                <a:pPr>
                  <a:defRPr/>
                </a:pPr>
                <a:r>
                  <a:t>Тип мероприятия</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46</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F44"/>
  <sheetViews>
    <sheetView showGridLines="1" workbookViewId="0">
      <selection activeCell="A1" sqref="A1"/>
    </sheetView>
  </sheetViews>
  <sheetFormatPr baseColWidth="8" defaultRowHeight="15"/>
  <cols>
    <col width="44" customWidth="1" min="1" max="1"/>
    <col width="18" customWidth="1" min="2" max="2"/>
    <col width="18" customWidth="1" min="3" max="3"/>
    <col width="22" customWidth="1" min="4" max="4"/>
    <col width="52" customWidth="1" min="5" max="5"/>
    <col width="16" customWidth="1" min="6" max="6"/>
  </cols>
  <sheetData>
    <row r="1" ht="28" customHeight="1">
      <c r="A1" s="1" t="inlineStr">
        <is>
          <t>АНАЛИЗ МЕРОПРИЯТИЙ БЛАГОТВОРИТЕЛЬНОГО ФОНДА «ДЕТИ МАРИИ» (2011–2026)</t>
        </is>
      </c>
      <c r="B1" s="1" t="n"/>
      <c r="C1" s="1" t="n"/>
      <c r="D1" s="1" t="n"/>
      <c r="E1" s="1" t="n"/>
      <c r="F1" s="1" t="n"/>
    </row>
    <row r="2" ht="20" customHeight="1">
      <c r="A2" s="2" t="inlineStr">
        <is>
          <t>Автоматическая классификация постов ВК: типы мероприятий, целевая аудитория и профиль навыков волонтёров</t>
        </is>
      </c>
      <c r="B2" s="2" t="n"/>
      <c r="C2" s="2" t="n"/>
      <c r="D2" s="2" t="n"/>
      <c r="E2" s="2" t="n"/>
      <c r="F2" s="2" t="n"/>
    </row>
    <row r="4" ht="18" customHeight="1">
      <c r="A4" s="3" t="inlineStr">
        <is>
          <t>ВСЕГО ПОСТОВ С ТЕКСТОМ</t>
        </is>
      </c>
      <c r="B4" s="3" t="n"/>
      <c r="C4" s="3" t="inlineStr">
        <is>
          <t>ВЫДЕЛЕНО МЕРОПРИЯТИЙ</t>
        </is>
      </c>
      <c r="D4" s="3" t="n"/>
      <c r="E4" s="3" t="inlineStr">
        <is>
          <t>ДОЛЯ МЕРОПРИЯТИЙ В КОНТЕНТЕ</t>
        </is>
      </c>
      <c r="F4" s="3" t="n"/>
    </row>
    <row r="5" ht="26" customHeight="1">
      <c r="A5" s="4" t="n">
        <v>3952</v>
      </c>
      <c r="B5" s="5" t="n"/>
      <c r="C5" s="4">
        <f>COUNTA('База мероприятий'!A5:A1740)</f>
        <v/>
      </c>
      <c r="D5" s="5" t="n"/>
      <c r="E5" s="6">
        <f>C5/A5</f>
        <v/>
      </c>
      <c r="F5" s="5" t="n"/>
    </row>
    <row r="6" ht="18" customHeight="1">
      <c r="A6" s="7" t="inlineStr">
        <is>
          <t>Всего строк в выгрузке: 4386</t>
        </is>
      </c>
      <c r="B6" s="7" t="n"/>
      <c r="C6" s="7" t="inlineStr">
        <is>
          <t>Анонсы, отчёты о занятиях, выездах и ярмарках</t>
        </is>
      </c>
      <c r="D6" s="7" t="n"/>
      <c r="E6" s="7" t="inlineStr">
        <is>
          <t>От всех текстовых публикаций сообщества</t>
        </is>
      </c>
      <c r="F6" s="7" t="n"/>
    </row>
    <row r="9" ht="22" customHeight="1">
      <c r="A9" s="8" t="inlineStr">
        <is>
          <t>1. Распределение мероприятий по типам (основной фокус и все упоминания)</t>
        </is>
      </c>
    </row>
    <row r="10" ht="24" customHeight="1">
      <c r="A10" s="9" t="inlineStr">
        <is>
          <t>Тип мероприятия</t>
        </is>
      </c>
      <c r="B10" s="9" t="inlineStr">
        <is>
          <t>Постов (осн. тип)</t>
        </is>
      </c>
      <c r="C10" s="9" t="inlineStr">
        <is>
          <t>Доля (осн. тип)</t>
        </is>
      </c>
      <c r="D10" s="9" t="inlineStr">
        <is>
          <t>Всего упоминаний</t>
        </is>
      </c>
      <c r="E10" s="9" t="inlineStr">
        <is>
          <t>Характерные форматы в «Дети Марии»</t>
        </is>
      </c>
      <c r="F10" s="9" t="inlineStr">
        <is>
          <t>Пример поста ВК</t>
        </is>
      </c>
    </row>
    <row r="11" ht="24" customHeight="1">
      <c r="A11" s="10" t="inlineStr">
        <is>
          <t>Творческие мастер-классы и художественные студии</t>
        </is>
      </c>
      <c r="B11" s="11" t="n">
        <v>810</v>
      </c>
      <c r="C11" s="12">
        <f>B11/$B$20</f>
        <v/>
      </c>
      <c r="D11" s="11" t="n">
        <v>1108</v>
      </c>
      <c r="E11" s="10" t="inlineStr">
        <is>
          <t>Регулярные занятия и мастер-классы: живопись, керамика, валяние из шерсти, мозаика, шитьё, оригами, столярка, анимация</t>
        </is>
      </c>
      <c r="F11" s="13">
        <f>HYPERLINK("https://vk.com/wall-1825701_7506", "Пост #7506")</f>
        <v/>
      </c>
    </row>
    <row r="12" ht="24" customHeight="1">
      <c r="A12" s="14" t="inlineStr">
        <is>
          <t>Выездные лагеря, дача и сезонные программы</t>
        </is>
      </c>
      <c r="B12" s="15" t="n">
        <v>226</v>
      </c>
      <c r="C12" s="16">
        <f>B12/$B$20</f>
        <v/>
      </c>
      <c r="D12" s="15" t="n">
        <v>320</v>
      </c>
      <c r="E12" s="14" t="inlineStr">
        <is>
          <t>Летние арт-резиденции, лагеря в Сорочанах и Беслане, субботние выезды в загородную мастерскую (Переделкино)</t>
        </is>
      </c>
      <c r="F12" s="17">
        <f>HYPERLINK("https://vk.com/wall-1825701_7494", "Пост #7494")</f>
        <v/>
      </c>
    </row>
    <row r="13" ht="24" customHeight="1">
      <c r="A13" s="10" t="inlineStr">
        <is>
          <t>Ярмарки, фестивали и благотворительные базары</t>
        </is>
      </c>
      <c r="B13" s="11" t="n">
        <v>213</v>
      </c>
      <c r="C13" s="12">
        <f>B13/$B$20</f>
        <v/>
      </c>
      <c r="D13" s="11" t="n">
        <v>240</v>
      </c>
      <c r="E13" s="10" t="inlineStr">
        <is>
          <t>Благотворительные маркеты («Шерстяной Базар», «Душевный Bazar», «Жить красиво»), аукционы, фестивали</t>
        </is>
      </c>
      <c r="F13" s="13">
        <f>HYPERLINK("https://vk.com/wall-1825701_7507", "Пост #7507")</f>
        <v/>
      </c>
    </row>
    <row r="14" ht="24" customHeight="1">
      <c r="A14" s="14" t="inlineStr">
        <is>
          <t>Выставки, экскурсии и культурные выходы</t>
        </is>
      </c>
      <c r="B14" s="15" t="n">
        <v>162</v>
      </c>
      <c r="C14" s="16">
        <f>B14/$B$20</f>
        <v/>
      </c>
      <c r="D14" s="15" t="n">
        <v>258</v>
      </c>
      <c r="E14" s="14" t="inlineStr">
        <is>
          <t>Художественные выставки работ подопечных (ГЭС-2, «Тверская 15»), медиаторские туры, экскурсии в музеи</t>
        </is>
      </c>
      <c r="F14" s="17">
        <f>HYPERLINK("https://vk.com/wall-1825701_7513", "Пост #7513")</f>
        <v/>
      </c>
    </row>
    <row r="15" ht="24" customHeight="1">
      <c r="A15" s="10" t="inlineStr">
        <is>
          <t>Кулинарные, образовательные и социально-бытовые занятия</t>
        </is>
      </c>
      <c r="B15" s="11" t="n">
        <v>131</v>
      </c>
      <c r="C15" s="12">
        <f>B15/$B$20</f>
        <v/>
      </c>
      <c r="D15" s="11" t="n">
        <v>242</v>
      </c>
      <c r="E15" s="10" t="inlineStr">
        <is>
          <t>Кулинарная мастерская, киноклуб, ориентирование в городе, компьютерные и языковые уроки, настольные игры</t>
        </is>
      </c>
      <c r="F15" s="13">
        <f>HYPERLINK("https://vk.com/wall-1825701_7489", "Пост #7489")</f>
        <v/>
      </c>
    </row>
    <row r="16" ht="24" customHeight="1">
      <c r="A16" s="14" t="inlineStr">
        <is>
          <t>Спектакли, концерты и музыкально-театральные занятия</t>
        </is>
      </c>
      <c r="B16" s="15" t="n">
        <v>103</v>
      </c>
      <c r="C16" s="16">
        <f>B16/$B$20</f>
        <v/>
      </c>
      <c r="D16" s="15" t="n">
        <v>211</v>
      </c>
      <c r="E16" s="14" t="inlineStr">
        <is>
          <t>Постановки театральной студии, музыкальные вечера, занятия на барабанах и гитаре, концерты и клоунские выезды</t>
        </is>
      </c>
      <c r="F16" s="17">
        <f>HYPERLINK("https://vk.com/wall-1825701_7435", "Пост #7435")</f>
        <v/>
      </c>
    </row>
    <row r="17" ht="24" customHeight="1">
      <c r="A17" s="10" t="inlineStr">
        <is>
          <t>Праздники, дни рождения и клубные встречи</t>
        </is>
      </c>
      <c r="B17" s="11" t="n">
        <v>55</v>
      </c>
      <c r="C17" s="12">
        <f>B17/$B$20</f>
        <v/>
      </c>
      <c r="D17" s="11" t="n">
        <v>137</v>
      </c>
      <c r="E17" s="10" t="inlineStr">
        <is>
          <t>Сезонные праздники (Масленица, Новый год, Рождество), дни рождения фонда и участников, субботние салоны и пикники</t>
        </is>
      </c>
      <c r="F17" s="13">
        <f>HYPERLINK("https://vk.com/wall-1825701_7366", "Пост #7366")</f>
        <v/>
      </c>
    </row>
    <row r="18" ht="24" customHeight="1">
      <c r="A18" s="14" t="inlineStr">
        <is>
          <t>Спортивные и активные мероприятия</t>
        </is>
      </c>
      <c r="B18" s="15" t="n">
        <v>22</v>
      </c>
      <c r="C18" s="16">
        <f>B18/$B$20</f>
        <v/>
      </c>
      <c r="D18" s="15" t="n">
        <v>82</v>
      </c>
      <c r="E18" s="14" t="inlineStr">
        <is>
          <t>Благотворительные забеги, футбольные тренировки и турниры, танцы, каток, конный спорт и активный отдых</t>
        </is>
      </c>
      <c r="F18" s="17">
        <f>HYPERLINK("https://vk.com/wall-1825701_6569", "Пост #6569")</f>
        <v/>
      </c>
    </row>
    <row r="19" ht="24" customHeight="1">
      <c r="A19" s="10" t="inlineStr">
        <is>
          <t>Волонтёрские встречи, обучение и дни открытых дверей</t>
        </is>
      </c>
      <c r="B19" s="11" t="n">
        <v>14</v>
      </c>
      <c r="C19" s="12">
        <f>B19/$B$20</f>
        <v/>
      </c>
      <c r="D19" s="11" t="n">
        <v>16</v>
      </c>
      <c r="E19" s="10" t="inlineStr">
        <is>
          <t>Школа волонтёров, дни открытых дверей в студии, вводные встречи, супервизии для ведущих и субботники</t>
        </is>
      </c>
      <c r="F19" s="13">
        <f>HYPERLINK("https://vk.com/wall-1825701_7496", "Пост #7496")</f>
        <v/>
      </c>
    </row>
    <row r="20" ht="22" customHeight="1">
      <c r="A20" s="18" t="inlineStr">
        <is>
          <t>ИТОГО МЕРОПРИЯТИЙ</t>
        </is>
      </c>
      <c r="B20" s="19">
        <f>SUM(B11:B19)</f>
        <v/>
      </c>
      <c r="C20" s="20">
        <f>SUM(C11:C19)</f>
        <v/>
      </c>
      <c r="D20" s="19">
        <f>SUM(D11:D19)</f>
        <v/>
      </c>
      <c r="E20" s="18" t="inlineStr">
        <is>
          <t>Сумма по всем категориям (в 1 посте может быть &gt;1 категории)</t>
        </is>
      </c>
      <c r="F20" s="21" t="inlineStr">
        <is>
          <t>—</t>
        </is>
      </c>
    </row>
    <row r="23" ht="22" customHeight="1">
      <c r="A23" s="8" t="inlineStr">
        <is>
          <t>2. Целевая аудитория мероприятий (охват по категориям благополучателей и участников)</t>
        </is>
      </c>
    </row>
    <row r="24" ht="24" customHeight="1">
      <c r="A24" s="9" t="inlineStr">
        <is>
          <t>Группа целевой аудитории</t>
        </is>
      </c>
      <c r="B24" s="9" t="inlineStr">
        <is>
          <t>Кол-во постов</t>
        </is>
      </c>
      <c r="C24" s="9" t="inlineStr">
        <is>
          <t>% от мероприятий</t>
        </is>
      </c>
      <c r="D24" s="9" t="inlineStr">
        <is>
          <t>Доля от всех упоминаний ЦА</t>
        </is>
      </c>
      <c r="E24" s="9" t="inlineStr">
        <is>
          <t>Ключевые упоминаемые учреждения и группы в постах</t>
        </is>
      </c>
      <c r="F24" s="9" t="inlineStr">
        <is>
          <t>Пример поста ВК</t>
        </is>
      </c>
    </row>
    <row r="25" ht="24" customHeight="1">
      <c r="A25" s="10" t="inlineStr">
        <is>
          <t>Подопечные фонда «Дети Марии» (общая группа детей и подростков)</t>
        </is>
      </c>
      <c r="B25" s="11" t="n">
        <v>873</v>
      </c>
      <c r="C25" s="12">
        <f>B25/$B$20</f>
        <v/>
      </c>
      <c r="D25" s="12">
        <f>B25/$B$32</f>
        <v/>
      </c>
      <c r="E25" s="10" t="inlineStr">
        <is>
          <t>Регулярные участники студийных занятий в Москве без указания конкретного номера интерната в тексте</t>
        </is>
      </c>
      <c r="F25" s="13">
        <f>HYPERLINK("https://vk.com/wall-1825701_7507", "Пост #7507")</f>
        <v/>
      </c>
    </row>
    <row r="26" ht="24" customHeight="1">
      <c r="A26" s="14" t="inlineStr">
        <is>
          <t>Подростки и взрослые с ментальными особенностями и ОВЗ (ПНИ / Социальные дома)</t>
        </is>
      </c>
      <c r="B26" s="15" t="n">
        <v>421</v>
      </c>
      <c r="C26" s="16">
        <f>B26/$B$20</f>
        <v/>
      </c>
      <c r="D26" s="16">
        <f>B26/$B$32</f>
        <v/>
      </c>
      <c r="E26" s="14" t="inlineStr">
        <is>
          <t>Жители ПНИ №16, №11, №20, №30, социальных домов «Филимонки», «Нагатино-Садовники», «Обручевский», люди с ОВЗ</t>
        </is>
      </c>
      <c r="F26" s="17">
        <f>HYPERLINK("https://vk.com/wall-1825701_7495", "Пост #7495")</f>
        <v/>
      </c>
    </row>
    <row r="27" ht="24" customHeight="1">
      <c r="A27" s="10" t="inlineStr">
        <is>
          <t>Воспитанники ЦССВ, ДДИ и детских домов-интернатов</t>
        </is>
      </c>
      <c r="B27" s="11" t="n">
        <v>322</v>
      </c>
      <c r="C27" s="12">
        <f>B27/$B$20</f>
        <v/>
      </c>
      <c r="D27" s="12">
        <f>B27/$B$32</f>
        <v/>
      </c>
      <c r="E27" s="10" t="inlineStr">
        <is>
          <t>Дети и подростки с опытом сиротства из ЦССВ «Юнона», «Спутник», «Радуга», «Сколковский», «Никулино», ДДИ №7, интерната №31</t>
        </is>
      </c>
      <c r="F27" s="13">
        <f>HYPERLINK("https://vk.com/wall-1825701_7506", "Пост #7506")</f>
        <v/>
      </c>
    </row>
    <row r="28" ht="24" customHeight="1">
      <c r="A28" s="14" t="inlineStr">
        <is>
          <t>Широкая аудитория, гости и благотворители (открытые события)</t>
        </is>
      </c>
      <c r="B28" s="15" t="n">
        <v>166</v>
      </c>
      <c r="C28" s="16">
        <f>B28/$B$20</f>
        <v/>
      </c>
      <c r="D28" s="16">
        <f>B28/$B$32</f>
        <v/>
      </c>
      <c r="E28" s="14" t="inlineStr">
        <is>
          <t>Гости благотворительных ярмарок, выставок, открытых мастер-классов и спектаклей, сторонники и доноры фонда</t>
        </is>
      </c>
      <c r="F28" s="17">
        <f>HYPERLINK("https://vk.com/wall-1825701_7513", "Пост #7513")</f>
        <v/>
      </c>
    </row>
    <row r="29" ht="24" customHeight="1">
      <c r="A29" s="10" t="inlineStr">
        <is>
          <t>Выпускники интернатов и детских домов (молодые взрослые)</t>
        </is>
      </c>
      <c r="B29" s="11" t="n">
        <v>129</v>
      </c>
      <c r="C29" s="12">
        <f>B29/$B$20</f>
        <v/>
      </c>
      <c r="D29" s="12">
        <f>B29/$B$32</f>
        <v/>
      </c>
      <c r="E29" s="10" t="inlineStr">
        <is>
          <t>Выпускники детских домов и ЦССВ, участники программы сопровождения и проекта «Тренировочная квартира»</t>
        </is>
      </c>
      <c r="F29" s="13">
        <f>HYPERLINK("https://vk.com/wall-1825701_7476", "Пост #7476")</f>
        <v/>
      </c>
    </row>
    <row r="30" ht="24" customHeight="1">
      <c r="A30" s="14" t="inlineStr">
        <is>
          <t>Дети и семьи (в т.ч. приёмные семьи и программа в Беслане)</t>
        </is>
      </c>
      <c r="B30" s="15" t="n">
        <v>66</v>
      </c>
      <c r="C30" s="16">
        <f>B30/$B$20</f>
        <v/>
      </c>
      <c r="D30" s="16">
        <f>B30/$B$32</f>
        <v/>
      </c>
      <c r="E30" s="14" t="inlineStr">
        <is>
          <t>Дети и школьники Беслана (выездные смены), приёмные, опекунские и кризисные семьи с детьми</t>
        </is>
      </c>
      <c r="F30" s="17">
        <f>HYPERLINK("https://vk.com/wall-1825701_7472", "Пост #7472")</f>
        <v/>
      </c>
    </row>
    <row r="31" ht="24" customHeight="1">
      <c r="A31" s="10" t="inlineStr">
        <is>
          <t>Волонтёры, тьюторы и команда НКО</t>
        </is>
      </c>
      <c r="B31" s="11" t="n">
        <v>3</v>
      </c>
      <c r="C31" s="12">
        <f>B31/$B$20</f>
        <v/>
      </c>
      <c r="D31" s="12">
        <f>B31/$B$32</f>
        <v/>
      </c>
      <c r="E31" s="10" t="inlineStr">
        <is>
          <t>Новые и действующие волонтёры, ведущие творческих мастерских, тьюторы и кураторы программ</t>
        </is>
      </c>
      <c r="F31" s="13">
        <f>HYPERLINK("https://vk.com/wall-1825701_7496", "Пост #7496")</f>
        <v/>
      </c>
    </row>
    <row r="32" ht="22" customHeight="1">
      <c r="A32" s="18" t="inlineStr">
        <is>
          <t>ВСЕГО УПОМИНАНИЙ АУДИТОРИЙ</t>
        </is>
      </c>
      <c r="B32" s="19">
        <f>SUM(B25:B31)</f>
        <v/>
      </c>
      <c r="C32" s="20">
        <f>B32/$B$20</f>
        <v/>
      </c>
      <c r="D32" s="20">
        <f>SUM(D25:D31)</f>
        <v/>
      </c>
      <c r="E32" s="18" t="inlineStr">
        <is>
          <t>Инклюзивные события часто объединяют сразу несколько групп ЦА</t>
        </is>
      </c>
      <c r="F32" s="21" t="inlineStr">
        <is>
          <t>—</t>
        </is>
      </c>
    </row>
    <row r="35" ht="22" customHeight="1">
      <c r="A35" s="8" t="inlineStr">
        <is>
          <t>3. Востребованные навыки и компетенции волонтёров на мероприятиях</t>
        </is>
      </c>
    </row>
    <row r="36" ht="24" customHeight="1">
      <c r="A36" s="9" t="inlineStr">
        <is>
          <t>Категория навыков волонтёров</t>
        </is>
      </c>
      <c r="B36" s="9" t="inlineStr">
        <is>
          <t>Кол-во мероприятий</t>
        </is>
      </c>
      <c r="C36" s="9" t="inlineStr">
        <is>
          <t>% от мероприятий</t>
        </is>
      </c>
      <c r="D36" s="9" t="inlineStr">
        <is>
          <t>Доля в профиле навыков</t>
        </is>
      </c>
      <c r="E36" s="9" t="inlineStr">
        <is>
          <t>Конкретные умения и задачи волонтёров</t>
        </is>
      </c>
      <c r="F36" s="9" t="inlineStr">
        <is>
          <t>Пример поста ВК</t>
        </is>
      </c>
    </row>
    <row r="37" ht="24" customHeight="1">
      <c r="A37" s="10" t="inlineStr">
        <is>
          <t>Художественно-прикладные и ремесленные навыки</t>
        </is>
      </c>
      <c r="B37" s="11" t="n">
        <v>816</v>
      </c>
      <c r="C37" s="12">
        <f>B37/$B$20</f>
        <v/>
      </c>
      <c r="D37" s="12">
        <f>B37/$B$44</f>
        <v/>
      </c>
      <c r="E37" s="10" t="inlineStr">
        <is>
          <t>Живопись и рисунок, керамика и работа с глиной, сухое и мокрое валяние из шерсти, шитьё, мозаика, оригами, столярное дело</t>
        </is>
      </c>
      <c r="F37" s="13">
        <f>HYPERLINK("https://vk.com/wall-1825701_7507", "Пост #7507")</f>
        <v/>
      </c>
    </row>
    <row r="38" ht="24" customHeight="1">
      <c r="A38" s="14" t="inlineStr">
        <is>
          <t>Коммуникативные навыки, эмпатия и тьюторское сопровождение</t>
        </is>
      </c>
      <c r="B38" s="15" t="n">
        <v>658</v>
      </c>
      <c r="C38" s="16">
        <f>B38/$B$20</f>
        <v/>
      </c>
      <c r="D38" s="16">
        <f>B38/$B$44</f>
        <v/>
      </c>
      <c r="E38" s="14" t="inlineStr">
        <is>
          <t>Бережное общение, эмоциональная поддержка, индивидуальное тьюторство для людей с ОВЗ и опытом сиротства, фасилитация</t>
        </is>
      </c>
      <c r="F38" s="17">
        <f>HYPERLINK("https://vk.com/wall-1825701_7506", "Пост #7506")</f>
        <v/>
      </c>
    </row>
    <row r="39" ht="24" customHeight="1">
      <c r="A39" s="10" t="inlineStr">
        <is>
          <t>Артистические, музыкальные и спортивно-игровые навыки</t>
        </is>
      </c>
      <c r="B39" s="11" t="n">
        <v>555</v>
      </c>
      <c r="C39" s="12">
        <f>B39/$B$20</f>
        <v/>
      </c>
      <c r="D39" s="12">
        <f>B39/$B$44</f>
        <v/>
      </c>
      <c r="E39" s="10" t="inlineStr">
        <is>
          <t>Игра на музыкальных инструментах (гитара, барабаны), актёрское мастерство, проведение игр, викторин, танцев и спорттренировок</t>
        </is>
      </c>
      <c r="F39" s="13">
        <f>HYPERLINK("https://vk.com/wall-1825701_7506", "Пост #7506")</f>
        <v/>
      </c>
    </row>
    <row r="40" ht="24" customHeight="1">
      <c r="A40" s="14" t="inlineStr">
        <is>
          <t>Педагогические и наставнические навыки (кулинария, быт, учёба)</t>
        </is>
      </c>
      <c r="B40" s="15" t="n">
        <v>479</v>
      </c>
      <c r="C40" s="16">
        <f>B40/$B$20</f>
        <v/>
      </c>
      <c r="D40" s="16">
        <f>B40/$B$44</f>
        <v/>
      </c>
      <c r="E40" s="14" t="inlineStr">
        <is>
          <t>Обучение кулинарии, финансовой и бытовой грамотности, ориентированию в городе, английскому языку, работе с ПК и подготовке к школе</t>
        </is>
      </c>
      <c r="F40" s="17">
        <f>HYPERLINK("https://vk.com/wall-1825701_7506", "Пост #7506")</f>
        <v/>
      </c>
    </row>
    <row r="41" ht="24" customHeight="1">
      <c r="A41" s="10" t="inlineStr">
        <is>
          <t>Организационные, ивент- и ярмарочные навыки</t>
        </is>
      </c>
      <c r="B41" s="11" t="n">
        <v>477</v>
      </c>
      <c r="C41" s="12">
        <f>B41/$B$20</f>
        <v/>
      </c>
      <c r="D41" s="12">
        <f>B41/$B$44</f>
        <v/>
      </c>
      <c r="E41" s="10" t="inlineStr">
        <is>
          <t>Работа за стендом на благотворительных базарах, презентация сувениров, организация чаепитий, праздников, логистика и субботники</t>
        </is>
      </c>
      <c r="F41" s="13">
        <f>HYPERLINK("https://vk.com/wall-1825701_7507", "Пост #7507")</f>
        <v/>
      </c>
    </row>
    <row r="42" ht="24" customHeight="1">
      <c r="A42" s="14" t="inlineStr">
        <is>
          <t>Мобильность, выездное сопровождение и автоволонтёрство</t>
        </is>
      </c>
      <c r="B42" s="15" t="n">
        <v>417</v>
      </c>
      <c r="C42" s="16">
        <f>B42/$B$20</f>
        <v/>
      </c>
      <c r="D42" s="16">
        <f>B42/$B$44</f>
        <v/>
      </c>
      <c r="E42" s="14" t="inlineStr">
        <is>
          <t>Сопровождение в выездных лагерях, походах и музеях, физическая помощь маломобильным участникам на колясках, автоволонтёрство</t>
        </is>
      </c>
      <c r="F42" s="17">
        <f>HYPERLINK("https://vk.com/wall-1825701_7513", "Пост #7513")</f>
        <v/>
      </c>
    </row>
    <row r="43" ht="24" customHeight="1">
      <c r="A43" s="10" t="inlineStr">
        <is>
          <t>Медиа, фото/видеосъёмка и культурная медиация</t>
        </is>
      </c>
      <c r="B43" s="11" t="n">
        <v>124</v>
      </c>
      <c r="C43" s="12">
        <f>B43/$B$20</f>
        <v/>
      </c>
      <c r="D43" s="12">
        <f>B43/$B$44</f>
        <v/>
      </c>
      <c r="E43" s="10" t="inlineStr">
        <is>
          <t>Репортажная фото- и видеосъёмка мероприятий, проведение медиаторских туров и экскурсий по выставкам, монтаж и дизайн</t>
        </is>
      </c>
      <c r="F43" s="13">
        <f>HYPERLINK("https://vk.com/wall-1825701_7504", "Пост #7504")</f>
        <v/>
      </c>
    </row>
    <row r="44" ht="22" customHeight="1">
      <c r="A44" s="18" t="inlineStr">
        <is>
          <t>ВСЕГО УПОМИНАНИЙ НАВЫКОВ</t>
        </is>
      </c>
      <c r="B44" s="19">
        <f>SUM(B37:B43)</f>
        <v/>
      </c>
      <c r="C44" s="20">
        <f>B44/$B$20</f>
        <v/>
      </c>
      <c r="D44" s="20">
        <f>SUM(D37:D43)</f>
        <v/>
      </c>
      <c r="E44" s="18" t="inlineStr">
        <is>
          <t>В каждом мероприятии обычно задействовано от 2 до 4 групп навыков</t>
        </is>
      </c>
      <c r="F44" s="21" t="inlineStr">
        <is>
          <t>—</t>
        </is>
      </c>
    </row>
  </sheetData>
  <mergeCells count="14">
    <mergeCell ref="A4:B4"/>
    <mergeCell ref="A2:F2"/>
    <mergeCell ref="E4:F4"/>
    <mergeCell ref="E6:F6"/>
    <mergeCell ref="C6:D6"/>
    <mergeCell ref="A1:F1"/>
    <mergeCell ref="A23:F23"/>
    <mergeCell ref="C5:D5"/>
    <mergeCell ref="A5:B5"/>
    <mergeCell ref="A9:F9"/>
    <mergeCell ref="E5:F5"/>
    <mergeCell ref="A35:F35"/>
    <mergeCell ref="A6:B6"/>
    <mergeCell ref="C4:D4"/>
  </mergeCells>
  <pageMargins left="0.75" right="0.75" top="1" bottom="1" header="0.5" footer="0.5"/>
  <pageSetup orientation="landscape"/>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J1740"/>
  <sheetViews>
    <sheetView showGridLines="1" workbookViewId="0">
      <pane ySplit="4" topLeftCell="A5" activePane="bottomLeft" state="frozen"/>
      <selection pane="bottomLeft" activeCell="A1" sqref="A1"/>
    </sheetView>
  </sheetViews>
  <sheetFormatPr baseColWidth="8" defaultRowHeight="15"/>
  <cols>
    <col width="12" customWidth="1" min="1" max="1"/>
    <col width="13" customWidth="1" min="2" max="2"/>
    <col width="15" customWidth="1" min="3" max="3"/>
    <col width="34" customWidth="1" min="4" max="4"/>
    <col width="36" customWidth="1" min="5" max="5"/>
    <col width="38" customWidth="1" min="6" max="6"/>
    <col width="28" customWidth="1" min="7" max="7"/>
    <col width="38" customWidth="1" min="8" max="8"/>
    <col width="20" customWidth="1" min="9" max="9"/>
    <col width="50" customWidth="1" min="10" max="10"/>
  </cols>
  <sheetData>
    <row r="1" ht="28" customHeight="1">
      <c r="A1" s="1" t="inlineStr">
        <is>
          <t>ПОЛНАЯ БАЗА ВЫДЕЛЕННЫХ МЕРОПРИЯТИЙ ФОНДА «ДЕТИ МАРИИ»</t>
        </is>
      </c>
      <c r="B1" s="1" t="n"/>
      <c r="C1" s="1" t="n"/>
      <c r="D1" s="1" t="n"/>
      <c r="E1" s="1" t="n"/>
      <c r="F1" s="1" t="n"/>
      <c r="G1" s="1" t="n"/>
      <c r="H1" s="1" t="n"/>
      <c r="I1" s="1" t="n"/>
      <c r="J1" s="1" t="n"/>
    </row>
    <row r="2" ht="20" customHeight="1">
      <c r="A2" s="2" t="inlineStr">
        <is>
          <t>Отфильтровано 1736 постов о мероприятиях из 3952 текстовых публикаций (2011–2026 гг.)</t>
        </is>
      </c>
      <c r="B2" s="2" t="n"/>
      <c r="C2" s="2" t="n"/>
      <c r="D2" s="2" t="n"/>
      <c r="E2" s="2" t="n"/>
      <c r="F2" s="2" t="n"/>
      <c r="G2" s="2" t="n"/>
      <c r="H2" s="2" t="n"/>
      <c r="I2" s="2" t="n"/>
      <c r="J2" s="2" t="n"/>
    </row>
    <row r="4" ht="24" customHeight="1">
      <c r="A4" s="22" t="inlineStr">
        <is>
          <t>ID поста</t>
        </is>
      </c>
      <c r="B4" s="22" t="inlineStr">
        <is>
          <t>Дата</t>
        </is>
      </c>
      <c r="C4" s="22" t="inlineStr">
        <is>
          <t>Ссылка ВК</t>
        </is>
      </c>
      <c r="D4" s="9" t="inlineStr">
        <is>
          <t>Основной тип мероприятия</t>
        </is>
      </c>
      <c r="E4" s="9" t="inlineStr">
        <is>
          <t>Все категории мероприятия</t>
        </is>
      </c>
      <c r="F4" s="9" t="inlineStr">
        <is>
          <t>Целевая аудитория</t>
        </is>
      </c>
      <c r="G4" s="9" t="inlineStr">
        <is>
          <t>Упомянутые учреждения / площадки</t>
        </is>
      </c>
      <c r="H4" s="9" t="inlineStr">
        <is>
          <t>Востребованные навыки волонтёров</t>
        </is>
      </c>
      <c r="I4" s="22" t="inlineStr">
        <is>
          <t>Упоминание волонтёров</t>
        </is>
      </c>
      <c r="J4" s="9" t="inlineStr">
        <is>
          <t>Краткий текст поста</t>
        </is>
      </c>
    </row>
    <row r="5" ht="30" customHeight="1">
      <c r="A5" s="23" t="n">
        <v>7513</v>
      </c>
      <c r="B5" s="24" t="inlineStr">
        <is>
          <t>2026-10-19</t>
        </is>
      </c>
      <c r="C5" s="25">
        <f>HYPERLINK("https://vk.com/wall-1825701_7513", "Открыть пост")</f>
        <v/>
      </c>
      <c r="D5" s="26" t="inlineStr">
        <is>
          <t>Выставки, экскурсии и культурные выходы</t>
        </is>
      </c>
      <c r="E5" s="26" t="inlineStr">
        <is>
          <t>Выставки, экскурсии и культурные выходы</t>
        </is>
      </c>
      <c r="F5" s="26" t="inlineStr">
        <is>
          <t>Широкая аудитория, гости и благотворители (открытые события)</t>
        </is>
      </c>
      <c r="G5" s="26" t="inlineStr">
        <is>
          <t>Студия фонда / выездная площадка</t>
        </is>
      </c>
      <c r="H5" s="26" t="inlineStr">
        <is>
          <t>Мобильность, выездное сопровождение и автоволонтёрство</t>
        </is>
      </c>
      <c r="I5" s="27" t="inlineStr">
        <is>
          <t>По формату занятия</t>
        </is>
      </c>
      <c r="J5" s="26" t="inlineStr">
        <is>
          <t>Приглашаем вас присоединиться к экскурсии! В ней примут участие наши замечательные коллеги — Юля Великанова и Маргарита Кудрявцева. Будем рады вас видеть!</t>
        </is>
      </c>
    </row>
    <row r="6" ht="30" customHeight="1">
      <c r="A6" s="28" t="n">
        <v>7507</v>
      </c>
      <c r="B6" s="29" t="inlineStr">
        <is>
          <t>2026-10-16</t>
        </is>
      </c>
      <c r="C6" s="30">
        <f>HYPERLINK("https://vk.com/wall-1825701_7507", "Открыть пост")</f>
        <v/>
      </c>
      <c r="D6" s="31" t="inlineStr">
        <is>
          <t>Ярмарки, фестивали и благотворительные базары</t>
        </is>
      </c>
      <c r="E6" s="31" t="inlineStr">
        <is>
          <t>Ярмарки, фестивали и благотворительные базары</t>
        </is>
      </c>
      <c r="F6" s="31" t="inlineStr">
        <is>
          <t>Подопечные фонда «Дети Марии» (общая группа детей и подростков)</t>
        </is>
      </c>
      <c r="G6" s="31" t="inlineStr">
        <is>
          <t>Студия фонда / выездная площадка</t>
        </is>
      </c>
      <c r="H6" s="31" t="inlineStr">
        <is>
          <t>Художественно-прикладные и ремесленные навыки; Организационные, ивент- и ярмарочные навыки</t>
        </is>
      </c>
      <c r="I6" s="32" t="inlineStr">
        <is>
          <t>По формату занятия</t>
        </is>
      </c>
      <c r="J6" s="31" t="inlineStr">
        <is>
          <t>Как нас найти на Шерстяном Базаре, который начинается уже завтра и длится два дня — смотрите в схемах. У нас можно оплачивать покупки картой через терминал, можно по QR коду, но на случай перебоев с интернетом рекомендуем взять с собой наличные деньги. 🗓•17-18 октября 12:00-20:00...</t>
        </is>
      </c>
    </row>
    <row r="7" ht="30" customHeight="1">
      <c r="A7" s="23" t="n">
        <v>7506</v>
      </c>
      <c r="B7" s="24" t="inlineStr">
        <is>
          <t>2026-10-15</t>
        </is>
      </c>
      <c r="C7" s="25">
        <f>HYPERLINK("https://vk.com/wall-1825701_7506", "Открыть пост")</f>
        <v/>
      </c>
      <c r="D7" s="26" t="inlineStr">
        <is>
          <t>Творческие мастер-классы и художественные студии</t>
        </is>
      </c>
      <c r="E7" s="26" t="inlineStr">
        <is>
          <t>Творческие мастер-классы и художественные студии</t>
        </is>
      </c>
      <c r="F7" s="26" t="inlineStr">
        <is>
          <t>Воспитанники ЦССВ, ДДИ и детских домов-интернатов</t>
        </is>
      </c>
      <c r="G7" s="26" t="inlineStr">
        <is>
          <t>Студия фонда / выездная площадка</t>
        </is>
      </c>
      <c r="H7" s="26" t="inlineStr">
        <is>
          <t>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t>
        </is>
      </c>
      <c r="I7" s="27" t="inlineStr">
        <is>
          <t>По формату занятия</t>
        </is>
      </c>
      <c r="J7" s="26" t="inlineStr">
        <is>
          <t>💗 Новый сезон в Арт-лаборатории: настрой на продуктивность Арт-лаборатория (https://mariaschildren.ru/programs/tvorchestvo/art-laboratoriya/)— это творческие занятия для детей из социальных учреждений, участников благотворительных программ фонда «Дети Марии». Еженедельно в нескол...</t>
        </is>
      </c>
    </row>
    <row r="8" ht="30" customHeight="1">
      <c r="A8" s="28" t="n">
        <v>7505</v>
      </c>
      <c r="B8" s="29" t="inlineStr">
        <is>
          <t>2026-10-14</t>
        </is>
      </c>
      <c r="C8" s="30">
        <f>HYPERLINK("https://vk.com/wall-1825701_7505", "Открыть пост")</f>
        <v/>
      </c>
      <c r="D8" s="31" t="inlineStr">
        <is>
          <t>Ярмарки, фестивали и благотворительные базары</t>
        </is>
      </c>
      <c r="E8" s="31" t="inlineStr">
        <is>
          <t>Ярмарки, фестивали и благотворительные базары</t>
        </is>
      </c>
      <c r="F8" s="31" t="inlineStr">
        <is>
          <t>Подопечные фонда «Дети Марии» (общая группа детей и подростков)</t>
        </is>
      </c>
      <c r="G8" s="31" t="inlineStr">
        <is>
          <t>Студия фонда / выездная площадка</t>
        </is>
      </c>
      <c r="H8"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t>
        </is>
      </c>
      <c r="I8" s="32" t="inlineStr">
        <is>
          <t>По формату занятия</t>
        </is>
      </c>
      <c r="J8" s="31" t="inlineStr">
        <is>
          <t>Совсем скоро Шерстяной Базар! В наших инклюзивных мастерских сыграли в «съедобное-несъедобное» и выиграли! Валяный борщевой набор игрушек-брелоков и керамическую тарелку, которая притворяется сковородкой. Приходите за подарками для себя и друзей! 🗓•17-18 октября 12:00-20:00 📍Дани...</t>
        </is>
      </c>
    </row>
    <row r="9" ht="30" customHeight="1">
      <c r="A9" s="23" t="n">
        <v>7504</v>
      </c>
      <c r="B9" s="24" t="inlineStr">
        <is>
          <t>2026-10-12</t>
        </is>
      </c>
      <c r="C9" s="25">
        <f>HYPERLINK("https://vk.com/wall-1825701_7504", "Открыть пост")</f>
        <v/>
      </c>
      <c r="D9" s="26" t="inlineStr">
        <is>
          <t>Выставки, экскурсии и культурные выходы</t>
        </is>
      </c>
      <c r="E9" s="26" t="inlineStr">
        <is>
          <t>Выставки, экскурсии и культурные выходы; Выездные лагеря, дача и сезонные программы; Творческие мастер-классы и художественные студии</t>
        </is>
      </c>
      <c r="F9" s="26" t="inlineStr">
        <is>
          <t>Широкая аудитория, гости и благотворители (открытые события)</t>
        </is>
      </c>
      <c r="G9" s="26" t="inlineStr">
        <is>
          <t>Тверская 15</t>
        </is>
      </c>
      <c r="H9" s="26"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 Медиа, фото/видеосъёмка и культурная медиация</t>
        </is>
      </c>
      <c r="I9" s="27" t="inlineStr">
        <is>
          <t>По формату занятия</t>
        </is>
      </c>
      <c r="J9" s="26" t="inlineStr">
        <is>
          <t>«Невидимый труд» 26 октября в пространстве инклюзивного культурного центра «Тверская 15» открывается выставка «Невидимый труд» — приглашаем вас. 👁 Этот проект вырос из трёх потоков нашей летней арт-программы и из наблюдений за тем, что участники фонда создавали своими руками: гот...</t>
        </is>
      </c>
    </row>
    <row r="10" ht="30" customHeight="1">
      <c r="A10" s="28" t="n">
        <v>7503</v>
      </c>
      <c r="B10" s="29" t="inlineStr">
        <is>
          <t>2026-10-10</t>
        </is>
      </c>
      <c r="C10" s="30">
        <f>HYPERLINK("https://vk.com/wall-1825701_7503", "Открыть пост")</f>
        <v/>
      </c>
      <c r="D10" s="31" t="inlineStr">
        <is>
          <t>Творческие мастер-классы и художественные студии</t>
        </is>
      </c>
      <c r="E10" s="31" t="inlineStr">
        <is>
          <t>Творческие мастер-классы и художественные студии</t>
        </is>
      </c>
      <c r="F10" s="31" t="inlineStr">
        <is>
          <t>Подопечные фонда «Дети Марии» (общая группа детей и подростков)</t>
        </is>
      </c>
      <c r="G10" s="31" t="inlineStr">
        <is>
          <t>Студия фонда / выездная площадка</t>
        </is>
      </c>
      <c r="H10" s="31"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t>
        </is>
      </c>
      <c r="I10" s="32" t="inlineStr">
        <is>
          <t>Да (в тексте)</t>
        </is>
      </c>
      <c r="J10" s="31" t="inlineStr">
        <is>
          <t>🍂 Мастер-класс «В город приходит осень» — как это было На днях у нас прошёл уютный мастер-класс по рисованию, и мы до сих пор храним то тепло, которое осталось после встречи. Вместе с нашими гостями мы учились передавать осеннюю атмосферу города с помощью красочных пейзажей и дет...</t>
        </is>
      </c>
    </row>
    <row r="11" ht="30" customHeight="1">
      <c r="A11" s="23" t="n">
        <v>7502</v>
      </c>
      <c r="B11" s="24" t="inlineStr">
        <is>
          <t>2026-10-09</t>
        </is>
      </c>
      <c r="C11" s="25">
        <f>HYPERLINK("https://vk.com/wall-1825701_7502", "Открыть пост")</f>
        <v/>
      </c>
      <c r="D11" s="26" t="inlineStr">
        <is>
          <t>Ярмарки, фестивали и благотворительные базары</t>
        </is>
      </c>
      <c r="E11" s="26" t="inlineStr">
        <is>
          <t>Ярмарки, фестивали и благотворительные базары; Творческие мастер-классы и художественные студии</t>
        </is>
      </c>
      <c r="F11" s="26" t="inlineStr">
        <is>
          <t>Подопечные фонда «Дети Марии» (общая группа детей и подростков)</t>
        </is>
      </c>
      <c r="G11" s="26" t="inlineStr">
        <is>
          <t>Студия фонда / выездная площадка</t>
        </is>
      </c>
      <c r="H11"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t>
        </is>
      </c>
      <c r="I11" s="27" t="inlineStr">
        <is>
          <t>По формату занятия</t>
        </is>
      </c>
      <c r="J11" s="26" t="inlineStr">
        <is>
          <t>Готовимся к Шерстяному Базару — валяем вот таких кругленьких овечек из чистой овечьей шерсти! 🐑 Всё потому, что овечка — символ будущего года. Такая овечка украсит новогоднюю ёлку или станет брелоком или обвесом на сумку. Ощутить тепло и мягкость овечек и других валяных игрушек м...</t>
        </is>
      </c>
    </row>
    <row r="12" ht="30" customHeight="1">
      <c r="A12" s="28" t="n">
        <v>7498</v>
      </c>
      <c r="B12" s="29" t="inlineStr">
        <is>
          <t>2026-10-04</t>
        </is>
      </c>
      <c r="C12" s="30">
        <f>HYPERLINK("https://vk.com/wall-1825701_7498", "Открыть пост")</f>
        <v/>
      </c>
      <c r="D12" s="31" t="inlineStr">
        <is>
          <t>Ярмарки, фестивали и благотворительные базары</t>
        </is>
      </c>
      <c r="E12" s="31" t="inlineStr">
        <is>
          <t>Ярмарки, фестивали и благотворительные базары</t>
        </is>
      </c>
      <c r="F12" s="31" t="inlineStr">
        <is>
          <t>Подопечные фонда «Дети Марии» (общая группа детей и подростков)</t>
        </is>
      </c>
      <c r="G12" s="31" t="inlineStr">
        <is>
          <t>Студия фонда / выездная площадка</t>
        </is>
      </c>
      <c r="H12" s="31"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 Организационные, ивент- и ярмарочные навыки</t>
        </is>
      </c>
      <c r="I12" s="32" t="inlineStr">
        <is>
          <t>По формату занятия</t>
        </is>
      </c>
      <c r="J12" s="31" t="inlineStr">
        <is>
          <t>Октябрь уж наступил. А это значит, что скоро Шерстяной Базар! Мы горды, что снова станем участниками этого популярного маркета с изделиями наших инклюзивных мастерских. 🐑🧶 Скоро расскажем подробнее, что готовим к событию, а пока условимся о встрече: 🗓•17-18 октября 12:00-20:00 📍Д...</t>
        </is>
      </c>
    </row>
    <row r="13" ht="30" customHeight="1">
      <c r="A13" s="23" t="n">
        <v>7497</v>
      </c>
      <c r="B13" s="24" t="inlineStr">
        <is>
          <t>2026-10-02</t>
        </is>
      </c>
      <c r="C13" s="25">
        <f>HYPERLINK("https://vk.com/wall-1825701_7497", "Открыть пост")</f>
        <v/>
      </c>
      <c r="D13" s="26" t="inlineStr">
        <is>
          <t>Творческие мастер-классы и художественные студии</t>
        </is>
      </c>
      <c r="E13" s="26" t="inlineStr">
        <is>
          <t>Творческие мастер-классы и художественные студии</t>
        </is>
      </c>
      <c r="F13" s="26" t="inlineStr">
        <is>
          <t>Подопечные фонда «Дети Марии» (общая группа детей и подростков)</t>
        </is>
      </c>
      <c r="G13" s="26" t="inlineStr">
        <is>
          <t>Студия фонда / выездная площадка</t>
        </is>
      </c>
      <c r="H13" s="26"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t>
        </is>
      </c>
      <c r="I13" s="27" t="inlineStr">
        <is>
          <t>Да (в тексте)</t>
        </is>
      </c>
      <c r="J13" s="26" t="inlineStr">
        <is>
          <t>Вчера в фонде «Дети Марии» было по-настоящему тепло и красочно! К нам пришли ребята — и началось настоящее осеннее волшебство. Вместе с волонтёрами и ведущими мастерских фонда «Дети Марии» мы провели мастер-класс по рисованию «В город приходит осень». Рисовали осенние пейзажи: зо...</t>
        </is>
      </c>
    </row>
    <row r="14" ht="30" customHeight="1">
      <c r="A14" s="28" t="n">
        <v>7496</v>
      </c>
      <c r="B14" s="29" t="inlineStr">
        <is>
          <t>2026-10-01</t>
        </is>
      </c>
      <c r="C14" s="30">
        <f>HYPERLINK("https://vk.com/wall-1825701_7496", "Открыть пост")</f>
        <v/>
      </c>
      <c r="D14" s="31" t="inlineStr">
        <is>
          <t>Волонтёрские встречи, обучение и дни открытых дверей</t>
        </is>
      </c>
      <c r="E14" s="31" t="inlineStr">
        <is>
          <t>Волонтёрские встречи, обучение и дни открытых дверей; Творческие мастер-классы и художественные студии</t>
        </is>
      </c>
      <c r="F14" s="31" t="inlineStr">
        <is>
          <t>Волонтёры, тьюторы и команда НКО</t>
        </is>
      </c>
      <c r="G14" s="31" t="inlineStr">
        <is>
          <t>Студия фонда / выездная площадка</t>
        </is>
      </c>
      <c r="H14" s="31" t="inlineStr">
        <is>
          <t>Коммуникативные навыки, эмпатия и тьюторское сопровождение; Медиа, фото/видеосъёмка и культурная медиация</t>
        </is>
      </c>
      <c r="I14" s="32" t="inlineStr">
        <is>
          <t>Да (в тексте)</t>
        </is>
      </c>
      <c r="J14" s="31" t="inlineStr">
        <is>
          <t>❤ Волонтёрство в «Дети Марии»: Быть рядом Открываем набор волонтёров! В нашу команду мы ищем инициативных добровольцев, которые хотят делиться своим временем, знаниями, навыками и увлечениями. А мы поможем найти формат участия, который подойдёт именно вам. Кто-то может стать свои...</t>
        </is>
      </c>
    </row>
    <row r="15" ht="30" customHeight="1">
      <c r="A15" s="23" t="n">
        <v>7495</v>
      </c>
      <c r="B15" s="24" t="inlineStr">
        <is>
          <t>2026-10-01</t>
        </is>
      </c>
      <c r="C15" s="25">
        <f>HYPERLINK("https://vk.com/wall-1825701_7495", "Открыть пост")</f>
        <v/>
      </c>
      <c r="D15" s="26" t="inlineStr">
        <is>
          <t>Творческие мастер-классы и художественные студии</t>
        </is>
      </c>
      <c r="E15" s="26" t="inlineStr">
        <is>
          <t>Творческие мастер-классы и художественные студии; Выездные лагеря, дача и сезонные программы; Праздники, дни рождения и клубные встречи</t>
        </is>
      </c>
      <c r="F15" s="26" t="inlineStr">
        <is>
          <t>Подростки и взрослые с ментальными особенностями и ОВЗ (ПНИ / Социальные дома); Воспитанники ЦССВ, ДДИ и детских домов-интернатов</t>
        </is>
      </c>
      <c r="G15" s="26" t="inlineStr">
        <is>
          <t>социальных домов «Филимонки», ЦССВ «Сколковский»</t>
        </is>
      </c>
      <c r="H15"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 Мобильность, выездное сопровождение и автоволонтёрство; Медиа, фото/видеосъёмка и культурная медиация</t>
        </is>
      </c>
      <c r="I15" s="27" t="inlineStr">
        <is>
          <t>Да (в тексте)</t>
        </is>
      </c>
      <c r="J15" s="26" t="inlineStr">
        <is>
          <t>Наши развивающие занятия и творческие мастерские проходят 7 дней в неделю, почти без перерывов даже на праздники. Отдельное место в плотном расписании занимают субботы. В эти дни мы собираем участников из социальных домов «Филимонки», «Нагатино-Садовники» и ЦССВ «Сколковский» в з...</t>
        </is>
      </c>
    </row>
    <row r="16" ht="30" customHeight="1">
      <c r="A16" s="28" t="n">
        <v>7494</v>
      </c>
      <c r="B16" s="29" t="inlineStr">
        <is>
          <t>2026-09-25</t>
        </is>
      </c>
      <c r="C16" s="30">
        <f>HYPERLINK("https://vk.com/wall-1825701_7494", "Открыть пост")</f>
        <v/>
      </c>
      <c r="D16" s="31" t="inlineStr">
        <is>
          <t>Выездные лагеря, дача и сезонные программы</t>
        </is>
      </c>
      <c r="E16" s="31" t="inlineStr">
        <is>
          <t>Выездные лагеря, дача и сезонные программы</t>
        </is>
      </c>
      <c r="F16" s="31" t="inlineStr">
        <is>
          <t>Подопечные фонда «Дети Марии» (общая группа детей и подростков)</t>
        </is>
      </c>
      <c r="G16" s="31" t="inlineStr">
        <is>
          <t>Студия фонда / выездная площадка</t>
        </is>
      </c>
      <c r="H16" s="31" t="inlineStr">
        <is>
          <t>Коммуникативные навыки, эмпатия и тьюторское сопровождение; Педагогические и наставнические навыки (кулинария, быт, учёба); Медиа, фото/видеосъёмка и культурная медиация</t>
        </is>
      </c>
      <c r="I16" s="32" t="inlineStr">
        <is>
          <t>По формату занятия</t>
        </is>
      </c>
      <c r="J16" s="31" t="inlineStr">
        <is>
          <t>Подводим итоги лета Друзья, сторонники, товарищи, партнёры! Мы полны благодарности и рады представить вам итоги нашей летней арт-программы, которая проходила с 7 июля по 6 августа 2026 года. Мы свели все цифры, собрали обратную связь, проанализировали отзывы и истории трех потоко...</t>
        </is>
      </c>
    </row>
    <row r="17" ht="30" customHeight="1">
      <c r="A17" s="23" t="n">
        <v>7493</v>
      </c>
      <c r="B17" s="24" t="inlineStr">
        <is>
          <t>2026-09-25</t>
        </is>
      </c>
      <c r="C17" s="25">
        <f>HYPERLINK("https://vk.com/wall-1825701_7493", "Открыть пост")</f>
        <v/>
      </c>
      <c r="D17" s="26" t="inlineStr">
        <is>
          <t>Выставки, экскурсии и культурные выходы</t>
        </is>
      </c>
      <c r="E17" s="26" t="inlineStr">
        <is>
          <t>Выставки, экскурсии и культурные выходы</t>
        </is>
      </c>
      <c r="F17" s="26" t="inlineStr">
        <is>
          <t>Широкая аудитория, гости и благотворители (открытые события)</t>
        </is>
      </c>
      <c r="G17" s="26" t="inlineStr">
        <is>
          <t>ГЭС–2</t>
        </is>
      </c>
      <c r="H17" s="26" t="inlineStr">
        <is>
          <t>Медиа, фото/видеосъёмка и культурная медиация</t>
        </is>
      </c>
      <c r="I17" s="27" t="inlineStr">
        <is>
          <t>По формату занятия</t>
        </is>
      </c>
      <c r="J17" s="26" t="inlineStr">
        <is>
          <t>Какие у вас планы на выходные? У нас есть идея! Приглашаем вас посетить выставку «Все люди красивые» в ГЭС–2. Выставка стала результатом совместной лаборатории нашего фонда и ГЭС–2. В эти выходные вы сможете присоединиться к медиаторским турам от участников наших мастерских. Худо...</t>
        </is>
      </c>
    </row>
    <row r="18" ht="30" customHeight="1">
      <c r="A18" s="28" t="n">
        <v>7492</v>
      </c>
      <c r="B18" s="29" t="inlineStr">
        <is>
          <t>2026-09-24</t>
        </is>
      </c>
      <c r="C18" s="30">
        <f>HYPERLINK("https://vk.com/wall-1825701_7492", "Открыть пост")</f>
        <v/>
      </c>
      <c r="D18" s="31" t="inlineStr">
        <is>
          <t>Творческие мастер-классы и художественные студии</t>
        </is>
      </c>
      <c r="E18" s="31" t="inlineStr">
        <is>
          <t>Творческие мастер-классы и художественные студии; Кулинарные, образовательные и социально-бытовые занятия</t>
        </is>
      </c>
      <c r="F18" s="31" t="inlineStr">
        <is>
          <t>Подопечные фонда «Дети Марии» (общая группа детей и подростков)</t>
        </is>
      </c>
      <c r="G18" s="31" t="inlineStr">
        <is>
          <t>Студия фонда / выездная площадка</t>
        </is>
      </c>
      <c r="H18" s="31" t="inlineStr">
        <is>
          <t>Художественно-прикладные и ремесленные навыки; Педагогические и наставнические навыки (кулинария, быт, учёба)</t>
        </is>
      </c>
      <c r="I18" s="32" t="inlineStr">
        <is>
          <t>Да (в тексте)</t>
        </is>
      </c>
      <c r="J18" s="31" t="inlineStr">
        <is>
          <t>Привет, друзья! Хотим поделиться, как прошли две наши встречи. Обе получились тёплыми, творческими и очень уютными. Первая встреча: «Всё для школы — своими руками» Вместе с волонтёрами фонда «Дети Марии» мы делали полезные мелочи из подручных материалов: закладки для книг, подста...</t>
        </is>
      </c>
    </row>
    <row r="19" ht="30" customHeight="1">
      <c r="A19" s="23" t="n">
        <v>7489</v>
      </c>
      <c r="B19" s="24" t="inlineStr">
        <is>
          <t>2026-09-20</t>
        </is>
      </c>
      <c r="C19" s="25">
        <f>HYPERLINK("https://vk.com/wall-1825701_7489", "Открыть пост")</f>
        <v/>
      </c>
      <c r="D19" s="26" t="inlineStr">
        <is>
          <t>Кулинарные, образовательные и социально-бытовые занятия</t>
        </is>
      </c>
      <c r="E19" s="26" t="inlineStr">
        <is>
          <t>Кулинарные, образовательные и социально-бытовые занятия</t>
        </is>
      </c>
      <c r="F19" s="26" t="inlineStr">
        <is>
          <t>Подопечные фонда «Дети Марии» (общая группа детей и подростков)</t>
        </is>
      </c>
      <c r="G19" s="26" t="inlineStr">
        <is>
          <t>Студия фонда / выездная площадка</t>
        </is>
      </c>
      <c r="H19" s="26" t="inlineStr">
        <is>
          <t>Педагогические и наставнические навыки (кулинария, быт, учёба)</t>
        </is>
      </c>
      <c r="I19" s="27" t="inlineStr">
        <is>
          <t>Да (в тексте)</t>
        </is>
      </c>
      <c r="J19" s="26" t="inlineStr">
        <is>
          <t>Говорим о безопасности — без страха и запугивания Привет, друзья! Хотим рассказать, как прошла одна из наших недавних встреч. Вместе с волонтёрами и нашими участниками мы обсуждали важную тему: что делать, если заметил на улице подозрительный предмет или у тебя что-то просит незн...</t>
        </is>
      </c>
    </row>
    <row r="20" ht="30" customHeight="1">
      <c r="A20" s="28" t="n">
        <v>7488</v>
      </c>
      <c r="B20" s="29" t="inlineStr">
        <is>
          <t>2026-09-18</t>
        </is>
      </c>
      <c r="C20" s="30">
        <f>HYPERLINK("https://vk.com/wall-1825701_7488", "Открыть пост")</f>
        <v/>
      </c>
      <c r="D20" s="31" t="inlineStr">
        <is>
          <t>Творческие мастер-классы и художественные студии</t>
        </is>
      </c>
      <c r="E20" s="31" t="inlineStr">
        <is>
          <t>Творческие мастер-классы и художественные студии</t>
        </is>
      </c>
      <c r="F20" s="31" t="inlineStr">
        <is>
          <t>Подопечные фонда «Дети Марии» (общая группа детей и подростков)</t>
        </is>
      </c>
      <c r="G20" s="31" t="inlineStr">
        <is>
          <t>Студия фонда / выездная площадка</t>
        </is>
      </c>
      <c r="H20" s="31" t="inlineStr">
        <is>
          <t>Художественно-прикладные и ремесленные навыки</t>
        </is>
      </c>
      <c r="I20" s="32" t="inlineStr">
        <is>
          <t>По формату занятия</t>
        </is>
      </c>
      <c r="J20" s="31" t="inlineStr">
        <is>
          <t>Волшебство из одного листа Как прошёл наш мастер-класс по оригами Мастера вместе с детьми складывали простые фигурки: журавлика, лягушку или цветок. Пошагово прошли путь создания красивого предмета из единственного листа бумаги — от обычного квадрата до готовой фигурки. Было меди...</t>
        </is>
      </c>
    </row>
    <row r="21" ht="30" customHeight="1">
      <c r="A21" s="23" t="n">
        <v>7487</v>
      </c>
      <c r="B21" s="24" t="inlineStr">
        <is>
          <t>2026-09-17</t>
        </is>
      </c>
      <c r="C21" s="25">
        <f>HYPERLINK("https://vk.com/wall-1825701_7487", "Открыть пост")</f>
        <v/>
      </c>
      <c r="D21" s="26" t="inlineStr">
        <is>
          <t>Творческие мастер-классы и художественные студии</t>
        </is>
      </c>
      <c r="E21" s="26" t="inlineStr">
        <is>
          <t>Творческие мастер-классы и художественные студии</t>
        </is>
      </c>
      <c r="F21" s="26" t="inlineStr">
        <is>
          <t>Подопечные фонда «Дети Марии» (общая группа детей и подростков)</t>
        </is>
      </c>
      <c r="G21" s="26" t="inlineStr">
        <is>
          <t>Студия фонда / выездная площадка</t>
        </is>
      </c>
      <c r="H21" s="26" t="inlineStr">
        <is>
          <t>Коммуникативные навыки, эмпатия и тьюторское сопровождение; Педагогические и наставнические навыки (кулинария, быт, учёба)</t>
        </is>
      </c>
      <c r="I21" s="27" t="inlineStr">
        <is>
          <t>По формату занятия</t>
        </is>
      </c>
      <c r="J21" s="26" t="inlineStr">
        <is>
          <t>Ура! Мы встретились! 🥰 🌼 Сегодня прошла наша первая и такая долгожданная встреча с участниками мастерских — стартовал новый сезон! Занятия ещё впереди, а сегодня мы просто вспомнили основные правила фонда: как себя вести, чего делать не стоит и как сделать жизнь друг друга проще ...</t>
        </is>
      </c>
    </row>
    <row r="22" ht="30" customHeight="1">
      <c r="A22" s="28" t="n">
        <v>7486</v>
      </c>
      <c r="B22" s="29" t="inlineStr">
        <is>
          <t>2026-09-17</t>
        </is>
      </c>
      <c r="C22" s="30">
        <f>HYPERLINK("https://vk.com/wall-1825701_7486", "Открыть пост")</f>
        <v/>
      </c>
      <c r="D22" s="31" t="inlineStr">
        <is>
          <t>Ярмарки, фестивали и благотворительные базары</t>
        </is>
      </c>
      <c r="E22" s="31" t="inlineStr">
        <is>
          <t>Ярмарки, фестивали и благотворительные базары</t>
        </is>
      </c>
      <c r="F22" s="31" t="inlineStr">
        <is>
          <t>Подопечные фонда «Дети Марии» (общая группа детей и подростков)</t>
        </is>
      </c>
      <c r="G22" s="31" t="inlineStr">
        <is>
          <t>Студия фонда / выездная площадка</t>
        </is>
      </c>
      <c r="H22" s="31" t="inlineStr">
        <is>
          <t>Артистические, музыкальные и спортивно-игровые навыки; Организационные, ивент- и ярмарочные навыки</t>
        </is>
      </c>
      <c r="I22" s="32" t="inlineStr">
        <is>
          <t>По формату занятия</t>
        </is>
      </c>
      <c r="J22" s="31" t="inlineStr">
        <is>
          <t>Встречаем осень красиво🍁 Приглашаем 18, 19 и 20 сентября на ярмарку «Жить красиво», где будут представлены товары участников социального маркетплейса «Москва — добрый город»: (https://dobrayamoskva.ru/stores) 🔹Благотворительный фонд Творческое объединение «Круг» 🔹Автономная неком...</t>
        </is>
      </c>
    </row>
    <row r="23" ht="30" customHeight="1">
      <c r="A23" s="23" t="n">
        <v>7482</v>
      </c>
      <c r="B23" s="24" t="inlineStr">
        <is>
          <t>2026-09-12</t>
        </is>
      </c>
      <c r="C23" s="25">
        <f>HYPERLINK("https://vk.com/wall-1825701_7482", "Открыть пост")</f>
        <v/>
      </c>
      <c r="D23" s="26" t="inlineStr">
        <is>
          <t>Творческие мастер-классы и художественные студии</t>
        </is>
      </c>
      <c r="E23" s="26" t="inlineStr">
        <is>
          <t>Творческие мастер-классы и художественные студии</t>
        </is>
      </c>
      <c r="F23" s="26" t="inlineStr">
        <is>
          <t>Широкая аудитория, гости и благотворители (открытые события)</t>
        </is>
      </c>
      <c r="G23" s="26" t="inlineStr">
        <is>
          <t>Студия фонда / выездная площадка</t>
        </is>
      </c>
      <c r="H23" s="26"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t>
        </is>
      </c>
      <c r="I23" s="27" t="inlineStr">
        <is>
          <t>Да (в тексте)</t>
        </is>
      </c>
      <c r="J23" s="26" t="inlineStr">
        <is>
          <t>☀•Погода ещё держит летний ритм, но природу не обмануть. Листья желтеют, золотая осень вступает в свои права и радует теплом. В студии фонда «Дети Марии» Новинский 25 волонтёры и ведущие занятий провели 3 сентября открытый мастер-класс «Осенние поделки: уют и тепло своими руками»...</t>
        </is>
      </c>
    </row>
    <row r="24" ht="30" customHeight="1">
      <c r="A24" s="28" t="n">
        <v>7481</v>
      </c>
      <c r="B24" s="29" t="inlineStr">
        <is>
          <t>2026-09-09</t>
        </is>
      </c>
      <c r="C24" s="30">
        <f>HYPERLINK("https://vk.com/wall-1825701_7481", "Открыть пост")</f>
        <v/>
      </c>
      <c r="D24" s="31" t="inlineStr">
        <is>
          <t>Выставки, экскурсии и культурные выходы</t>
        </is>
      </c>
      <c r="E24" s="31" t="inlineStr">
        <is>
          <t>Выставки, экскурсии и культурные выходы; Творческие мастер-классы и художественные студии</t>
        </is>
      </c>
      <c r="F24" s="31" t="inlineStr">
        <is>
          <t>Подростки и взрослые с ментальными особенностями и ОВЗ (ПНИ / Социальные дома); Широкая аудитория, гости и благотворители (открытые события)</t>
        </is>
      </c>
      <c r="G24" s="31" t="inlineStr">
        <is>
          <t>ГЭС-2</t>
        </is>
      </c>
      <c r="H24" s="31" t="inlineStr">
        <is>
          <t>Педагогические и наставнические навыки (кулинария, быт, учёба); Мобильность, выездное сопровождение и автоволонтёрство; Медиа, фото/видеосъёмка и культурная медиация</t>
        </is>
      </c>
      <c r="I24" s="32" t="inlineStr">
        <is>
          <t>По формату занятия</t>
        </is>
      </c>
      <c r="J24" s="31" t="inlineStr">
        <is>
          <t>Все люди красивые (https://ges-2.org/forms-of-touch-all-people-are-beautiful) С большим воодушевлением ждём открытия выставки наших участников, постоянно проживающих в социальных домах (ПНИ) в «ГЭС-2» и приглашаем вас: со следующей среды 16–29 сентября 2026 показ работ третьего с...</t>
        </is>
      </c>
    </row>
    <row r="25" ht="30" customHeight="1">
      <c r="A25" s="23" t="n">
        <v>7476</v>
      </c>
      <c r="B25" s="24" t="inlineStr">
        <is>
          <t>2026-09-01</t>
        </is>
      </c>
      <c r="C25" s="25">
        <f>HYPERLINK("https://vk.com/wall-1825701_7476", "Открыть пост")</f>
        <v/>
      </c>
      <c r="D25" s="26" t="inlineStr">
        <is>
          <t>Кулинарные, образовательные и социально-бытовые занятия</t>
        </is>
      </c>
      <c r="E25" s="26" t="inlineStr">
        <is>
          <t>Кулинарные, образовательные и социально-бытовые занятия</t>
        </is>
      </c>
      <c r="F25" s="26" t="inlineStr">
        <is>
          <t>Воспитанники ЦССВ, ДДИ и детских домов-интернатов; Выпускники интернатов и детских домов (молодые взрослые)</t>
        </is>
      </c>
      <c r="G25" s="26" t="inlineStr">
        <is>
          <t>Студия фонда / выездная площадка</t>
        </is>
      </c>
      <c r="H25" s="26" t="inlineStr">
        <is>
          <t>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t>
        </is>
      </c>
      <c r="I25" s="27" t="inlineStr">
        <is>
          <t>По формату занятия</t>
        </is>
      </c>
      <c r="J25" s="26" t="inlineStr">
        <is>
          <t>🌸 С Днём знаний! 🏡 Накануне учебного года мы собрали участников наших программ — выпускников детских домов и их детей, чтобы зарядиться хорошим настроением. Команда фонда устроила для ребят весёлую викторину про школу — вспоминали предметы, отвечали на хитрые вопросы, спорили и с...</t>
        </is>
      </c>
    </row>
    <row r="26" ht="30" customHeight="1">
      <c r="A26" s="28" t="n">
        <v>7473</v>
      </c>
      <c r="B26" s="29" t="inlineStr">
        <is>
          <t>2026-08-31</t>
        </is>
      </c>
      <c r="C26" s="30">
        <f>HYPERLINK("https://vk.com/wall-1825701_7473", "Открыть пост")</f>
        <v/>
      </c>
      <c r="D26" s="31" t="inlineStr">
        <is>
          <t>Кулинарные, образовательные и социально-бытовые занятия</t>
        </is>
      </c>
      <c r="E26" s="31" t="inlineStr">
        <is>
          <t>Кулинарные, образовательные и социально-бытовые занятия</t>
        </is>
      </c>
      <c r="F26" s="31" t="inlineStr">
        <is>
          <t>Выпускники интернатов и детских домов (молодые взрослые)</t>
        </is>
      </c>
      <c r="G26" s="31" t="inlineStr">
        <is>
          <t>Студия фонда / выездная площадка</t>
        </is>
      </c>
      <c r="H26" s="31" t="inlineStr">
        <is>
          <t>Коммуникативные навыки, эмпатия и тьюторское сопровождение; Педагогические и наставнические навыки (кулинария, быт, учёба)</t>
        </is>
      </c>
      <c r="I26" s="32" t="inlineStr">
        <is>
          <t>Да (в тексте)</t>
        </is>
      </c>
      <c r="J26" s="31" t="inlineStr">
        <is>
          <t>Разговоры о рецептах вкусных блюд и выгодных покупках Оля — одна из участниц нашей кулинарной мастерской. Она уже живёт на тренировочной квартире. За время занятий Оля по-настоящему полюбила готовить: теперь сама ищет рецепты, пробует новое и не боится экспериментировать на кухне...</t>
        </is>
      </c>
    </row>
    <row r="27" ht="30" customHeight="1">
      <c r="A27" s="23" t="n">
        <v>7472</v>
      </c>
      <c r="B27" s="24" t="inlineStr">
        <is>
          <t>2026-08-28</t>
        </is>
      </c>
      <c r="C27" s="25">
        <f>HYPERLINK("https://vk.com/wall-1825701_7472", "Открыть пост")</f>
        <v/>
      </c>
      <c r="D27" s="26" t="inlineStr">
        <is>
          <t>Творческие мастер-классы и художественные студии</t>
        </is>
      </c>
      <c r="E27" s="26" t="inlineStr">
        <is>
          <t>Творческие мастер-классы и художественные студии; Выездные лагеря, дача и сезонные программы; Кулинарные, образовательные и социально-бытовые занятия; Спектакли, концерты и музыкально-театральные занятия</t>
        </is>
      </c>
      <c r="F27" s="26" t="inlineStr">
        <is>
          <t>Воспитанники ЦССВ, ДДИ и детских домов-интернатов; Широкая аудитория, гости и благотворители (открытые события); Выпускники интернатов и детских домов (молодые взрослые); Дети и семьи (в т.ч. приёмные семьи и программа в Беслане)</t>
        </is>
      </c>
      <c r="G27" s="26" t="inlineStr">
        <is>
          <t>интерната «Надежда«, интерната «Надежда», Беслан</t>
        </is>
      </c>
      <c r="H27"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t>
        </is>
      </c>
      <c r="I27" s="27" t="inlineStr">
        <is>
          <t>Да (в тексте)</t>
        </is>
      </c>
      <c r="J27" s="26" t="inlineStr">
        <is>
          <t>Яркие моменты заботы от нашей команды для детей и гостей арт-резиденции Друзья, наша летняя программа была очень насыщенной. Для себя мы хотим запомнить короткие события, которые дополнили каждый заезд сверх интенсивной программы. Мы делимся самыми тёплыми моментами, которые пода...</t>
        </is>
      </c>
    </row>
    <row r="28" ht="30" customHeight="1">
      <c r="A28" s="28" t="n">
        <v>7471</v>
      </c>
      <c r="B28" s="29" t="inlineStr">
        <is>
          <t>2026-08-26</t>
        </is>
      </c>
      <c r="C28" s="30">
        <f>HYPERLINK("https://vk.com/wall-1825701_7471", "Открыть пост")</f>
        <v/>
      </c>
      <c r="D28" s="31" t="inlineStr">
        <is>
          <t>Ярмарки, фестивали и благотворительные базары</t>
        </is>
      </c>
      <c r="E28" s="31" t="inlineStr">
        <is>
          <t>Ярмарки, фестивали и благотворительные базары; Творческие мастер-классы и художественные студии</t>
        </is>
      </c>
      <c r="F28" s="31" t="inlineStr">
        <is>
          <t>Широкая аудитория, гости и благотворители (открытые события)</t>
        </is>
      </c>
      <c r="G28" s="31" t="inlineStr">
        <is>
          <t>Студия фонда / выездная площадка</t>
        </is>
      </c>
      <c r="H28" s="31" t="inlineStr">
        <is>
          <t>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t>
        </is>
      </c>
      <c r="I28" s="32" t="inlineStr">
        <is>
          <t>По формату занятия</t>
        </is>
      </c>
      <c r="J28" s="31" t="inlineStr">
        <is>
          <t>🌟 Назад в будущее? Нет, назад в ГОРОД! 😊 29 августа приглашаем вас на маркет журнала Seasons of life который пройдет в ТРЦ ГОРОД Лефортово. Мы будем рады видеть вас за нашим столом. 🌷 Мы собрали работы участников наших творческих мастерских: вещи для дома, аксессуары, приятные ме...</t>
        </is>
      </c>
    </row>
    <row r="29" ht="30" customHeight="1">
      <c r="A29" s="23" t="n">
        <v>7470</v>
      </c>
      <c r="B29" s="24" t="inlineStr">
        <is>
          <t>2026-08-25</t>
        </is>
      </c>
      <c r="C29" s="25">
        <f>HYPERLINK("https://vk.com/wall-1825701_7470", "Открыть пост")</f>
        <v/>
      </c>
      <c r="D29" s="26" t="inlineStr">
        <is>
          <t>Выставки, экскурсии и культурные выходы</t>
        </is>
      </c>
      <c r="E29" s="26" t="inlineStr">
        <is>
          <t>Выставки, экскурсии и культурные выходы; Творческие мастер-классы и художественные студии; Спектакли, концерты и музыкально-театральные занятия</t>
        </is>
      </c>
      <c r="F29" s="26" t="inlineStr">
        <is>
          <t>Подопечные фонда «Дети Марии» (общая группа детей и подростков)</t>
        </is>
      </c>
      <c r="G29" s="26" t="inlineStr">
        <is>
          <t>ГЭС–2</t>
        </is>
      </c>
      <c r="H29" s="26" t="inlineStr">
        <is>
          <t>Художественно-прикладные и ремесленные навыки; Педагогические и наставнические навыки (кулинария, быт, учёба); Мобильность, выездное сопровождение и автоволонтёрство</t>
        </is>
      </c>
      <c r="I29" s="27" t="inlineStr">
        <is>
          <t>Да (в тексте)</t>
        </is>
      </c>
      <c r="J29" s="26" t="inlineStr">
        <is>
          <t>📚 Совместные мастерские фонда «Дети Марии» с Домом культуры «ГЭС–2» подходят к концу. Наши мастерские в ГЭС–2 почти завершились, и мы хотим поделиться главными наблюдениями. Сезон выдался насыщенным — и кое-что в нём было впервые. Подробно рассказывает наш куратор — Артём Букетов...</t>
        </is>
      </c>
    </row>
    <row r="30" ht="30" customHeight="1">
      <c r="A30" s="28" t="n">
        <v>7468</v>
      </c>
      <c r="B30" s="29" t="inlineStr">
        <is>
          <t>2026-08-14</t>
        </is>
      </c>
      <c r="C30" s="30">
        <f>HYPERLINK("https://vk.com/wall-1825701_7468", "Открыть пост")</f>
        <v/>
      </c>
      <c r="D30" s="31" t="inlineStr">
        <is>
          <t>Творческие мастер-классы и художественные студии</t>
        </is>
      </c>
      <c r="E30" s="31" t="inlineStr">
        <is>
          <t>Творческие мастер-классы и художественные студии</t>
        </is>
      </c>
      <c r="F30" s="31" t="inlineStr">
        <is>
          <t>Подопечные фонда «Дети Марии» (общая группа детей и подростков)</t>
        </is>
      </c>
      <c r="G30" s="31" t="inlineStr">
        <is>
          <t>Студия фонда / выездная площадка</t>
        </is>
      </c>
      <c r="H30" s="31" t="inlineStr">
        <is>
          <t>Художественно-прикладные и ремесленные навыки; Коммуникативные навыки, эмпатия и тьюторское сопровождение; Медиа, фото/видеосъёмка и культурная медиация</t>
        </is>
      </c>
      <c r="I30" s="32" t="inlineStr">
        <is>
          <t>Да (в тексте)</t>
        </is>
      </c>
      <c r="J30" s="31" t="inlineStr">
        <is>
          <t>Второе дыхание старых вещей. Вчерашний день на двух наших площадках прошёл под знаком креатива и заботы о планете. Волонтёры нашего фонда устроили для участников мастер-классы по превращению отходов в искусство. В ход шло всё: разноцветные крышки превращались в мозаику, картон — ...</t>
        </is>
      </c>
    </row>
    <row r="31" ht="30" customHeight="1">
      <c r="A31" s="23" t="n">
        <v>7466</v>
      </c>
      <c r="B31" s="24" t="inlineStr">
        <is>
          <t>2026-08-12</t>
        </is>
      </c>
      <c r="C31" s="25">
        <f>HYPERLINK("https://vk.com/wall-1825701_7466", "Открыть пост")</f>
        <v/>
      </c>
      <c r="D31" s="26" t="inlineStr">
        <is>
          <t>Ярмарки, фестивали и благотворительные базары</t>
        </is>
      </c>
      <c r="E31" s="26" t="inlineStr">
        <is>
          <t>Ярмарки, фестивали и благотворительные базары; Спектакли, концерты и музыкально-театральные занятия; Выставки, экскурсии и культурные выходы; Творческие мастер-классы и художественные студии</t>
        </is>
      </c>
      <c r="F31" s="26" t="inlineStr">
        <is>
          <t>Широкая аудитория, гости и благотворители (открытые события)</t>
        </is>
      </c>
      <c r="G31" s="26" t="inlineStr">
        <is>
          <t>Студия фонда / выездная площадка</t>
        </is>
      </c>
      <c r="H31" s="26" t="inlineStr">
        <is>
          <t>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 Мобильность, выездное сопровождение и автоволонтёрство</t>
        </is>
      </c>
      <c r="I31" s="27" t="inlineStr">
        <is>
          <t>По формату занятия</t>
        </is>
      </c>
      <c r="J31" s="26" t="inlineStr">
        <is>
          <t>🐚 Фестиваль More Amore возвращается с новыми датами и площадкой! 🤍 Ждём вас в эти выходные. Любимый городской праздник журнала Seasons of life, стал еще просторнее и комфортнее для гостей. Что вас ждёт на фестивале: 🌸 больше 60 брендов; 🌹 удивительные мастер-классы; 🌸 спектакли; ...</t>
        </is>
      </c>
    </row>
    <row r="32" ht="30" customHeight="1">
      <c r="A32" s="28" t="n">
        <v>7465</v>
      </c>
      <c r="B32" s="29" t="inlineStr">
        <is>
          <t>2026-08-07</t>
        </is>
      </c>
      <c r="C32" s="30">
        <f>HYPERLINK("https://vk.com/wall-1825701_7465", "Открыть пост")</f>
        <v/>
      </c>
      <c r="D32" s="31" t="inlineStr">
        <is>
          <t>Ярмарки, фестивали и благотворительные базары</t>
        </is>
      </c>
      <c r="E32" s="31" t="inlineStr">
        <is>
          <t>Ярмарки, фестивали и благотворительные базары; Творческие мастер-классы и художественные студии; Кулинарные, образовательные и социально-бытовые занятия</t>
        </is>
      </c>
      <c r="F32" s="31" t="inlineStr">
        <is>
          <t>Широкая аудитория, гости и благотворители (открытые события)</t>
        </is>
      </c>
      <c r="G32" s="31" t="inlineStr">
        <is>
          <t>Студия фонда / выездная площадка</t>
        </is>
      </c>
      <c r="H32"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t>
        </is>
      </c>
      <c r="I32" s="32" t="inlineStr">
        <is>
          <t>По формату занятия</t>
        </is>
      </c>
      <c r="J32" s="31" t="inlineStr">
        <is>
          <t>❤Друзья, в субботу 8 августа в Саду имени Баумана праздник — день рождения социального маркетплейса «Москва — добрый город» (https://t.me/moscowkindcity). 🌟 Мы также приезжаем на этот фестиваль с изделиями наших участников. Приходите к нашему стенду: там будут керамика, текстиль,...</t>
        </is>
      </c>
    </row>
    <row r="33" ht="30" customHeight="1">
      <c r="A33" s="23" t="n">
        <v>7463</v>
      </c>
      <c r="B33" s="24" t="inlineStr">
        <is>
          <t>2026-08-04</t>
        </is>
      </c>
      <c r="C33" s="25">
        <f>HYPERLINK("https://vk.com/wall-1825701_7463", "Открыть пост")</f>
        <v/>
      </c>
      <c r="D33" s="26" t="inlineStr">
        <is>
          <t>Выездные лагеря, дача и сезонные программы</t>
        </is>
      </c>
      <c r="E33" s="26" t="inlineStr">
        <is>
          <t>Выездные лагеря, дача и сезонные программы</t>
        </is>
      </c>
      <c r="F33" s="26" t="inlineStr">
        <is>
          <t>Подопечные фонда «Дети Марии» (общая группа детей и подростков)</t>
        </is>
      </c>
      <c r="G33" s="26" t="inlineStr">
        <is>
          <t>Студия фонда / выездная площадка</t>
        </is>
      </c>
      <c r="H33" s="26" t="inlineStr">
        <is>
          <t>Коммуникативные навыки, эмпатия и тьюторское сопровождение; Педагогические и наставнические навыки (кулинария, быт, учёба)</t>
        </is>
      </c>
      <c r="I33" s="27" t="inlineStr">
        <is>
          <t>По формату занятия</t>
        </is>
      </c>
      <c r="J33" s="26" t="inlineStr">
        <is>
          <t>Всем большой привет! 🥰 🌟 Большая часть команды фонда сейчас в летней арт-резиденции. Этот текст заряжен творчеством на открытом воздухе и вкусом свежих овощей из парника, за которым следят наши участники. 👑 Перед новым сезоном, который стартует в сентябре, мы успели сдать всю отч...</t>
        </is>
      </c>
    </row>
    <row r="34" ht="30" customHeight="1">
      <c r="A34" s="28" t="n">
        <v>7462</v>
      </c>
      <c r="B34" s="29" t="inlineStr">
        <is>
          <t>2026-07-30</t>
        </is>
      </c>
      <c r="C34" s="30">
        <f>HYPERLINK("https://vk.com/wall-1825701_7462", "Открыть пост")</f>
        <v/>
      </c>
      <c r="D34" s="31" t="inlineStr">
        <is>
          <t>Творческие мастер-классы и художественные студии</t>
        </is>
      </c>
      <c r="E34" s="31" t="inlineStr">
        <is>
          <t>Творческие мастер-классы и художественные студии; Спектакли, концерты и музыкально-театральные занятия</t>
        </is>
      </c>
      <c r="F34" s="31" t="inlineStr">
        <is>
          <t>Подопечные фонда «Дети Марии» (общая группа детей и подростков)</t>
        </is>
      </c>
      <c r="G34" s="31" t="inlineStr">
        <is>
          <t>Студия фонда / выездная площадка</t>
        </is>
      </c>
      <c r="H34"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Медиа, фото/видеосъёмка и культурная медиация</t>
        </is>
      </c>
      <c r="I34" s="32" t="inlineStr">
        <is>
          <t>Да (в тексте)</t>
        </is>
      </c>
      <c r="J34" s="31" t="inlineStr">
        <is>
          <t>🌟 Делимся прекрасной новостью — знакомим вас с нашими новыми партнёрами, командой Мастерской будущего Artful Futures! Коротко о проекте: Artful Futures — Мастерская Будущего - волонтерский образовательный проект, который обеспечивает творческие занятия и предоставляет помощь семь...</t>
        </is>
      </c>
    </row>
    <row r="35" ht="30" customHeight="1">
      <c r="A35" s="23" t="n">
        <v>7455</v>
      </c>
      <c r="B35" s="24" t="inlineStr">
        <is>
          <t>2026-07-24</t>
        </is>
      </c>
      <c r="C35" s="25">
        <f>HYPERLINK("https://vk.com/wall-1825701_7455", "Открыть пост")</f>
        <v/>
      </c>
      <c r="D35" s="26" t="inlineStr">
        <is>
          <t>Кулинарные, образовательные и социально-бытовые занятия</t>
        </is>
      </c>
      <c r="E35" s="26" t="inlineStr">
        <is>
          <t>Кулинарные, образовательные и социально-бытовые занятия</t>
        </is>
      </c>
      <c r="F35" s="26" t="inlineStr">
        <is>
          <t>Подопечные фонда «Дети Марии» (общая группа детей и подростков)</t>
        </is>
      </c>
      <c r="G35" s="26" t="inlineStr">
        <is>
          <t>Студия фонда / выездная площадка</t>
        </is>
      </c>
      <c r="H35" s="26" t="inlineStr">
        <is>
          <t>Педагогические и наставнические навыки (кулинария, быт, учёба)</t>
        </is>
      </c>
      <c r="I35" s="27" t="inlineStr">
        <is>
          <t>Да (в тексте)</t>
        </is>
      </c>
      <c r="J35" s="26" t="inlineStr">
        <is>
          <t>Безопасность без паники 23 июля, в нашем пространстве прошла важная встреча. Волонтёры и педагоги БФ «Дети Марии» собрали участников, чтобы поговорить на тему, которая сегодня актуальна для каждого из нас: «Что делать, если заметил подозрительный предмет или человека?» Главное пр...</t>
        </is>
      </c>
    </row>
    <row r="36" ht="30" customHeight="1">
      <c r="A36" s="28" t="n">
        <v>7454</v>
      </c>
      <c r="B36" s="29" t="inlineStr">
        <is>
          <t>2026-07-21</t>
        </is>
      </c>
      <c r="C36" s="30">
        <f>HYPERLINK("https://vk.com/wall-1825701_7454", "Открыть пост")</f>
        <v/>
      </c>
      <c r="D36" s="31" t="inlineStr">
        <is>
          <t>Выездные лагеря, дача и сезонные программы</t>
        </is>
      </c>
      <c r="E36" s="31" t="inlineStr">
        <is>
          <t>Выездные лагеря, дача и сезонные программы; Творческие мастер-классы и художественные студии</t>
        </is>
      </c>
      <c r="F36" s="31" t="inlineStr">
        <is>
          <t>Подростки и взрослые с ментальными особенностями и ОВЗ (ПНИ / Социальные дома)</t>
        </is>
      </c>
      <c r="G36" s="31" t="inlineStr">
        <is>
          <t>социальных домов «Филимонки»</t>
        </is>
      </c>
      <c r="H36" s="31" t="inlineStr">
        <is>
          <t>Педагогические и наставнические навыки (кулинария, быт, учёба)</t>
        </is>
      </c>
      <c r="I36" s="32" t="inlineStr">
        <is>
          <t>По формату занятия</t>
        </is>
      </c>
      <c r="J36" s="31" t="inlineStr">
        <is>
          <t>☀• В Арт-резиденции пятый день гостят ребята из социальных домов «Филимонки», «Дегунино» и «Обручевский» 🤩 Для них мы постарались устроить насыщенную программу, чтобы они смогли освоить новые и интересные навыки или же закрепить старые, и, конечно же, отдохнуть на природе. Участн...</t>
        </is>
      </c>
    </row>
    <row r="37" ht="30" customHeight="1">
      <c r="A37" s="23" t="n">
        <v>7453</v>
      </c>
      <c r="B37" s="24" t="inlineStr">
        <is>
          <t>2026-07-20</t>
        </is>
      </c>
      <c r="C37" s="25">
        <f>HYPERLINK("https://vk.com/wall-1825701_7453", "Открыть пост")</f>
        <v/>
      </c>
      <c r="D37" s="26" t="inlineStr">
        <is>
          <t>Творческие мастер-классы и художественные студии</t>
        </is>
      </c>
      <c r="E37" s="26" t="inlineStr">
        <is>
          <t>Творческие мастер-классы и художественные студии; Выездные лагеря, дача и сезонные программы; Кулинарные, образовательные и социально-бытовые занятия</t>
        </is>
      </c>
      <c r="F37" s="26" t="inlineStr">
        <is>
          <t>Воспитанники ЦССВ, ДДИ и детских домов-интернатов; Дети и семьи (в т.ч. приёмные семьи и программа в Беслане)</t>
        </is>
      </c>
      <c r="G37" s="26" t="inlineStr">
        <is>
          <t>интерната «Надежда», беслан, интерната «Надежда«</t>
        </is>
      </c>
      <c r="H37"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 Мобильность, выездное сопровождение и автоволонтёрство</t>
        </is>
      </c>
      <c r="I37" s="27" t="inlineStr">
        <is>
          <t>Да (в тексте)</t>
        </is>
      </c>
      <c r="J37" s="26" t="inlineStr">
        <is>
          <t>Рассказываем подробнее о первом заезде нашей летней Арт-резиденции. Это пространство, где дети и подростки пробуют себя в разных профессиях и ремеслах через практику. За неделю участники ходили на занятия по кулинарии, шитью, садоводству и огородничеству — от работы на грядках до...</t>
        </is>
      </c>
    </row>
    <row r="38" ht="30" customHeight="1">
      <c r="A38" s="28" t="n">
        <v>7451</v>
      </c>
      <c r="B38" s="29" t="inlineStr">
        <is>
          <t>2026-07-14</t>
        </is>
      </c>
      <c r="C38" s="30">
        <f>HYPERLINK("https://vk.com/wall-1825701_7451", "Открыть пост")</f>
        <v/>
      </c>
      <c r="D38" s="31" t="inlineStr">
        <is>
          <t>Ярмарки, фестивали и благотворительные базары</t>
        </is>
      </c>
      <c r="E38" s="31" t="inlineStr">
        <is>
          <t>Ярмарки, фестивали и благотворительные базары; Творческие мастер-классы и художественные студии; Выставки, экскурсии и культурные выходы; Спектакли, концерты и музыкально-театральные занятия</t>
        </is>
      </c>
      <c r="F38" s="31" t="inlineStr">
        <is>
          <t>Широкая аудитория, гости и благотворители (открытые события)</t>
        </is>
      </c>
      <c r="G38" s="31" t="inlineStr">
        <is>
          <t>Студия фонда / выездная площадка</t>
        </is>
      </c>
      <c r="H38" s="31" t="inlineStr">
        <is>
          <t>Артистические, музыкальные и спортивно-игровые навыки; Организационные, ивент- и ярмарочные навыки; Мобильность, выездное сопровождение и автоволонтёрство</t>
        </is>
      </c>
      <c r="I38" s="32" t="inlineStr">
        <is>
          <t>По формату занятия</t>
        </is>
      </c>
      <c r="J38" s="31" t="inlineStr">
        <is>
          <t>🐠 Море волнуется раз, мы волнуемся два — и это чистая правда! А всё потому, что уже совсем скоро мы встретимся с вами на маркете фестиваля More Amore, который проводят наши друзья из журнала Seasons of life. Спойлер: будет жарко (даже без солнца). 🏖 В программе — море активностей...</t>
        </is>
      </c>
    </row>
    <row r="39" ht="30" customHeight="1">
      <c r="A39" s="23" t="n">
        <v>7450</v>
      </c>
      <c r="B39" s="24" t="inlineStr">
        <is>
          <t>2026-07-14</t>
        </is>
      </c>
      <c r="C39" s="25">
        <f>HYPERLINK("https://vk.com/wall-1825701_7450", "Открыть пост")</f>
        <v/>
      </c>
      <c r="D39" s="26" t="inlineStr">
        <is>
          <t>Выездные лагеря, дача и сезонные программы</t>
        </is>
      </c>
      <c r="E39" s="26" t="inlineStr">
        <is>
          <t>Выездные лагеря, дача и сезонные программы; Творческие мастер-классы и художественные студии</t>
        </is>
      </c>
      <c r="F39" s="26" t="inlineStr">
        <is>
          <t>Подростки и взрослые с ментальными особенностями и ОВЗ (ПНИ / Социальные дома); Воспитанники ЦССВ, ДДИ и детских домов-интернатов; Дети и семьи (в т.ч. приёмные семьи и программа в Беслане)</t>
        </is>
      </c>
      <c r="G39" s="26" t="inlineStr">
        <is>
          <t>Беслан, интерната «Надежда»</t>
        </is>
      </c>
      <c r="H39" s="26" t="inlineStr">
        <is>
          <t>Коммуникативные навыки, эмпатия и тьюторское сопровождение; Педагогические и наставнические навыки (кулинария, быт, учёба); Организационные, ивент- и ярмарочные навыки; Мобильность, выездное сопровождение и автоволонтёрство</t>
        </is>
      </c>
      <c r="I39" s="27" t="inlineStr">
        <is>
          <t>По формату занятия</t>
        </is>
      </c>
      <c r="J39" s="26" t="inlineStr">
        <is>
          <t>🌞 Вот оно какое наше ЛЕТО 🌼 Друзья, у нас прошел первый заезд в нашей Летней Арт-резиденции! В нем участвовали замечательные ребята из Бесланского (село Дур-дур Северной Осетии) детского интерната «Надежда» и участники фонда «Хочу ходить». 🐸 Знаете, что для нас здесь самое главно...</t>
        </is>
      </c>
    </row>
    <row r="40" ht="30" customHeight="1">
      <c r="A40" s="28" t="n">
        <v>7447</v>
      </c>
      <c r="B40" s="29" t="inlineStr">
        <is>
          <t>2026-07-06</t>
        </is>
      </c>
      <c r="C40" s="30">
        <f>HYPERLINK("https://vk.com/wall-1825701_7447", "Открыть пост")</f>
        <v/>
      </c>
      <c r="D40" s="31" t="inlineStr">
        <is>
          <t>Творческие мастер-классы и художественные студии</t>
        </is>
      </c>
      <c r="E40" s="31" t="inlineStr">
        <is>
          <t>Творческие мастер-классы и художественные студии; Выставки, экскурсии и культурные выходы; Кулинарные, образовательные и социально-бытовые занятия</t>
        </is>
      </c>
      <c r="F40" s="31" t="inlineStr">
        <is>
          <t>Подростки и взрослые с ментальными особенностями и ОВЗ (ПНИ / Социальные дома)</t>
        </is>
      </c>
      <c r="G40" s="31" t="inlineStr">
        <is>
          <t>ГЭС–2</t>
        </is>
      </c>
      <c r="H40" s="31"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 Организационные, ивент- и ярмарочные навыки</t>
        </is>
      </c>
      <c r="I40" s="32" t="inlineStr">
        <is>
          <t>Да (в тексте)</t>
        </is>
      </c>
      <c r="J40" s="31" t="inlineStr">
        <is>
          <t>Один день лаборатории Дома культуры «ГЭС–2» С Домом культуры «ГЭС–2», с которым мы проводим летнюю лабораторию третий год подряд, мы начали новый проект. Очень рады что совместная работа продолжается и делимся изнутри как это обычно проходит. Мы приехали утром в «ГЭС–2», где нас ...</t>
        </is>
      </c>
    </row>
    <row r="41" ht="30" customHeight="1">
      <c r="A41" s="23" t="n">
        <v>7445</v>
      </c>
      <c r="B41" s="24" t="inlineStr">
        <is>
          <t>2026-07-03</t>
        </is>
      </c>
      <c r="C41" s="25">
        <f>HYPERLINK("https://vk.com/wall-1825701_7445", "Открыть пост")</f>
        <v/>
      </c>
      <c r="D41" s="26" t="inlineStr">
        <is>
          <t>Творческие мастер-классы и художественные студии</t>
        </is>
      </c>
      <c r="E41" s="26" t="inlineStr">
        <is>
          <t>Творческие мастер-классы и художественные студии</t>
        </is>
      </c>
      <c r="F41" s="26" t="inlineStr">
        <is>
          <t>Подопечные фонда «Дети Марии» (общая группа детей и подростков)</t>
        </is>
      </c>
      <c r="G41" s="26" t="inlineStr">
        <is>
          <t>Студия фонда / выездная площадка</t>
        </is>
      </c>
      <c r="H41" s="26" t="inlineStr">
        <is>
          <t>Художественно-прикладные и ремесленные навыки; Коммуникативные навыки, эмпатия и тьюторское сопровождение; Организационные, ивент- и ярмарочные навыки</t>
        </is>
      </c>
      <c r="I41" s="27" t="inlineStr">
        <is>
          <t>Да (в тексте)</t>
        </is>
      </c>
      <c r="J41" s="26" t="inlineStr">
        <is>
          <t>Вчера в стенах нашего фонда было по-настоящему солнечно. Мы собрались чтобы сделать что-то очень трогательное своими руками. Волонтёры и наши педагоги предложили ребятам создать бумажную ромашку — простой, но такой светлый символ. Пока пальцы складывали лепестки и клеили серединк...</t>
        </is>
      </c>
    </row>
    <row r="42" ht="30" customHeight="1">
      <c r="A42" s="28" t="n">
        <v>7444</v>
      </c>
      <c r="B42" s="29" t="inlineStr">
        <is>
          <t>2026-07-02</t>
        </is>
      </c>
      <c r="C42" s="30">
        <f>HYPERLINK("https://vk.com/wall-1825701_7444", "Открыть пост")</f>
        <v/>
      </c>
      <c r="D42" s="31" t="inlineStr">
        <is>
          <t>Творческие мастер-классы и художественные студии</t>
        </is>
      </c>
      <c r="E42" s="31" t="inlineStr">
        <is>
          <t>Творческие мастер-классы и художественные студии; Выставки, экскурсии и культурные выходы</t>
        </is>
      </c>
      <c r="F42" s="31" t="inlineStr">
        <is>
          <t>Воспитанники ЦССВ, ДДИ и детских домов-интернатов</t>
        </is>
      </c>
      <c r="G42" s="31" t="inlineStr">
        <is>
          <t>ЦССВ «Сколковский», ЦССВ «Радуга»</t>
        </is>
      </c>
      <c r="H42" s="31" t="inlineStr">
        <is>
          <t>Коммуникативные навыки, эмпатия и тьюторское сопровождение; Педагогические и наставнические навыки (кулинария, быт, учёба); Организационные, ивент- и ярмарочные навыки; Мобильность, выездное сопровождение и автоволонтёрство</t>
        </is>
      </c>
      <c r="I42" s="32" t="inlineStr">
        <is>
          <t>Да (в тексте)</t>
        </is>
      </c>
      <c r="J42" s="31" t="inlineStr">
        <is>
          <t>76 часов 38 занятий 44 ребенка 🌈 Всё это — наша Арт-лаборатория, которая в период с февраля по июнь проходила при грантовой поддержке социальной программы "Растим добро". Это важная и полезная программа, и мы её очень любим 🌸 Каждое занятие было посвящено уникальным темам, которы...</t>
        </is>
      </c>
    </row>
    <row r="43" ht="30" customHeight="1">
      <c r="A43" s="23" t="n">
        <v>7443</v>
      </c>
      <c r="B43" s="24" t="inlineStr">
        <is>
          <t>2026-07-01</t>
        </is>
      </c>
      <c r="C43" s="25">
        <f>HYPERLINK("https://vk.com/wall-1825701_7443", "Открыть пост")</f>
        <v/>
      </c>
      <c r="D43" s="26" t="inlineStr">
        <is>
          <t>Ярмарки, фестивали и благотворительные базары</t>
        </is>
      </c>
      <c r="E43" s="26" t="inlineStr">
        <is>
          <t>Ярмарки, фестивали и благотворительные базары</t>
        </is>
      </c>
      <c r="F43" s="26" t="inlineStr">
        <is>
          <t>Широкая аудитория, гости и благотворители (открытые события)</t>
        </is>
      </c>
      <c r="G43" s="26" t="inlineStr">
        <is>
          <t>Студия фонда / выездная площадка</t>
        </is>
      </c>
      <c r="H43" s="26" t="inlineStr">
        <is>
          <t>Коммуникативные навыки, эмпатия и тьюторское сопровождение; Организационные, ивент- и ярмарочные навыки</t>
        </is>
      </c>
      <c r="I43" s="27" t="inlineStr">
        <is>
          <t>По формату занятия</t>
        </is>
      </c>
      <c r="J43" s="26" t="inlineStr">
        <is>
          <t>Летом много маркетов не бывает, поэтому... 😎 Мы участвуем в Маркете форума «Больше чем бизнес»! 😊 2 июля (уже завтра) в Москве пройдёт одно из самых масштабных событий года для социальных предпринимателей — и мы стали его участниками! Форум — это не просто деловая площадка. Это м...</t>
        </is>
      </c>
    </row>
    <row r="44" ht="30" customHeight="1">
      <c r="A44" s="28" t="n">
        <v>7442</v>
      </c>
      <c r="B44" s="29" t="inlineStr">
        <is>
          <t>2026-06-30</t>
        </is>
      </c>
      <c r="C44" s="30">
        <f>HYPERLINK("https://vk.com/wall-1825701_7442", "Открыть пост")</f>
        <v/>
      </c>
      <c r="D44" s="31" t="inlineStr">
        <is>
          <t>Творческие мастер-классы и художественные студии</t>
        </is>
      </c>
      <c r="E44" s="31" t="inlineStr">
        <is>
          <t>Творческие мастер-классы и художественные студии</t>
        </is>
      </c>
      <c r="F44" s="31" t="inlineStr">
        <is>
          <t>Подопечные фонда «Дети Марии» (общая группа детей и подростков)</t>
        </is>
      </c>
      <c r="G44" s="31" t="inlineStr">
        <is>
          <t>Студия фонда / выездная площадка</t>
        </is>
      </c>
      <c r="H44"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t>
        </is>
      </c>
      <c r="I44" s="32" t="inlineStr">
        <is>
          <t>По формату занятия</t>
        </is>
      </c>
      <c r="J44" s="31" t="inlineStr">
        <is>
          <t>Как это было: творчество, смех и море бумаги 🎨 В прошлую пятницу наша мастерская превратилась в настоящую фабрику идей! Мы устроили большой творческий праздник для ребят, и вот что из этого вышло. В ход пошли краски, цветная бумага, клей и, конечно, безудержная фантазия. Кто-то у...</t>
        </is>
      </c>
    </row>
    <row r="45" ht="30" customHeight="1">
      <c r="A45" s="23" t="n">
        <v>7441</v>
      </c>
      <c r="B45" s="24" t="inlineStr">
        <is>
          <t>2026-06-29</t>
        </is>
      </c>
      <c r="C45" s="25">
        <f>HYPERLINK("https://vk.com/wall-1825701_7441", "Открыть пост")</f>
        <v/>
      </c>
      <c r="D45" s="26" t="inlineStr">
        <is>
          <t>Ярмарки, фестивали и благотворительные базары</t>
        </is>
      </c>
      <c r="E45" s="26" t="inlineStr">
        <is>
          <t>Ярмарки, фестивали и благотворительные базары; Творческие мастер-классы и художественные студии; Кулинарные, образовательные и социально-бытовые занятия</t>
        </is>
      </c>
      <c r="F45" s="26" t="inlineStr">
        <is>
          <t>Широкая аудитория, гости и благотворители (открытые события)</t>
        </is>
      </c>
      <c r="G45" s="26" t="inlineStr">
        <is>
          <t>Студия фонда / выездная площадка</t>
        </is>
      </c>
      <c r="H45" s="26" t="inlineStr">
        <is>
          <t>Артистические, музыкальные и спортивно-игровые навыки</t>
        </is>
      </c>
      <c r="I45" s="27" t="inlineStr">
        <is>
          <t>По формату занятия</t>
        </is>
      </c>
      <c r="J45" s="26" t="inlineStr">
        <is>
          <t>Есть ли у вас планы на первые выходные июля? Мы с огромной радостью приглашаем вас на благотворительный фестиваль «Город неравнодушных» в Сад имени Баумана! Мы подготовили для вас особенную творческую программу. Вы сможете приобрести уникальные изделия сделанные руками наших учас...</t>
        </is>
      </c>
    </row>
    <row r="46" ht="30" customHeight="1">
      <c r="A46" s="28" t="n">
        <v>7440</v>
      </c>
      <c r="B46" s="29" t="inlineStr">
        <is>
          <t>2026-06-25</t>
        </is>
      </c>
      <c r="C46" s="30">
        <f>HYPERLINK("https://vk.com/wall-1825701_7440", "Открыть пост")</f>
        <v/>
      </c>
      <c r="D46" s="31" t="inlineStr">
        <is>
          <t>Творческие мастер-классы и художественные студии</t>
        </is>
      </c>
      <c r="E46" s="31" t="inlineStr">
        <is>
          <t>Творческие мастер-классы и художественные студии; Выставки, экскурсии и культурные выходы</t>
        </is>
      </c>
      <c r="F46" s="31" t="inlineStr">
        <is>
          <t>Подопечные фонда «Дети Марии» (общая группа детей и подростков)</t>
        </is>
      </c>
      <c r="G46" s="31" t="inlineStr">
        <is>
          <t>Студия фонда / выездная площадка</t>
        </is>
      </c>
      <c r="H46" s="31"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 Мобильность, выездное сопровождение и автоволонтёрство; Медиа, фото/видеосъёмка и культурная медиация</t>
        </is>
      </c>
      <c r="I46" s="32" t="inlineStr">
        <is>
          <t>По формату занятия</t>
        </is>
      </c>
      <c r="J46" s="31" t="inlineStr">
        <is>
          <t>Друзья, привет! 💕 В «Арт-лаборатории» у нас всегда кипит жизнь: мы постоянно исследуем мир творчества. Ходим на экскурсии, знакомимся с крутыми мастерами и учимся у лучших. 😍 Недавно нам посчастливилось подружиться с чудесным брендом «Околобумажный» и его основательницей — прекра...</t>
        </is>
      </c>
    </row>
    <row r="47" ht="30" customHeight="1">
      <c r="A47" s="23" t="n">
        <v>7437</v>
      </c>
      <c r="B47" s="24" t="inlineStr">
        <is>
          <t>2026-06-22</t>
        </is>
      </c>
      <c r="C47" s="25">
        <f>HYPERLINK("https://vk.com/wall-1825701_7437", "Открыть пост")</f>
        <v/>
      </c>
      <c r="D47" s="26" t="inlineStr">
        <is>
          <t>Творческие мастер-классы и художественные студии</t>
        </is>
      </c>
      <c r="E47" s="26" t="inlineStr">
        <is>
          <t>Творческие мастер-классы и художественные студии</t>
        </is>
      </c>
      <c r="F47" s="26" t="inlineStr">
        <is>
          <t>Подопечные фонда «Дети Марии» (общая группа детей и подростков)</t>
        </is>
      </c>
      <c r="G47" s="26" t="inlineStr">
        <is>
          <t>Студия фонда / выездная площадка</t>
        </is>
      </c>
      <c r="H47" s="26" t="inlineStr">
        <is>
          <t>Художественно-прикладные и ремесленные навыки</t>
        </is>
      </c>
      <c r="I47" s="27" t="inlineStr">
        <is>
          <t>По формату занятия</t>
        </is>
      </c>
      <c r="J47" s="26" t="inlineStr">
        <is>
          <t>Мастер-класс по вторичному использованию материалов завершён, и мы в восторге! Мы осваивали искусство апсайклинга: превращали старые вещи в красивые поделки — от ваз до органайзеров. Заодно проговорили простые эко-привычки, которые помогают уменьшать количество отходов без лишних...</t>
        </is>
      </c>
    </row>
    <row r="48" ht="30" customHeight="1">
      <c r="A48" s="28" t="n">
        <v>7436</v>
      </c>
      <c r="B48" s="29" t="inlineStr">
        <is>
          <t>2026-06-22</t>
        </is>
      </c>
      <c r="C48" s="30">
        <f>HYPERLINK("https://vk.com/wall-1825701_7436", "Открыть пост")</f>
        <v/>
      </c>
      <c r="D48" s="31" t="inlineStr">
        <is>
          <t>Творческие мастер-классы и художественные студии</t>
        </is>
      </c>
      <c r="E48" s="31" t="inlineStr">
        <is>
          <t>Творческие мастер-классы и художественные студии; Спектакли, концерты и музыкально-театральные занятия</t>
        </is>
      </c>
      <c r="F48" s="31" t="inlineStr">
        <is>
          <t>Подопечные фонда «Дети Марии» (общая группа детей и подростков)</t>
        </is>
      </c>
      <c r="G48" s="31" t="inlineStr">
        <is>
          <t>Студия фонда / выездная площадка</t>
        </is>
      </c>
      <c r="H48" s="31" t="inlineStr">
        <is>
          <t>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t>
        </is>
      </c>
      <c r="I48" s="32" t="inlineStr">
        <is>
          <t>По формату занятия</t>
        </is>
      </c>
      <c r="J48" s="31" t="inlineStr">
        <is>
          <t>Музыкальный мастер-класс прошёл на одной ноте! 19го июня мы собрались, чтобы окунуться в мир вокала, ритма и творчества — и, кажется, у нас это отлично получилось. Вместе разбирали основы дыхания, хлопали ритмические рисунки и, конечно, пели — от души и с улыбкой. За пару часов м...</t>
        </is>
      </c>
    </row>
    <row r="49" ht="30" customHeight="1">
      <c r="A49" s="23" t="n">
        <v>7435</v>
      </c>
      <c r="B49" s="24" t="inlineStr">
        <is>
          <t>2026-06-22</t>
        </is>
      </c>
      <c r="C49" s="25">
        <f>HYPERLINK("https://vk.com/wall-1825701_7435", "Открыть пост")</f>
        <v/>
      </c>
      <c r="D49" s="26" t="inlineStr">
        <is>
          <t>Спектакли, концерты и музыкально-театральные занятия</t>
        </is>
      </c>
      <c r="E49" s="26" t="inlineStr">
        <is>
          <t>Спектакли, концерты и музыкально-театральные занятия; Спортивные и активные мероприятия</t>
        </is>
      </c>
      <c r="F49" s="26" t="inlineStr">
        <is>
          <t>Широкая аудитория, гости и благотворители (открытые события)</t>
        </is>
      </c>
      <c r="G49" s="26" t="inlineStr">
        <is>
          <t>Студия фонда / выездная площадка</t>
        </is>
      </c>
      <c r="H49" s="26" t="inlineStr">
        <is>
          <t>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t>
        </is>
      </c>
      <c r="I49" s="27" t="inlineStr">
        <is>
          <t>По формату занятия</t>
        </is>
      </c>
      <c r="J49" s="26" t="inlineStr">
        <is>
          <t>Всем привет, друзья! Мы рады пригласить вас завтра в нашу уютную творческую атмосферу на невероятный спектакль «Бременские музыканты». Эту постановку сыграют для вас талантливые артисты из Киноколледжа №40! Вас ждет динамичная музыкально-танцевальная феерия по мотивам бессмертной...</t>
        </is>
      </c>
    </row>
    <row r="50" ht="30" customHeight="1">
      <c r="A50" s="28" t="n">
        <v>7433</v>
      </c>
      <c r="B50" s="29" t="inlineStr">
        <is>
          <t>2026-06-19</t>
        </is>
      </c>
      <c r="C50" s="30">
        <f>HYPERLINK("https://vk.com/wall-1825701_7433", "Открыть пост")</f>
        <v/>
      </c>
      <c r="D50" s="31" t="inlineStr">
        <is>
          <t>Творческие мастер-классы и художественные студии</t>
        </is>
      </c>
      <c r="E50" s="31" t="inlineStr">
        <is>
          <t>Творческие мастер-классы и художественные студии</t>
        </is>
      </c>
      <c r="F50" s="31" t="inlineStr">
        <is>
          <t>Воспитанники ЦССВ, ДДИ и детских домов-интернатов</t>
        </is>
      </c>
      <c r="G50" s="31" t="inlineStr">
        <is>
          <t>Студия фонда / выездная площадка</t>
        </is>
      </c>
      <c r="H50" s="31" t="inlineStr">
        <is>
          <t>Художественно-прикладные и ремесленные навыки</t>
        </is>
      </c>
      <c r="I50" s="32" t="inlineStr">
        <is>
          <t>Да (в тексте)</t>
        </is>
      </c>
      <c r="J50" s="31" t="inlineStr">
        <is>
          <t>Про давно прошедший День Космонавтики 9 апреля в 18:00 на нашей площадке на Новинском бульваре прошел семейный мастер-класс ко Дню космонавтики. Волонтёры и педагоги фонда познакомили гостей с ключевыми событиями в истории освоения космоса — от первых спутников до современных пол...</t>
        </is>
      </c>
    </row>
    <row r="51" ht="30" customHeight="1">
      <c r="A51" s="23" t="n">
        <v>7430</v>
      </c>
      <c r="B51" s="24" t="inlineStr">
        <is>
          <t>2026-06-12</t>
        </is>
      </c>
      <c r="C51" s="25">
        <f>HYPERLINK("https://vk.com/wall-1825701_7430", "Открыть пост")</f>
        <v/>
      </c>
      <c r="D51" s="26" t="inlineStr">
        <is>
          <t>Творческие мастер-классы и художественные студии</t>
        </is>
      </c>
      <c r="E51" s="26" t="inlineStr">
        <is>
          <t>Творческие мастер-классы и художественные студии</t>
        </is>
      </c>
      <c r="F51" s="26" t="inlineStr">
        <is>
          <t>Подопечные фонда «Дети Марии» (общая группа детей и подростков)</t>
        </is>
      </c>
      <c r="G51" s="26" t="inlineStr">
        <is>
          <t>Студия фонда / выездная площадка</t>
        </is>
      </c>
      <c r="H51" s="26" t="inlineStr">
        <is>
          <t>Художественно-прикладные и ремесленные навыки; Коммуникативные навыки, эмпатия и тьюторское сопровождение</t>
        </is>
      </c>
      <c r="I51" s="27" t="inlineStr">
        <is>
          <t>По формату занятия</t>
        </is>
      </c>
      <c r="J51" s="26" t="inlineStr">
        <is>
          <t>Вчера у нас прошёл тёплый мастер-класс, посвящённый Дню России 🇷🇺 Все участники собрались за одним большим столом — это создало по-настоящему домашнюю и уютную атмосферу. Мы поговорили о главных символах страны, вспомнили интересные факты из истории и культуры, а затем с энтузиаз...</t>
        </is>
      </c>
    </row>
    <row r="52" ht="30" customHeight="1">
      <c r="A52" s="28" t="n">
        <v>7429</v>
      </c>
      <c r="B52" s="29" t="inlineStr">
        <is>
          <t>2026-06-11</t>
        </is>
      </c>
      <c r="C52" s="30">
        <f>HYPERLINK("https://vk.com/wall-1825701_7429", "Открыть пост")</f>
        <v/>
      </c>
      <c r="D52" s="31" t="inlineStr">
        <is>
          <t>Выставки, экскурсии и культурные выходы</t>
        </is>
      </c>
      <c r="E52" s="31" t="inlineStr">
        <is>
          <t>Выставки, экскурсии и культурные выходы; Творческие мастер-классы и художественные студии</t>
        </is>
      </c>
      <c r="F52" s="31" t="inlineStr">
        <is>
          <t>Широкая аудитория, гости и благотворители (открытые события)</t>
        </is>
      </c>
      <c r="G52" s="31" t="inlineStr">
        <is>
          <t>Тверская 15</t>
        </is>
      </c>
      <c r="H52" s="31" t="inlineStr">
        <is>
          <t>Художественно-прикладные и ремесленные навыки; Коммуникативные навыки, эмпатия и тьюторское сопровождение</t>
        </is>
      </c>
      <c r="I52" s="32" t="inlineStr">
        <is>
          <t>По формату занятия</t>
        </is>
      </c>
      <c r="J52" s="31" t="inlineStr">
        <is>
          <t>✨ Выставка, которая объединяет ✨ Берёте любимое мороженое и идёте по Тверской. Мимо легендарного книжного, карусели на площади, цветущих садов и даже кустов смородины. Летний маршрут сам ведёт куда надо. Переходите к зданию мэрии и ныряете в Вознесенский переулок — и перед вами д...</t>
        </is>
      </c>
    </row>
    <row r="53" ht="30" customHeight="1">
      <c r="A53" s="23" t="n">
        <v>7426</v>
      </c>
      <c r="B53" s="24" t="inlineStr">
        <is>
          <t>2026-06-05</t>
        </is>
      </c>
      <c r="C53" s="25">
        <f>HYPERLINK("https://vk.com/wall-1825701_7426", "Открыть пост")</f>
        <v/>
      </c>
      <c r="D53" s="26" t="inlineStr">
        <is>
          <t>Выставки, экскурсии и культурные выходы</t>
        </is>
      </c>
      <c r="E53" s="26" t="inlineStr">
        <is>
          <t>Выставки, экскурсии и культурные выходы</t>
        </is>
      </c>
      <c r="F53" s="26" t="inlineStr">
        <is>
          <t>Подопечные фонда «Дети Марии» (общая группа детей и подростков)</t>
        </is>
      </c>
      <c r="G53" s="26" t="inlineStr">
        <is>
          <t>Студия фонда / выездная площадка</t>
        </is>
      </c>
      <c r="H53" s="26" t="inlineStr">
        <is>
          <t>Организационные, ивент- и ярмарочные навыки; Мобильность, выездное сопровождение и автоволонтёрство</t>
        </is>
      </c>
      <c r="I53" s="27" t="inlineStr">
        <is>
          <t>По формату занятия</t>
        </is>
      </c>
      <c r="J53" s="26" t="inlineStr">
        <is>
          <t>❤ Пятничный пост про «спасибо» Это очень приятный сюрприз — получить благодарность от партнёра. Потому что как фонд мы регулярно сами обращаемся с просьбами и благодарим за помощь (за пожертвования, за предоставление питания для участников, транспорта, экскурсий, мебели, бытовой ...</t>
        </is>
      </c>
    </row>
    <row r="54" ht="30" customHeight="1">
      <c r="A54" s="28" t="n">
        <v>7423</v>
      </c>
      <c r="B54" s="29" t="inlineStr">
        <is>
          <t>2026-05-27</t>
        </is>
      </c>
      <c r="C54" s="30">
        <f>HYPERLINK("https://vk.com/wall-1825701_7423", "Открыть пост")</f>
        <v/>
      </c>
      <c r="D54" s="31" t="inlineStr">
        <is>
          <t>Кулинарные, образовательные и социально-бытовые занятия</t>
        </is>
      </c>
      <c r="E54" s="31" t="inlineStr">
        <is>
          <t>Кулинарные, образовательные и социально-бытовые занятия</t>
        </is>
      </c>
      <c r="F54" s="31" t="inlineStr">
        <is>
          <t>Подростки и взрослые с ментальными особенностями и ОВЗ (ПНИ / Социальные дома); Выпускники интернатов и детских домов (молодые взрослые)</t>
        </is>
      </c>
      <c r="G54" s="31" t="inlineStr">
        <is>
          <t>Студия фонда / выездная площадка</t>
        </is>
      </c>
      <c r="H54" s="31" t="inlineStr">
        <is>
          <t>Коммуникативные навыки, эмпатия и тьюторское сопровождение; Педагогические и наставнические навыки (кулинария, быт, учёба)</t>
        </is>
      </c>
      <c r="I54" s="32" t="inlineStr">
        <is>
          <t>Да (в тексте)</t>
        </is>
      </c>
      <c r="J54" s="31" t="inlineStr">
        <is>
          <t>✴•Очень важно знать больше✴• К концу мая нам удалось собрать, проверить и осмыслить данные работы проекта «Хочу больше знать» за первый квартал 2026. Главными результатами мы хотим поделиться с вами, потому что очень гордимся проделанной работой. Проект «Хочу больше знать» работа...</t>
        </is>
      </c>
    </row>
    <row r="55" ht="30" customHeight="1">
      <c r="A55" s="23" t="n">
        <v>7422</v>
      </c>
      <c r="B55" s="24" t="inlineStr">
        <is>
          <t>2026-05-25</t>
        </is>
      </c>
      <c r="C55" s="25">
        <f>HYPERLINK("https://vk.com/wall-1825701_7422", "Открыть пост")</f>
        <v/>
      </c>
      <c r="D55" s="26" t="inlineStr">
        <is>
          <t>Кулинарные, образовательные и социально-бытовые занятия</t>
        </is>
      </c>
      <c r="E55" s="26" t="inlineStr">
        <is>
          <t>Кулинарные, образовательные и социально-бытовые занятия</t>
        </is>
      </c>
      <c r="F55" s="26" t="inlineStr">
        <is>
          <t>Подопечные фонда «Дети Марии» (общая группа детей и подростков)</t>
        </is>
      </c>
      <c r="G55" s="26" t="inlineStr">
        <is>
          <t>Студия фонда / выездная площадка</t>
        </is>
      </c>
      <c r="H55" s="26" t="inlineStr">
        <is>
          <t>Артистические, музыкальные и спортивно-игровые навыки; Педагогические и наставнические навыки (кулинария, быт, учёба)</t>
        </is>
      </c>
      <c r="I55" s="27" t="inlineStr">
        <is>
          <t>Да (в тексте)</t>
        </is>
      </c>
      <c r="J55" s="26" t="inlineStr">
        <is>
          <t>Как волонтёры проводят «Элиас» в фонде Волонтёры собрали участников за одним столом и объяснили правила: нужно объяснять слова, не называя их, а команда — угадать до истечения времени. Каждый ход — это маленький спектакль. Кто-то активно жестикулирует, кто-то подбирает синонимы и...</t>
        </is>
      </c>
    </row>
    <row r="56" ht="30" customHeight="1">
      <c r="A56" s="28" t="n">
        <v>7418</v>
      </c>
      <c r="B56" s="29" t="inlineStr">
        <is>
          <t>2026-05-15</t>
        </is>
      </c>
      <c r="C56" s="30">
        <f>HYPERLINK("https://vk.com/wall-1825701_7418", "Открыть пост")</f>
        <v/>
      </c>
      <c r="D56" s="31" t="inlineStr">
        <is>
          <t>Выездные лагеря, дача и сезонные программы</t>
        </is>
      </c>
      <c r="E56" s="31" t="inlineStr">
        <is>
          <t>Выездные лагеря, дача и сезонные программы</t>
        </is>
      </c>
      <c r="F56" s="31" t="inlineStr">
        <is>
          <t>Подопечные фонда «Дети Марии» (общая группа детей и подростков)</t>
        </is>
      </c>
      <c r="G56" s="31" t="inlineStr">
        <is>
          <t>Сорочаны</t>
        </is>
      </c>
      <c r="H56" s="31" t="inlineStr">
        <is>
          <t>Коммуникативные навыки, эмпатия и тьюторское сопровождение; Организационные, ивент- и ярмарочные навыки; Мобильность, выездное сопровождение и автоволонтёрство</t>
        </is>
      </c>
      <c r="I56" s="32" t="inlineStr">
        <is>
          <t>По формату занятия</t>
        </is>
      </c>
      <c r="J56" s="31" t="inlineStr">
        <is>
          <t>☀• Мы часто говорим о тёплой и поддерживающей семейной атмосфере, которая является основой для работы нашего фонда и отношений к участникам. Эти ценности отражаются и в ежегодном плане мероприятий. Учебный год открываем в сентябре, проводим занятия в мастерских, зимой отправляемс...</t>
        </is>
      </c>
    </row>
    <row r="57" ht="30" customHeight="1">
      <c r="A57" s="23" t="n">
        <v>7415</v>
      </c>
      <c r="B57" s="24" t="inlineStr">
        <is>
          <t>2026-05-08</t>
        </is>
      </c>
      <c r="C57" s="25">
        <f>HYPERLINK("https://vk.com/wall-1825701_7415", "Открыть пост")</f>
        <v/>
      </c>
      <c r="D57" s="26" t="inlineStr">
        <is>
          <t>Творческие мастер-классы и художественные студии</t>
        </is>
      </c>
      <c r="E57" s="26" t="inlineStr">
        <is>
          <t>Творческие мастер-классы и художественные студии</t>
        </is>
      </c>
      <c r="F57" s="26" t="inlineStr">
        <is>
          <t>Подопечные фонда «Дети Марии» (общая группа детей и подростков)</t>
        </is>
      </c>
      <c r="G57" s="26" t="inlineStr">
        <is>
          <t>Студия фонда / выездная площадка</t>
        </is>
      </c>
      <c r="H57" s="26"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 Медиа, фото/видеосъёмка и культурная медиация</t>
        </is>
      </c>
      <c r="I57" s="27" t="inlineStr">
        <is>
          <t>Да (в тексте)</t>
        </is>
      </c>
      <c r="J57" s="26" t="inlineStr">
        <is>
          <t>🥰 Что изучают участники «Арт-лаборатории» В одну из наших встреч ребята из центра содействия социальному воспитанию разделились на две группы — и в обеих происходило что-то важное 🌼 ✴• С ведущей мастерских Машей участники знакомились с пуантилизмом. Это когда рисунок складывается...</t>
        </is>
      </c>
    </row>
    <row r="58" ht="30" customHeight="1">
      <c r="A58" s="28" t="n">
        <v>7413</v>
      </c>
      <c r="B58" s="29" t="inlineStr">
        <is>
          <t>2026-05-07</t>
        </is>
      </c>
      <c r="C58" s="30">
        <f>HYPERLINK("https://vk.com/wall-1825701_7413", "Открыть пост")</f>
        <v/>
      </c>
      <c r="D58" s="31" t="inlineStr">
        <is>
          <t>Творческие мастер-классы и художественные студии</t>
        </is>
      </c>
      <c r="E58" s="31" t="inlineStr">
        <is>
          <t>Творческие мастер-классы и художественные студии</t>
        </is>
      </c>
      <c r="F58" s="31" t="inlineStr">
        <is>
          <t>Подопечные фонда «Дети Марии» (общая группа детей и подростков)</t>
        </is>
      </c>
      <c r="G58" s="31" t="inlineStr">
        <is>
          <t>Студия фонда / выездная площадка</t>
        </is>
      </c>
      <c r="H58" s="31"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t>
        </is>
      </c>
      <c r="I58" s="32" t="inlineStr">
        <is>
          <t>По формату занятия</t>
        </is>
      </c>
      <c r="J58" s="31" t="inlineStr">
        <is>
          <t>Как прошёл наш эко-мастер-класс 🌿 30 апреля мы собрались, чтобы поговорить о важном и создать что-то красивое своими руками. Никакой пафосной теории — только практика и душевное общение. ✨ На творческой части изучали, как даже из простых натуральных и переработанных материалов ро...</t>
        </is>
      </c>
    </row>
    <row r="59" ht="30" customHeight="1">
      <c r="A59" s="23" t="n">
        <v>7411</v>
      </c>
      <c r="B59" s="24" t="inlineStr">
        <is>
          <t>2026-04-30</t>
        </is>
      </c>
      <c r="C59" s="25">
        <f>HYPERLINK("https://vk.com/wall-1825701_7411", "Открыть пост")</f>
        <v/>
      </c>
      <c r="D59" s="26" t="inlineStr">
        <is>
          <t>Творческие мастер-классы и художественные студии</t>
        </is>
      </c>
      <c r="E59" s="26" t="inlineStr">
        <is>
          <t>Творческие мастер-классы и художественные студии</t>
        </is>
      </c>
      <c r="F59" s="26" t="inlineStr">
        <is>
          <t>Подопечные фонда «Дети Марии» (общая группа детей и подростков)</t>
        </is>
      </c>
      <c r="G59" s="26" t="inlineStr">
        <is>
          <t>Студия фонда / выездная площадка</t>
        </is>
      </c>
      <c r="H59" s="26"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t>
        </is>
      </c>
      <c r="I59" s="27" t="inlineStr">
        <is>
          <t>Да (в тексте)</t>
        </is>
      </c>
      <c r="J59" s="26" t="inlineStr">
        <is>
          <t>✴•Как проходят постоянные занятия в Арт-лаборатории✴• Рассказывает наш куратор Алевтина: — К нам регулярно приезжают ребята из центра содействия социального воспитания Сколково. Каждая встреча — это три направления: лепка из глины, валяние из шерсти, плетение браслетов. 🌞Вот как ...</t>
        </is>
      </c>
    </row>
    <row r="60" ht="30" customHeight="1">
      <c r="A60" s="28" t="n">
        <v>7408</v>
      </c>
      <c r="B60" s="29" t="inlineStr">
        <is>
          <t>2026-04-23</t>
        </is>
      </c>
      <c r="C60" s="30">
        <f>HYPERLINK("https://vk.com/wall-1825701_7408", "Открыть пост")</f>
        <v/>
      </c>
      <c r="D60" s="31" t="inlineStr">
        <is>
          <t>Выставки, экскурсии и культурные выходы</t>
        </is>
      </c>
      <c r="E60" s="31" t="inlineStr">
        <is>
          <t>Выставки, экскурсии и культурные выходы; Творческие мастер-классы и художественные студии</t>
        </is>
      </c>
      <c r="F60" s="31" t="inlineStr">
        <is>
          <t>Подопечные фонда «Дети Марии» (общая группа детей и подростков)</t>
        </is>
      </c>
      <c r="G60" s="31" t="inlineStr">
        <is>
          <t>Студия фонда / выездная площадка</t>
        </is>
      </c>
      <c r="H60" s="31" t="inlineStr">
        <is>
          <t>Коммуникативные навыки, эмпатия и тьюторское сопровождение; Педагогические и наставнические навыки (кулинария, быт, учёба); Организационные, ивент- и ярмарочные навыки; Мобильность, выездное сопровождение и автоволонтёрство</t>
        </is>
      </c>
      <c r="I60" s="32" t="inlineStr">
        <is>
          <t>По формату занятия</t>
        </is>
      </c>
      <c r="J60" s="31" t="inlineStr">
        <is>
          <t>На прошлой неделе мы отметили наш день рождения ✨ Главным событием праздника стала иммерсивная выставка «Нам 29 лет». На неё мы пригласили участников нашей Арт-лаборатории, детей из социальных учереждений и, конечно, провели для них экскурсию. Ребятам показывали работы — через ни...</t>
        </is>
      </c>
    </row>
    <row r="61" ht="30" customHeight="1">
      <c r="A61" s="23" t="n">
        <v>7407</v>
      </c>
      <c r="B61" s="24" t="inlineStr">
        <is>
          <t>2026-04-22</t>
        </is>
      </c>
      <c r="C61" s="25">
        <f>HYPERLINK("https://vk.com/wall-1825701_7407", "Открыть пост")</f>
        <v/>
      </c>
      <c r="D61" s="26" t="inlineStr">
        <is>
          <t>Творческие мастер-классы и художественные студии</t>
        </is>
      </c>
      <c r="E61" s="26" t="inlineStr">
        <is>
          <t>Творческие мастер-классы и художественные студии</t>
        </is>
      </c>
      <c r="F61" s="26" t="inlineStr">
        <is>
          <t>Воспитанники ЦССВ, ДДИ и детских домов-интернатов; Выпускники интернатов и детских домов (молодые взрослые); Дети и семьи (в т.ч. приёмные семьи и программа в Беслане)</t>
        </is>
      </c>
      <c r="G61" s="26" t="inlineStr">
        <is>
          <t>Беслан</t>
        </is>
      </c>
      <c r="H61"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Мобильность, выездное сопровождение и автоволонтёрство</t>
        </is>
      </c>
      <c r="I61" s="27" t="inlineStr">
        <is>
          <t>Да (в тексте)</t>
        </is>
      </c>
      <c r="J61" s="26" t="inlineStr">
        <is>
          <t>Клоунада, которая объединяет Жизнь фонда переплетена с больничной клоунадой. Она настроение и дух наших поездок и начало многолетнего опыта создания сообществ. В 1991 году эту эстафету подхватила художница Мария Елисеева, учредитель фонда. У Марии уже тогда была своя студия в под...</t>
        </is>
      </c>
    </row>
    <row r="62" ht="30" customHeight="1">
      <c r="A62" s="28" t="n">
        <v>7405</v>
      </c>
      <c r="B62" s="29" t="inlineStr">
        <is>
          <t>2026-04-20</t>
        </is>
      </c>
      <c r="C62" s="30">
        <f>HYPERLINK("https://vk.com/wall-1825701_7405", "Открыть пост")</f>
        <v/>
      </c>
      <c r="D62" s="31" t="inlineStr">
        <is>
          <t>Ярмарки, фестивали и благотворительные базары</t>
        </is>
      </c>
      <c r="E62" s="31" t="inlineStr">
        <is>
          <t>Ярмарки, фестивали и благотворительные базары; Творческие мастер-классы и художественные студии</t>
        </is>
      </c>
      <c r="F62" s="31" t="inlineStr">
        <is>
          <t>Подопечные фонда «Дети Марии» (общая группа детей и подростков)</t>
        </is>
      </c>
      <c r="G62" s="31" t="inlineStr">
        <is>
          <t>Тверская 15</t>
        </is>
      </c>
      <c r="H62" s="31" t="inlineStr">
        <is>
          <t>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 Мобильность, выездное сопровождение и автоволонтёрство</t>
        </is>
      </c>
      <c r="I62" s="32" t="inlineStr">
        <is>
          <t>Да (в тексте)</t>
        </is>
      </c>
      <c r="J62" s="31" t="inlineStr">
        <is>
          <t>🤩 Приходите веселиться на полную Катушку! Друзья, приглашаем на наш музыкальный фестиваль в поддержку тех, кто растёт вне семейного тепла. Мы знаем, что творчество, музыка и веселье – проводники к сердцам детей и ключ к их мотивации и развитию. Поэтому мы назвали фестиваль – "КАТ...</t>
        </is>
      </c>
    </row>
    <row r="63" ht="30" customHeight="1">
      <c r="A63" s="23" t="n">
        <v>7404</v>
      </c>
      <c r="B63" s="24" t="inlineStr">
        <is>
          <t>2026-04-20</t>
        </is>
      </c>
      <c r="C63" s="25">
        <f>HYPERLINK("https://vk.com/wall-1825701_7404", "Открыть пост")</f>
        <v/>
      </c>
      <c r="D63" s="26" t="inlineStr">
        <is>
          <t>Ярмарки, фестивали и благотворительные базары</t>
        </is>
      </c>
      <c r="E63" s="26" t="inlineStr">
        <is>
          <t>Ярмарки, фестивали и благотворительные базары; Праздники, дни рождения и клубные встречи; Творческие мастер-классы и художественные студии</t>
        </is>
      </c>
      <c r="F63" s="26" t="inlineStr">
        <is>
          <t>Подростки и взрослые с ментальными особенностями и ОВЗ (ПНИ / Социальные дома); Широкая аудитория, гости и благотворители (открытые события)</t>
        </is>
      </c>
      <c r="G63" s="26" t="inlineStr">
        <is>
          <t>Тверская 15</t>
        </is>
      </c>
      <c r="H63" s="26" t="inlineStr">
        <is>
          <t>Коммуникативные навыки, эмпатия и тьюторское сопровождение; Организационные, ивент- и ярмарочные навыки</t>
        </is>
      </c>
      <c r="I63" s="27" t="inlineStr">
        <is>
          <t>По формату занятия</t>
        </is>
      </c>
      <c r="J63" s="26" t="inlineStr">
        <is>
          <t>💕 Друзья, спасибо, что пришли на день рождения фонда «Дети Марии»! Для нас это огромная радость и тепло. А теперь приглашаем вас в гости уже в эту субботу — на фестиваль «Город женщин» Вместе с издательством «Бель Летр» и психологическим центром Good Point мы создали пространство...</t>
        </is>
      </c>
    </row>
    <row r="64" ht="30" customHeight="1">
      <c r="A64" s="28" t="n">
        <v>7402</v>
      </c>
      <c r="B64" s="29" t="inlineStr">
        <is>
          <t>2026-04-16</t>
        </is>
      </c>
      <c r="C64" s="30">
        <f>HYPERLINK("https://vk.com/wall-1825701_7402", "Открыть пост")</f>
        <v/>
      </c>
      <c r="D64" s="31" t="inlineStr">
        <is>
          <t>Творческие мастер-классы и художественные студии</t>
        </is>
      </c>
      <c r="E64" s="31" t="inlineStr">
        <is>
          <t>Творческие мастер-классы и художественные студии; Спектакли, концерты и музыкально-театральные занятия; Ярмарки, фестивали и благотворительные базары; Спортивные и активные мероприятия</t>
        </is>
      </c>
      <c r="F64" s="31" t="inlineStr">
        <is>
          <t>Широкая аудитория, гости и благотворители (открытые события)</t>
        </is>
      </c>
      <c r="G64" s="31" t="inlineStr">
        <is>
          <t>Тверская 15</t>
        </is>
      </c>
      <c r="H64"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t>
        </is>
      </c>
      <c r="I64" s="32" t="inlineStr">
        <is>
          <t>По формату занятия</t>
        </is>
      </c>
      <c r="J64" s="31" t="inlineStr">
        <is>
          <t>Друзья, готово расписание субботы! Напоминаем, что очень ждём вас на фестивале (внизу ссылка на регистрацию) 🎈 14:00 –15:00 — Танцевальная игра «Музыкальный стул» Ведущая — Александра Налетова, антрополог, танцевальный терапевт и танцхудожник. Стулья здесь не убирают, а добавляют...</t>
        </is>
      </c>
    </row>
    <row r="65" ht="30" customHeight="1">
      <c r="A65" s="23" t="n">
        <v>7401</v>
      </c>
      <c r="B65" s="24" t="inlineStr">
        <is>
          <t>2026-04-15</t>
        </is>
      </c>
      <c r="C65" s="25">
        <f>HYPERLINK("https://vk.com/wall-1825701_7401", "Открыть пост")</f>
        <v/>
      </c>
      <c r="D65" s="26" t="inlineStr">
        <is>
          <t>Творческие мастер-классы и художественные студии</t>
        </is>
      </c>
      <c r="E65" s="26" t="inlineStr">
        <is>
          <t>Творческие мастер-классы и художественные студии; Выездные лагеря, дача и сезонные программы; Кулинарные, образовательные и социально-бытовые занятия</t>
        </is>
      </c>
      <c r="F65" s="26" t="inlineStr">
        <is>
          <t>Воспитанники ЦССВ, ДДИ и детских домов-интернатов; Дети и семьи (в т.ч. приёмные семьи и программа в Беслане)</t>
        </is>
      </c>
      <c r="G65" s="26" t="inlineStr">
        <is>
          <t>Беслан, интернат «Надежда»</t>
        </is>
      </c>
      <c r="H65"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 Мобильность, выездное сопровождение и автоволонтёрство</t>
        </is>
      </c>
      <c r="I65" s="27" t="inlineStr">
        <is>
          <t>Да (в тексте)</t>
        </is>
      </c>
      <c r="J65" s="26" t="inlineStr">
        <is>
          <t>✨ Долгожданная весенняя поездка в Беслан! ✨ Всю прошлую неделю команда фонда «Дети Марии» работала в Беслане. Что же мы там делали? Мы проводили творческие мастер-классы для учеников Бесланской школы № 1. Занимались с ними лепкой из глины, рисованием, актерским мастерством, англи...</t>
        </is>
      </c>
    </row>
    <row r="66" ht="30" customHeight="1">
      <c r="A66" s="28" t="n">
        <v>7400</v>
      </c>
      <c r="B66" s="29" t="inlineStr">
        <is>
          <t>2026-04-13</t>
        </is>
      </c>
      <c r="C66" s="30">
        <f>HYPERLINK("https://vk.com/wall-1825701_7400", "Открыть пост")</f>
        <v/>
      </c>
      <c r="D66" s="31" t="inlineStr">
        <is>
          <t>Ярмарки, фестивали и благотворительные базары</t>
        </is>
      </c>
      <c r="E66" s="31" t="inlineStr">
        <is>
          <t>Ярмарки, фестивали и благотворительные базары; Выставки, экскурсии и культурные выходы; Спектакли, концерты и музыкально-театральные занятия; Творческие мастер-классы и художественные студии</t>
        </is>
      </c>
      <c r="F66" s="31" t="inlineStr">
        <is>
          <t>Широкая аудитория, гости и благотворители (открытые события)</t>
        </is>
      </c>
      <c r="G66" s="31" t="inlineStr">
        <is>
          <t>Тверская 15</t>
        </is>
      </c>
      <c r="H66" s="31" t="inlineStr">
        <is>
          <t>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t>
        </is>
      </c>
      <c r="I66" s="32" t="inlineStr">
        <is>
          <t>По формату занятия</t>
        </is>
      </c>
      <c r="J66" s="31" t="inlineStr">
        <is>
          <t>✨ Нам 29 лет! ✨ ⭐ 17 апреля — наш день рождения. Приглашаем вас на двухдневный фестиваль, чтобы вместе отметить это важное событие! Вас ждёт насыщенная программа: вы узнаете о текущей работе фонда «Дети Марии» и познакомитесь с нами поближе. Фестиваль пройдёт в отремонтированном ...</t>
        </is>
      </c>
    </row>
    <row r="67" ht="30" customHeight="1">
      <c r="A67" s="23" t="n">
        <v>7399</v>
      </c>
      <c r="B67" s="24" t="inlineStr">
        <is>
          <t>2026-04-12</t>
        </is>
      </c>
      <c r="C67" s="25">
        <f>HYPERLINK("https://vk.com/wall-1825701_7399", "Открыть пост")</f>
        <v/>
      </c>
      <c r="D67" s="26" t="inlineStr">
        <is>
          <t>Творческие мастер-классы и художественные студии</t>
        </is>
      </c>
      <c r="E67" s="26" t="inlineStr">
        <is>
          <t>Творческие мастер-классы и художественные студии</t>
        </is>
      </c>
      <c r="F67" s="26" t="inlineStr">
        <is>
          <t>Подопечные фонда «Дети Марии» (общая группа детей и подростков)</t>
        </is>
      </c>
      <c r="G67" s="26" t="inlineStr">
        <is>
          <t>Студия фонда / выездная площадка</t>
        </is>
      </c>
      <c r="H67" s="26" t="inlineStr">
        <is>
          <t>Коммуникативные навыки, эмпатия и тьюторское сопровождение</t>
        </is>
      </c>
      <c r="I67" s="27" t="inlineStr">
        <is>
          <t>По формату занятия</t>
        </is>
      </c>
      <c r="J67" s="26" t="inlineStr">
        <is>
          <t>Мастер-класс: витраж Тиффани — кулон своими руками Друзья, в понедельник приглашаем на тёплый и красивый мастер-класс по витражу Тиффани. Это короткий, уютный формат для первого знакомства с техникой. Давно хотели попробовать стекло, но пугали долгие занятия? Вам сюда 💛 За вечер ...</t>
        </is>
      </c>
    </row>
    <row r="68" ht="30" customHeight="1">
      <c r="A68" s="28" t="n">
        <v>7397</v>
      </c>
      <c r="B68" s="29" t="inlineStr">
        <is>
          <t>2026-04-10</t>
        </is>
      </c>
      <c r="C68" s="30">
        <f>HYPERLINK("https://vk.com/wall-1825701_7397", "Открыть пост")</f>
        <v/>
      </c>
      <c r="D68" s="31" t="inlineStr">
        <is>
          <t>Творческие мастер-классы и художественные студии</t>
        </is>
      </c>
      <c r="E68" s="31" t="inlineStr">
        <is>
          <t>Творческие мастер-классы и художественные студии</t>
        </is>
      </c>
      <c r="F68" s="31" t="inlineStr">
        <is>
          <t>Воспитанники ЦССВ, ДДИ и детских домов-интернатов</t>
        </is>
      </c>
      <c r="G68" s="31" t="inlineStr">
        <is>
          <t>Студия фонда / выездная площадка</t>
        </is>
      </c>
      <c r="H68" s="31" t="inlineStr">
        <is>
          <t>Коммуникативные навыки, эмпатия и тьюторское сопровождение</t>
        </is>
      </c>
      <c r="I68" s="32" t="inlineStr">
        <is>
          <t>Да (в тексте)</t>
        </is>
      </c>
      <c r="J68" s="31" t="inlineStr">
        <is>
          <t>⭐• Просто о важном: День Космонавтики Специальный гость — Владислав Юшин (представитель ОА Корпорация ВНИИЭМ) — выступил с увлекательной презентацией о реальных космических достижениях. Владислав рассказал о современных разработках, спутниках и технологиях, которыми гордится отеч...</t>
        </is>
      </c>
    </row>
    <row r="69" ht="30" customHeight="1">
      <c r="A69" s="23" t="n">
        <v>7396</v>
      </c>
      <c r="B69" s="24" t="inlineStr">
        <is>
          <t>2026-04-03</t>
        </is>
      </c>
      <c r="C69" s="25">
        <f>HYPERLINK("https://vk.com/wall-1825701_7396", "Открыть пост")</f>
        <v/>
      </c>
      <c r="D69" s="26" t="inlineStr">
        <is>
          <t>Ярмарки, фестивали и благотворительные базары</t>
        </is>
      </c>
      <c r="E69" s="26" t="inlineStr">
        <is>
          <t>Ярмарки, фестивали и благотворительные базары; Творческие мастер-классы и художественные студии</t>
        </is>
      </c>
      <c r="F69" s="26" t="inlineStr">
        <is>
          <t>Подопечные фонда «Дети Марии» (общая группа детей и подростков)</t>
        </is>
      </c>
      <c r="G69" s="26" t="inlineStr">
        <is>
          <t>Студия фонда / выездная площадка</t>
        </is>
      </c>
      <c r="H69" s="26" t="inlineStr">
        <is>
          <t>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t>
        </is>
      </c>
      <c r="I69" s="27" t="inlineStr">
        <is>
          <t>По формату занятия</t>
        </is>
      </c>
      <c r="J69" s="26" t="inlineStr">
        <is>
          <t>🌹 Приглашаем на Верба-маркет! Фонд «Дети Марии» станет частью весеннего Верба-маркета от журнала Seasons of life. Он пройдёт 4 и 5 апреля в арт-пространстве «Тридевятое». 💐 Что там будет? Много прекрасных продавцов с уютными изделиями и подарками, мастер-классы для души, выступле...</t>
        </is>
      </c>
    </row>
    <row r="70" ht="30" customHeight="1">
      <c r="A70" s="28" t="n">
        <v>7394</v>
      </c>
      <c r="B70" s="29" t="inlineStr">
        <is>
          <t>2026-04-03</t>
        </is>
      </c>
      <c r="C70" s="30">
        <f>HYPERLINK("https://vk.com/wall-1825701_7394", "Открыть пост")</f>
        <v/>
      </c>
      <c r="D70" s="31" t="inlineStr">
        <is>
          <t>Творческие мастер-классы и художественные студии</t>
        </is>
      </c>
      <c r="E70" s="31" t="inlineStr">
        <is>
          <t>Творческие мастер-классы и художественные студии</t>
        </is>
      </c>
      <c r="F70" s="31" t="inlineStr">
        <is>
          <t>Подопечные фонда «Дети Марии» (общая группа детей и подростков)</t>
        </is>
      </c>
      <c r="G70" s="31" t="inlineStr">
        <is>
          <t>Студия фонда / выездная площадка</t>
        </is>
      </c>
      <c r="H70" s="31" t="inlineStr">
        <is>
          <t>Художественно-прикладные и ремесленные навыки</t>
        </is>
      </c>
      <c r="I70" s="32" t="inlineStr">
        <is>
          <t>Да (в тексте)</t>
        </is>
      </c>
      <c r="J70" s="31" t="inlineStr">
        <is>
          <t>Творческий мастер-класс «Птичка» Волонтёры и педагоги нашего фонда провели замечательный мастер-класс, приуроченный ко Дню птиц. Вместе с участниками мы не только погрузились в мир пернатых: узнали любопытные факты о разных видах птиц и поговорили о том, как важно их беречь. Глав...</t>
        </is>
      </c>
    </row>
    <row r="71" ht="30" customHeight="1">
      <c r="A71" s="23" t="n">
        <v>7393</v>
      </c>
      <c r="B71" s="24" t="inlineStr">
        <is>
          <t>2026-04-02</t>
        </is>
      </c>
      <c r="C71" s="25">
        <f>HYPERLINK("https://vk.com/wall-1825701_7393", "Открыть пост")</f>
        <v/>
      </c>
      <c r="D71" s="26" t="inlineStr">
        <is>
          <t>Творческие мастер-классы и художественные студии</t>
        </is>
      </c>
      <c r="E71" s="26" t="inlineStr">
        <is>
          <t>Творческие мастер-классы и художественные студии</t>
        </is>
      </c>
      <c r="F71" s="26" t="inlineStr">
        <is>
          <t>Подопечные фонда «Дети Марии» (общая группа детей и подростков)</t>
        </is>
      </c>
      <c r="G71" s="26" t="inlineStr">
        <is>
          <t>Студия фонда / выездная площадка</t>
        </is>
      </c>
      <c r="H71" s="26" t="inlineStr">
        <is>
          <t>Художественно-прикладные и ремесленные навыки</t>
        </is>
      </c>
      <c r="I71" s="27" t="inlineStr">
        <is>
          <t>По формату занятия</t>
        </is>
      </c>
      <c r="J71" s="26" t="inlineStr">
        <is>
          <t>Чайка! Чайка! Говорит земля! Зовем всех отмечать День Космонавтики! ✨ 9 апреля в нашем исторической студии пройдёт событие, посвящённое Космосу 🌟 Вместе мы не просто послушаем — мы погрузимся в историю освоения космоса, узнаем о первых космонавтах и тайнах планет, а главное — соз...</t>
        </is>
      </c>
    </row>
    <row r="72" ht="30" customHeight="1">
      <c r="A72" s="28" t="n">
        <v>7391</v>
      </c>
      <c r="B72" s="29" t="inlineStr">
        <is>
          <t>2026-04-01</t>
        </is>
      </c>
      <c r="C72" s="30">
        <f>HYPERLINK("https://vk.com/wall-1825701_7391", "Открыть пост")</f>
        <v/>
      </c>
      <c r="D72" s="31" t="inlineStr">
        <is>
          <t>Спектакли, концерты и музыкально-театральные занятия</t>
        </is>
      </c>
      <c r="E72" s="31" t="inlineStr">
        <is>
          <t>Спектакли, концерты и музыкально-театральные занятия</t>
        </is>
      </c>
      <c r="F72" s="31" t="inlineStr">
        <is>
          <t>Воспитанники ЦССВ, ДДИ и детских домов-интернатов; Дети и семьи (в т.ч. приёмные семьи и программа в Беслане)</t>
        </is>
      </c>
      <c r="G72" s="31" t="inlineStr">
        <is>
          <t>Беслан</t>
        </is>
      </c>
      <c r="H72" s="31" t="inlineStr">
        <is>
          <t>Коммуникативные навыки, эмпатия и тьюторское сопровождение; Артистические, музыкальные и спортивно-игровые навыки; Мобильность, выездное сопровождение и автоволонтёрство</t>
        </is>
      </c>
      <c r="I72" s="32" t="inlineStr">
        <is>
          <t>По формату занятия</t>
        </is>
      </c>
      <c r="J72" s="31" t="inlineStr">
        <is>
          <t>🤡 В честь Дня хиханек и хаханек, а точнее 1го апреля, чуть чуть расскажем вам про клоунские выезды нашего фонда. Клоунские выезды были у истоков фонда и важной его частью. Мы ездили с играми и шоу в больницы, хосписы, детские дома по России, везде, где дети особенно нуждались в п...</t>
        </is>
      </c>
    </row>
    <row r="73" ht="30" customHeight="1">
      <c r="A73" s="23" t="n">
        <v>7388</v>
      </c>
      <c r="B73" s="24" t="inlineStr">
        <is>
          <t>2026-03-30</t>
        </is>
      </c>
      <c r="C73" s="25">
        <f>HYPERLINK("https://vk.com/wall-1825701_7388", "Открыть пост")</f>
        <v/>
      </c>
      <c r="D73" s="26" t="inlineStr">
        <is>
          <t>Ярмарки, фестивали и благотворительные базары</t>
        </is>
      </c>
      <c r="E73" s="26" t="inlineStr">
        <is>
          <t>Ярмарки, фестивали и благотворительные базары</t>
        </is>
      </c>
      <c r="F73" s="26" t="inlineStr">
        <is>
          <t>Подростки и взрослые с ментальными особенностями и ОВЗ (ПНИ / Социальные дома); Воспитанники ЦССВ, ДДИ и детских домов-интернатов</t>
        </is>
      </c>
      <c r="G73" s="26" t="inlineStr">
        <is>
          <t>Студия фонда / выездная площадка</t>
        </is>
      </c>
      <c r="H73" s="26" t="inlineStr">
        <is>
          <t>Коммуникативные навыки, эмпатия и тьюторское сопровождение; Организационные, ивент- и ярмарочные навыки</t>
        </is>
      </c>
      <c r="I73" s="27" t="inlineStr">
        <is>
          <t>По формату занятия</t>
        </is>
      </c>
      <c r="J73" s="26" t="inlineStr">
        <is>
          <t>В этом году исполнилось 25 лет девелоперу «Мангазея», известному не только своими проектами жилой недвижимости, но и последовательной политикой социальной ответственности. Юбилей в компании отметили не просто праздником, а добрым делом: в офисе прошла благотворительная ярмарка, в...</t>
        </is>
      </c>
    </row>
    <row r="74" ht="30" customHeight="1">
      <c r="A74" s="28" t="n">
        <v>7387</v>
      </c>
      <c r="B74" s="29" t="inlineStr">
        <is>
          <t>2026-03-27</t>
        </is>
      </c>
      <c r="C74" s="30">
        <f>HYPERLINK("https://vk.com/wall-1825701_7387", "Открыть пост")</f>
        <v/>
      </c>
      <c r="D74" s="31" t="inlineStr">
        <is>
          <t>Творческие мастер-классы и художественные студии</t>
        </is>
      </c>
      <c r="E74" s="31" t="inlineStr">
        <is>
          <t>Творческие мастер-классы и художественные студии</t>
        </is>
      </c>
      <c r="F74" s="31" t="inlineStr">
        <is>
          <t>Воспитанники ЦССВ, ДДИ и детских домов-интернатов</t>
        </is>
      </c>
      <c r="G74" s="31" t="inlineStr">
        <is>
          <t>Студия фонда / выездная площадка</t>
        </is>
      </c>
      <c r="H74" s="31" t="inlineStr">
        <is>
          <t>Художественно-прикладные и ремесленные навыки; Коммуникативные навыки, эмпатия и тьюторское сопровождение</t>
        </is>
      </c>
      <c r="I74" s="32" t="inlineStr">
        <is>
          <t>По формату занятия</t>
        </is>
      </c>
      <c r="J74" s="31" t="inlineStr">
        <is>
          <t>Про младших ребят из нашей Арт-лаборатории На занятиях в «Арт-лаборатории» (https://mariaschildren.ru/programs/tvorchestvo/art-laboratoriya/) не учат «правильному» творчеству. Для детей из ЦССВ (центры содействия семейному воспитанию, так сейчас называют интернаты и детские дома)...</t>
        </is>
      </c>
    </row>
    <row r="75" ht="30" customHeight="1">
      <c r="A75" s="23" t="n">
        <v>7384</v>
      </c>
      <c r="B75" s="24" t="inlineStr">
        <is>
          <t>2026-03-25</t>
        </is>
      </c>
      <c r="C75" s="25">
        <f>HYPERLINK("https://vk.com/wall-1825701_7384", "Открыть пост")</f>
        <v/>
      </c>
      <c r="D75" s="26" t="inlineStr">
        <is>
          <t>Творческие мастер-классы и художественные студии</t>
        </is>
      </c>
      <c r="E75" s="26" t="inlineStr">
        <is>
          <t>Творческие мастер-классы и художественные студии</t>
        </is>
      </c>
      <c r="F75" s="26" t="inlineStr">
        <is>
          <t>Подопечные фонда «Дети Марии» (общая группа детей и подростков)</t>
        </is>
      </c>
      <c r="G75" s="26" t="inlineStr">
        <is>
          <t>Студия фонда / выездная площадка</t>
        </is>
      </c>
      <c r="H75" s="26" t="inlineStr">
        <is>
          <t>Художественно-прикладные и ремесленные навыки; Коммуникативные навыки, эмпатия и тьюторское сопровождение; Медиа, фото/видеосъёмка и культурная медиация</t>
        </is>
      </c>
      <c r="I75" s="27" t="inlineStr">
        <is>
          <t>По формату занятия</t>
        </is>
      </c>
      <c r="J75" s="26" t="inlineStr">
        <is>
          <t>Друзья, напоминаем, что наши мастерские открыты для всех, кто хочет попробовать новое и творчески провести время✨ До конца марта осталось несколько занятий — мест совсем мало, все они разные, но одинаково уютные. 26 марта, 19:30 🥣 Керамика нерикоми — редкая японская техника, при ...</t>
        </is>
      </c>
    </row>
    <row r="76" ht="30" customHeight="1">
      <c r="A76" s="28" t="n">
        <v>7382</v>
      </c>
      <c r="B76" s="29" t="inlineStr">
        <is>
          <t>2026-03-20</t>
        </is>
      </c>
      <c r="C76" s="30">
        <f>HYPERLINK("https://vk.com/wall-1825701_7382", "Открыть пост")</f>
        <v/>
      </c>
      <c r="D76" s="31" t="inlineStr">
        <is>
          <t>Кулинарные, образовательные и социально-бытовые занятия</t>
        </is>
      </c>
      <c r="E76" s="31" t="inlineStr">
        <is>
          <t>Кулинарные, образовательные и социально-бытовые занятия</t>
        </is>
      </c>
      <c r="F76" s="31" t="inlineStr">
        <is>
          <t>Подростки и взрослые с ментальными особенностями и ОВЗ (ПНИ / Социальные дома)</t>
        </is>
      </c>
      <c r="G76" s="31" t="inlineStr">
        <is>
          <t>Студия фонда / выездная площадка</t>
        </is>
      </c>
      <c r="H76" s="31" t="inlineStr">
        <is>
          <t>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Мобильность, выездное сопровождение и автоволонтёрство</t>
        </is>
      </c>
      <c r="I76" s="32" t="inlineStr">
        <is>
          <t>По формату занятия</t>
        </is>
      </c>
      <c r="J76" s="31" t="inlineStr">
        <is>
          <t>Помните в детстве тот день, когда родители впервые разрешили поехать на метро самостоятельно? Что ощущалось - гордость? Волнение? Уверенность? Неуверенность? Умение ориентироваться в транспорте и, шире, в городе - одно из базово необходимых для того, чтобы жить взрослую жизнь. Уч...</t>
        </is>
      </c>
    </row>
    <row r="77" ht="30" customHeight="1">
      <c r="A77" s="23" t="n">
        <v>7380</v>
      </c>
      <c r="B77" s="24" t="inlineStr">
        <is>
          <t>2026-03-19</t>
        </is>
      </c>
      <c r="C77" s="25">
        <f>HYPERLINK("https://vk.com/wall-1825701_7380", "Открыть пост")</f>
        <v/>
      </c>
      <c r="D77" s="26" t="inlineStr">
        <is>
          <t>Ярмарки, фестивали и благотворительные базары</t>
        </is>
      </c>
      <c r="E77" s="26" t="inlineStr">
        <is>
          <t>Ярмарки, фестивали и благотворительные базары; Спектакли, концерты и музыкально-театральные занятия; Творческие мастер-классы и художественные студии</t>
        </is>
      </c>
      <c r="F77" s="26" t="inlineStr">
        <is>
          <t>Подростки и взрослые с ментальными особенностями и ОВЗ (ПНИ / Социальные дома)</t>
        </is>
      </c>
      <c r="G77" s="26" t="inlineStr">
        <is>
          <t>Студия фонда / выездная площадка</t>
        </is>
      </c>
      <c r="H77" s="26" t="inlineStr">
        <is>
          <t>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t>
        </is>
      </c>
      <c r="I77" s="27" t="inlineStr">
        <is>
          <t>Да (в тексте)</t>
        </is>
      </c>
      <c r="J77" s="26" t="inlineStr">
        <is>
          <t>❤ Друзья, в эту субботу, 21 марта, с 13:00 до 19:00 мы примем участие во втором инклюзивном фестивале «Не/норма» ‘26 «Театра Простодушных» и Культурного центра ЗИЛ (Криса Чернэ и Кати Шишковой) Фестиваль «не/норма» посвящён инклюзии в культуре и искусстве. В программе — спектакли...</t>
        </is>
      </c>
    </row>
    <row r="78" ht="30" customHeight="1">
      <c r="A78" s="28" t="n">
        <v>7378</v>
      </c>
      <c r="B78" s="29" t="inlineStr">
        <is>
          <t>2026-03-15</t>
        </is>
      </c>
      <c r="C78" s="30">
        <f>HYPERLINK("https://vk.com/wall-1825701_7378", "Открыть пост")</f>
        <v/>
      </c>
      <c r="D78" s="31" t="inlineStr">
        <is>
          <t>Ярмарки, фестивали и благотворительные базары</t>
        </is>
      </c>
      <c r="E78" s="31" t="inlineStr">
        <is>
          <t>Ярмарки, фестивали и благотворительные базары</t>
        </is>
      </c>
      <c r="F78" s="31" t="inlineStr">
        <is>
          <t>Широкая аудитория, гости и благотворители (открытые события)</t>
        </is>
      </c>
      <c r="G78" s="31" t="inlineStr">
        <is>
          <t>Студия фонда / выездная площадка</t>
        </is>
      </c>
      <c r="H78" s="31" t="inlineStr">
        <is>
          <t>Художественно-прикладные и ремесленные навыки; Организационные, ивент- и ярмарочные навыки</t>
        </is>
      </c>
      <c r="I78" s="32" t="inlineStr">
        <is>
          <t>По формату занятия</t>
        </is>
      </c>
      <c r="J78" s="31" t="inlineStr">
        <is>
          <t>Наш стенд на Шерстяном Базаре! У нас ещё осталось много красоты 🎨 Приходите! 📍только сегодня до 20:00 📍 Event Hall Даниловский, Москва, Дубининская ул., 71 (м. Тульская) 📍ВХОД СВОБОДНЫЙ #sherst_bazar</t>
        </is>
      </c>
    </row>
    <row r="79" ht="30" customHeight="1">
      <c r="A79" s="23" t="n">
        <v>7377</v>
      </c>
      <c r="B79" s="24" t="inlineStr">
        <is>
          <t>2026-03-13</t>
        </is>
      </c>
      <c r="C79" s="25">
        <f>HYPERLINK("https://vk.com/wall-1825701_7377", "Открыть пост")</f>
        <v/>
      </c>
      <c r="D79" s="26" t="inlineStr">
        <is>
          <t>Ярмарки, фестивали и благотворительные базары</t>
        </is>
      </c>
      <c r="E79" s="26" t="inlineStr">
        <is>
          <t>Ярмарки, фестивали и благотворительные базары</t>
        </is>
      </c>
      <c r="F79" s="26" t="inlineStr">
        <is>
          <t>Широкая аудитория, гости и благотворители (открытые события)</t>
        </is>
      </c>
      <c r="G79" s="26" t="inlineStr">
        <is>
          <t>Студия фонда / выездная площадка</t>
        </is>
      </c>
      <c r="H79" s="26" t="inlineStr">
        <is>
          <t>Художественно-прикладные и ремесленные навыки; Педагогические и наставнические навыки (кулинария, быт, учёба); Организационные, ивент- и ярмарочные навыки</t>
        </is>
      </c>
      <c r="I79" s="27" t="inlineStr">
        <is>
          <t>По формату занятия</t>
        </is>
      </c>
      <c r="J79" s="26" t="inlineStr">
        <is>
          <t>❤ Друзья, готовимся к весеннему «Шерстяному Базару»! В субботу и воскресенье (14–15 марта) ищем друг друга в Даниловском. Наш номер — 105 (схема прохода прилагается). 🌞 Лайфхак от нас: положите в кошелек немного наличных. Расплатиться картой из-за перебоев с интернетом может быть...</t>
        </is>
      </c>
    </row>
    <row r="80" ht="30" customHeight="1">
      <c r="A80" s="28" t="n">
        <v>7376</v>
      </c>
      <c r="B80" s="29" t="inlineStr">
        <is>
          <t>2026-03-11</t>
        </is>
      </c>
      <c r="C80" s="30">
        <f>HYPERLINK("https://vk.com/wall-1825701_7376", "Открыть пост")</f>
        <v/>
      </c>
      <c r="D80" s="31" t="inlineStr">
        <is>
          <t>Волонтёрские встречи, обучение и дни открытых дверей</t>
        </is>
      </c>
      <c r="E80" s="31" t="inlineStr">
        <is>
          <t>Волонтёрские встречи, обучение и дни открытых дверей; Творческие мастер-классы и художественные студии</t>
        </is>
      </c>
      <c r="F80" s="31" t="inlineStr">
        <is>
          <t>Подопечные фонда «Дети Марии» (общая группа детей и подростков)</t>
        </is>
      </c>
      <c r="G80" s="31" t="inlineStr">
        <is>
          <t>Студия фонда / выездная площадка</t>
        </is>
      </c>
      <c r="H80" s="31" t="inlineStr">
        <is>
          <t>Коммуникативные навыки, эмпатия и тьюторское сопровождение</t>
        </is>
      </c>
      <c r="I80" s="32" t="inlineStr">
        <is>
          <t>По формату занятия</t>
        </is>
      </c>
      <c r="J80" s="31" t="inlineStr">
        <is>
          <t>✨ Как прошел наш День открытых дверей ✨ Друзья, вчера мы открыли двери нашей студии на Новинском бульваре, после долгого ремонта. Для нас это большое и важное событие! Огромное спасибо всем, кто пришел — вы сделали этот день по-настоящему теплым ❤• Мы рассказали о планах и заняти...</t>
        </is>
      </c>
    </row>
    <row r="81" ht="30" customHeight="1">
      <c r="A81" s="23" t="n">
        <v>7375</v>
      </c>
      <c r="B81" s="24" t="inlineStr">
        <is>
          <t>2026-03-10</t>
        </is>
      </c>
      <c r="C81" s="25">
        <f>HYPERLINK("https://vk.com/wall-1825701_7375", "Открыть пост")</f>
        <v/>
      </c>
      <c r="D81" s="26" t="inlineStr">
        <is>
          <t>Ярмарки, фестивали и благотворительные базары</t>
        </is>
      </c>
      <c r="E81" s="26" t="inlineStr">
        <is>
          <t>Ярмарки, фестивали и благотворительные базары; Творческие мастер-классы и художественные студии</t>
        </is>
      </c>
      <c r="F81" s="26" t="inlineStr">
        <is>
          <t>Подростки и взрослые с ментальными особенностями и ОВЗ (ПНИ / Социальные дома); Широкая аудитория, гости и благотворители (открытые события)</t>
        </is>
      </c>
      <c r="G81" s="26" t="inlineStr">
        <is>
          <t>Студия фонда / выездная площадка</t>
        </is>
      </c>
      <c r="H81" s="26" t="inlineStr">
        <is>
          <t>Художественно-прикладные и ремесленные навыки; Педагогические и наставнические навыки (кулинария, быт, учёба); Организационные, ивент- и ярмарочные навыки</t>
        </is>
      </c>
      <c r="I81" s="27" t="inlineStr">
        <is>
          <t>По формату занятия</t>
        </is>
      </c>
      <c r="J81" s="26" t="inlineStr">
        <is>
          <t>Уже в ближайшие выходные нас (надеемся, и вас) ждёт Шерстяной Базар (https://t.me/sherst_bazar)! Этот маркет не только про вязание и шитьё во всех его видах. Все наши мастера готовят свои новинки. Печатная мастерская, где взрослые люди с ментальными особенностями обучаются техник...</t>
        </is>
      </c>
    </row>
    <row r="82" ht="30" customHeight="1">
      <c r="A82" s="28" t="n">
        <v>7372</v>
      </c>
      <c r="B82" s="29" t="inlineStr">
        <is>
          <t>2026-03-06</t>
        </is>
      </c>
      <c r="C82" s="30">
        <f>HYPERLINK("https://vk.com/wall-1825701_7372", "Открыть пост")</f>
        <v/>
      </c>
      <c r="D82" s="31" t="inlineStr">
        <is>
          <t>Творческие мастер-классы и художественные студии</t>
        </is>
      </c>
      <c r="E82" s="31" t="inlineStr">
        <is>
          <t>Творческие мастер-классы и художественные студии</t>
        </is>
      </c>
      <c r="F82" s="31" t="inlineStr">
        <is>
          <t>Подопечные фонда «Дети Марии» (общая группа детей и подростков)</t>
        </is>
      </c>
      <c r="G82" s="31" t="inlineStr">
        <is>
          <t>Студия фонда / выездная площадка</t>
        </is>
      </c>
      <c r="H82" s="31" t="inlineStr">
        <is>
          <t>Художественно-прикладные и ремесленные навыки; Коммуникативные навыки, эмпатия и тьюторское сопровождение</t>
        </is>
      </c>
      <c r="I82" s="32" t="inlineStr">
        <is>
          <t>Да (в тексте)</t>
        </is>
      </c>
      <c r="J82" s="31" t="inlineStr">
        <is>
          <t>Как прошёл мастер-класс «Тюльпаны в технике оригами» Вчера волонтёры и педагоги БФ «Дети Марии» провели творческий мастер-класс по созданию бумажных тюльпанов. Участники освоили основы японского искусства оригами и убедились, как просто можно превратить обычный лист бумаги в изящ...</t>
        </is>
      </c>
    </row>
    <row r="83" ht="30" customHeight="1">
      <c r="A83" s="23" t="n">
        <v>7371</v>
      </c>
      <c r="B83" s="24" t="inlineStr">
        <is>
          <t>2026-03-05</t>
        </is>
      </c>
      <c r="C83" s="25">
        <f>HYPERLINK("https://vk.com/wall-1825701_7371", "Открыть пост")</f>
        <v/>
      </c>
      <c r="D83" s="26" t="inlineStr">
        <is>
          <t>Творческие мастер-классы и художественные студии</t>
        </is>
      </c>
      <c r="E83" s="26" t="inlineStr">
        <is>
          <t>Творческие мастер-классы и художественные студии; Ярмарки, фестивали и благотворительные базары; Волонтёрские встречи, обучение и дни открытых дверей; Праздники, дни рождения и клубные встречи</t>
        </is>
      </c>
      <c r="F83" s="26" t="inlineStr">
        <is>
          <t>Широкая аудитория, гости и благотворители (открытые события)</t>
        </is>
      </c>
      <c r="G83" s="26" t="inlineStr">
        <is>
          <t>Студия фонда / выездная площадка</t>
        </is>
      </c>
      <c r="H83" s="26" t="inlineStr">
        <is>
          <t>Художественно-прикладные и ремесленные навыки; Организационные, ивент- и ярмарочные навыки</t>
        </is>
      </c>
      <c r="I83" s="27" t="inlineStr">
        <is>
          <t>По формату занятия</t>
        </is>
      </c>
      <c r="J83" s="26" t="inlineStr">
        <is>
          <t>💞 Дорогие соседи и друзья Пресненского района! Благотворительный фонд "Дети Марии" делится радостной новостью! После ремонта мы наконец открываем двери нашего уютного пространства на Новинском бульваре! Все это время мы очень скучали по дому и по вам - и теперь с трепетом и волне...</t>
        </is>
      </c>
    </row>
    <row r="84" ht="30" customHeight="1">
      <c r="A84" s="28" t="n">
        <v>7367</v>
      </c>
      <c r="B84" s="29" t="inlineStr">
        <is>
          <t>2026-03-01</t>
        </is>
      </c>
      <c r="C84" s="30">
        <f>HYPERLINK("https://vk.com/wall-1825701_7367", "Открыть пост")</f>
        <v/>
      </c>
      <c r="D84" s="31" t="inlineStr">
        <is>
          <t>Ярмарки, фестивали и благотворительные базары</t>
        </is>
      </c>
      <c r="E84" s="31" t="inlineStr">
        <is>
          <t>Ярмарки, фестивали и благотворительные базары</t>
        </is>
      </c>
      <c r="F84" s="31" t="inlineStr">
        <is>
          <t>Широкая аудитория, гости и благотворители (открытые события)</t>
        </is>
      </c>
      <c r="G84" s="31" t="inlineStr">
        <is>
          <t>Студия фонда / выездная площадка</t>
        </is>
      </c>
      <c r="H84"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t>
        </is>
      </c>
      <c r="I84" s="32" t="inlineStr">
        <is>
          <t>По формату занятия</t>
        </is>
      </c>
      <c r="J84" s="31" t="inlineStr">
        <is>
          <t>В марте мы снова приглашаем всех на Шерстяной Базар (https://t.me/sherst_bazar) ! Участники инклюзивной мастерской готовят новую коллекцию под названием «Вкусняшки». В ней и мороженое разных сортов, и пицца пеперони, яичница и бутерброд с икрой, крендель, пончик и пельмешки. Нет,...</t>
        </is>
      </c>
    </row>
    <row r="85" ht="30" customHeight="1">
      <c r="A85" s="23" t="n">
        <v>7366</v>
      </c>
      <c r="B85" s="24" t="inlineStr">
        <is>
          <t>2026-02-27</t>
        </is>
      </c>
      <c r="C85" s="25">
        <f>HYPERLINK("https://vk.com/wall-1825701_7366", "Открыть пост")</f>
        <v/>
      </c>
      <c r="D85" s="26" t="inlineStr">
        <is>
          <t>Праздники, дни рождения и клубные встречи</t>
        </is>
      </c>
      <c r="E85" s="26" t="inlineStr">
        <is>
          <t>Праздники, дни рождения и клубные встречи</t>
        </is>
      </c>
      <c r="F85" s="26" t="inlineStr">
        <is>
          <t>Подопечные фонда «Дети Марии» (общая группа детей и подростков)</t>
        </is>
      </c>
      <c r="G85" s="26" t="inlineStr">
        <is>
          <t>Студия фонда / выездная площадка</t>
        </is>
      </c>
      <c r="H85" s="26" t="inlineStr">
        <is>
          <t>Коммуникативные навыки, эмпатия и тьюторское сопровождение; Педагогические и наставнические навыки (кулинария, быт, учёба); Организационные, ивент- и ярмарочные навыки</t>
        </is>
      </c>
      <c r="I85" s="27" t="inlineStr">
        <is>
          <t>Да (в тексте)</t>
        </is>
      </c>
      <c r="J85" s="26" t="inlineStr">
        <is>
          <t>Звёзды на масленичном небе: как это было На прошедшей неделе волонтёры и педагоги фонда «Дети Марии» устроили настоящий праздник! Мы собрались, чтобы проводить зиму и встретить весну самым вкусным способом — создавая праздничные блины. В тёплой компании ребята не только научились...</t>
        </is>
      </c>
    </row>
    <row r="86" ht="30" customHeight="1">
      <c r="A86" s="28" t="n">
        <v>7363</v>
      </c>
      <c r="B86" s="29" t="inlineStr">
        <is>
          <t>2026-02-24</t>
        </is>
      </c>
      <c r="C86" s="30">
        <f>HYPERLINK("https://vk.com/wall-1825701_7363", "Открыть пост")</f>
        <v/>
      </c>
      <c r="D86" s="31" t="inlineStr">
        <is>
          <t>Ярмарки, фестивали и благотворительные базары</t>
        </is>
      </c>
      <c r="E86" s="31" t="inlineStr">
        <is>
          <t>Ярмарки, фестивали и благотворительные базары; Спектакли, концерты и музыкально-театральные занятия; Творческие мастер-классы и художественные студии</t>
        </is>
      </c>
      <c r="F86" s="31" t="inlineStr">
        <is>
          <t>Подопечные фонда «Дети Марии» (общая группа детей и подростков)</t>
        </is>
      </c>
      <c r="G86" s="31" t="inlineStr">
        <is>
          <t>Студия фонда / выездная площадка</t>
        </is>
      </c>
      <c r="H86" s="31" t="inlineStr">
        <is>
          <t>Артистические, музыкальные и спортивно-игровые навыки; Организационные, ивент- и ярмарочные навыки</t>
        </is>
      </c>
      <c r="I86" s="32" t="inlineStr">
        <is>
          <t>По формату занятия</t>
        </is>
      </c>
      <c r="J86" s="31" t="inlineStr">
        <is>
          <t>Скоро любовь! Скоро весна! Ура! Радуемся скорому началу весны и прибежали к вам с новостью: совсем скоро на площадке фонда «Дети Марии» пройдет Маркет журнала Seasons of life! Чем примечательно это событие? Это первое крупное мероприятие, которое состоится на нашей обновленной пл...</t>
        </is>
      </c>
    </row>
    <row r="87" ht="30" customHeight="1">
      <c r="A87" s="23" t="n">
        <v>7362</v>
      </c>
      <c r="B87" s="24" t="inlineStr">
        <is>
          <t>2026-02-20</t>
        </is>
      </c>
      <c r="C87" s="25">
        <f>HYPERLINK("https://vk.com/wall-1825701_7362", "Открыть пост")</f>
        <v/>
      </c>
      <c r="D87" s="26" t="inlineStr">
        <is>
          <t>Творческие мастер-классы и художественные студии</t>
        </is>
      </c>
      <c r="E87" s="26" t="inlineStr">
        <is>
          <t>Творческие мастер-классы и художественные студии</t>
        </is>
      </c>
      <c r="F87" s="26" t="inlineStr">
        <is>
          <t>Подопечные фонда «Дети Марии» (общая группа детей и подростков)</t>
        </is>
      </c>
      <c r="G87" s="26" t="inlineStr">
        <is>
          <t>Студия фонда / выездная площадка</t>
        </is>
      </c>
      <c r="H87" s="26" t="inlineStr">
        <is>
          <t>Артистические, музыкальные и спортивно-игровые навыки; Педагогические и наставнические навыки (кулинария, быт, учёба)</t>
        </is>
      </c>
      <c r="I87" s="27" t="inlineStr">
        <is>
          <t>Да (в тексте)</t>
        </is>
      </c>
      <c r="J87" s="26" t="inlineStr">
        <is>
          <t>Как музыка влияет на нас? 🎶 Недавно, 12 февраля, вместе с волонтёрами БФ «Дети Марии» мы провели мастер-класс «Ритмичность, состояние и характер». Разбирались, как ритм помогает управлять настроением, успокаивает или бодрит и даже влияет на характер. Участники не просто слушали —...</t>
        </is>
      </c>
    </row>
    <row r="88" ht="30" customHeight="1">
      <c r="A88" s="28" t="n">
        <v>7360</v>
      </c>
      <c r="B88" s="29" t="inlineStr">
        <is>
          <t>2026-02-20</t>
        </is>
      </c>
      <c r="C88" s="30">
        <f>HYPERLINK("https://vk.com/wall-1825701_7360", "Открыть пост")</f>
        <v/>
      </c>
      <c r="D88" s="31" t="inlineStr">
        <is>
          <t>Творческие мастер-классы и художественные студии</t>
        </is>
      </c>
      <c r="E88" s="31" t="inlineStr">
        <is>
          <t>Творческие мастер-классы и художественные студии</t>
        </is>
      </c>
      <c r="F88" s="31" t="inlineStr">
        <is>
          <t>Подопечные фонда «Дети Марии» (общая группа детей и подростков)</t>
        </is>
      </c>
      <c r="G88" s="31" t="inlineStr">
        <is>
          <t>Студия фонда / выездная площадка</t>
        </is>
      </c>
      <c r="H88" s="31" t="inlineStr">
        <is>
          <t>Художественно-прикладные и ремесленные навыки; Педагогические и наставнические навыки (кулинария, быт, учёба)</t>
        </is>
      </c>
      <c r="I88" s="32" t="inlineStr">
        <is>
          <t>Да (в тексте)</t>
        </is>
      </c>
      <c r="J88" s="31" t="inlineStr">
        <is>
          <t>Как прошел наш творческий вечер? ❤• Друзья, на прошлой неделе вместе с волонтёрами и педагогами БФ «Дети Марии» мы провели душевный мастер-класс «Создаем красивые валентинки». Окунулись в атмосферу любви и творчества, чтобы сделать подарки своими руками. И пусть День всех влюблен...</t>
        </is>
      </c>
    </row>
    <row r="89" ht="30" customHeight="1">
      <c r="A89" s="23" t="n">
        <v>7357</v>
      </c>
      <c r="B89" s="24" t="inlineStr">
        <is>
          <t>2026-02-14</t>
        </is>
      </c>
      <c r="C89" s="25">
        <f>HYPERLINK("https://vk.com/wall-1825701_7357", "Открыть пост")</f>
        <v/>
      </c>
      <c r="D89" s="26" t="inlineStr">
        <is>
          <t>Выездные лагеря, дача и сезонные программы</t>
        </is>
      </c>
      <c r="E89" s="26" t="inlineStr">
        <is>
          <t>Выездные лагеря, дача и сезонные программы; Спортивные и активные мероприятия</t>
        </is>
      </c>
      <c r="F89" s="26" t="inlineStr">
        <is>
          <t>Подопечные фонда «Дети Марии» (общая группа детей и подростков)</t>
        </is>
      </c>
      <c r="G89" s="26" t="inlineStr">
        <is>
          <t>Сорочанах</t>
        </is>
      </c>
      <c r="H89" s="26" t="inlineStr">
        <is>
          <t>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 Мобильность, выездное сопровождение и автоволонтёрство</t>
        </is>
      </c>
      <c r="I89" s="27" t="inlineStr">
        <is>
          <t>Да (в тексте)</t>
        </is>
      </c>
      <c r="J89" s="26" t="inlineStr">
        <is>
          <t>Наша зимняя неделя в Сорочанах прошла просто чудесно 🌈 Мы успели всё: катались на лыжах и ватрушках, вместе готовили, много общались и просто были рядом. Участники фонда остались от поездки в полном восторге! А это, пожалуй, и есть главное чудо 🌟 Как всё устроено и чем запомнилас...</t>
        </is>
      </c>
    </row>
    <row r="90" ht="30" customHeight="1">
      <c r="A90" s="28" t="n">
        <v>7355</v>
      </c>
      <c r="B90" s="29" t="inlineStr">
        <is>
          <t>2026-02-11</t>
        </is>
      </c>
      <c r="C90" s="30">
        <f>HYPERLINK("https://vk.com/wall-1825701_7355", "Открыть пост")</f>
        <v/>
      </c>
      <c r="D90" s="31" t="inlineStr">
        <is>
          <t>Творческие мастер-классы и художественные студии</t>
        </is>
      </c>
      <c r="E90" s="31" t="inlineStr">
        <is>
          <t>Творческие мастер-классы и художественные студии</t>
        </is>
      </c>
      <c r="F90" s="31" t="inlineStr">
        <is>
          <t>Подопечные фонда «Дети Марии» (общая группа детей и подростков)</t>
        </is>
      </c>
      <c r="G90" s="31" t="inlineStr">
        <is>
          <t>Студия фонда / выездная площадка</t>
        </is>
      </c>
      <c r="H90" s="31" t="inlineStr">
        <is>
          <t>Художественно-прикладные и ремесленные навыки; Коммуникативные навыки, эмпатия и тьюторское сопровождение; Организационные, ивент- и ярмарочные навыки</t>
        </is>
      </c>
      <c r="I90" s="32" t="inlineStr">
        <is>
          <t>По формату занятия</t>
        </is>
      </c>
      <c r="J90" s="31" t="inlineStr">
        <is>
          <t>День всех влюблённых уже на носу 🧚 Хочется подарить настоящие эмоции, тепло и смысл? Тогда ловите идеи подарков, которые дарят впечатления и запоминаются надолго 🏰 🎁 Подарочный сертификат фонда «Дети Марии» Подарок, который несёт двойную радость: для любимого человека и для подоп...</t>
        </is>
      </c>
    </row>
    <row r="91" ht="30" customHeight="1">
      <c r="A91" s="23" t="n">
        <v>7353</v>
      </c>
      <c r="B91" s="24" t="inlineStr">
        <is>
          <t>2026-01-30</t>
        </is>
      </c>
      <c r="C91" s="25">
        <f>HYPERLINK("https://vk.com/wall-1825701_7353", "Открыть пост")</f>
        <v/>
      </c>
      <c r="D91" s="26" t="inlineStr">
        <is>
          <t>Кулинарные, образовательные и социально-бытовые занятия</t>
        </is>
      </c>
      <c r="E91" s="26" t="inlineStr">
        <is>
          <t>Кулинарные, образовательные и социально-бытовые занятия</t>
        </is>
      </c>
      <c r="F91" s="26" t="inlineStr">
        <is>
          <t>Подопечные фонда «Дети Марии» (общая группа детей и подростков)</t>
        </is>
      </c>
      <c r="G91" s="26" t="inlineStr">
        <is>
          <t>Студия фонда / выездная площадка</t>
        </is>
      </c>
      <c r="H91" s="26" t="inlineStr">
        <is>
          <t>Коммуникативные навыки, эмпатия и тьюторское сопровождение; Артистические, музыкальные и спортивно-игровые навыки</t>
        </is>
      </c>
      <c r="I91" s="27" t="inlineStr">
        <is>
          <t>Да (в тексте)</t>
        </is>
      </c>
      <c r="J91" s="26" t="inlineStr">
        <is>
          <t>Закрываем гештальт и делимся капелькой вчерашнего тепла! 29 января, в четверг в пространствах фонда мы провели викторину о природе, и пространство наполнилось не только знаниями, но и смехом, удивлением и живым интересом. Было так здорово наблюдать, как вы: ✨ С азартом обсуждаете...</t>
        </is>
      </c>
    </row>
    <row r="92" ht="30" customHeight="1">
      <c r="A92" s="28" t="n">
        <v>7350</v>
      </c>
      <c r="B92" s="29" t="inlineStr">
        <is>
          <t>2026-01-23</t>
        </is>
      </c>
      <c r="C92" s="30">
        <f>HYPERLINK("https://vk.com/wall-1825701_7350", "Открыть пост")</f>
        <v/>
      </c>
      <c r="D92" s="31" t="inlineStr">
        <is>
          <t>Творческие мастер-классы и художественные студии</t>
        </is>
      </c>
      <c r="E92" s="31" t="inlineStr">
        <is>
          <t>Творческие мастер-классы и художественные студии</t>
        </is>
      </c>
      <c r="F92" s="31" t="inlineStr">
        <is>
          <t>Широкая аудитория, гости и благотворители (открытые события)</t>
        </is>
      </c>
      <c r="G92" s="31" t="inlineStr">
        <is>
          <t>Студия фонда / выездная площадка</t>
        </is>
      </c>
      <c r="H92" s="31" t="inlineStr">
        <is>
          <t>Коммуникативные навыки, эмпатия и тьюторское сопровождение</t>
        </is>
      </c>
      <c r="I92" s="32" t="inlineStr">
        <is>
          <t>По формату занятия</t>
        </is>
      </c>
      <c r="J92" s="31" t="inlineStr">
        <is>
          <t>Мы кое-что тестировали последнее время и теперь расскажем хорошие новости! Друзья, вы наверняка заметили, что у нас появились мастер-классы для всех желающих. После их успешного тестирования мы рады официально объявить: да, мы запустили платное направление! Теперь вы можете прихо...</t>
        </is>
      </c>
    </row>
    <row r="93" ht="30" customHeight="1">
      <c r="A93" s="23" t="n">
        <v>7348</v>
      </c>
      <c r="B93" s="24" t="inlineStr">
        <is>
          <t>2026-01-22</t>
        </is>
      </c>
      <c r="C93" s="25">
        <f>HYPERLINK("https://vk.com/wall-1825701_7348", "Открыть пост")</f>
        <v/>
      </c>
      <c r="D93" s="26" t="inlineStr">
        <is>
          <t>Творческие мастер-классы и художественные студии</t>
        </is>
      </c>
      <c r="E93" s="26" t="inlineStr">
        <is>
          <t>Творческие мастер-классы и художественные студии; Спектакли, концерты и музыкально-театральные занятия</t>
        </is>
      </c>
      <c r="F93" s="26" t="inlineStr">
        <is>
          <t>Подопечные фонда «Дети Марии» (общая группа детей и подростков)</t>
        </is>
      </c>
      <c r="G93" s="26" t="inlineStr">
        <is>
          <t>Студия фонда / выездная площадка</t>
        </is>
      </c>
      <c r="H93" s="26" t="inlineStr">
        <is>
          <t>Коммуникативные навыки, эмпатия и тьюторское сопровождение; Педагогические и наставнические навыки (кулинария, быт, учёба)</t>
        </is>
      </c>
      <c r="I93" s="27" t="inlineStr">
        <is>
          <t>Да (в тексте)</t>
        </is>
      </c>
      <c r="J93" s="26" t="inlineStr">
        <is>
          <t>Вчера, 21 января, в нашем пространстве прошёл особенный вокальный мастер-класс от волонтёров фонда «Дети Марии». Это занятие стало для участников возможностью не только познакомиться с основами вокала, но и погрузиться в мир самовыражения. Вместе с нашими наставниками мы исследов...</t>
        </is>
      </c>
    </row>
    <row r="94" ht="30" customHeight="1">
      <c r="A94" s="28" t="n">
        <v>7347</v>
      </c>
      <c r="B94" s="29" t="inlineStr">
        <is>
          <t>2026-01-21</t>
        </is>
      </c>
      <c r="C94" s="30">
        <f>HYPERLINK("https://vk.com/wall-1825701_7347", "Открыть пост")</f>
        <v/>
      </c>
      <c r="D94" s="31" t="inlineStr">
        <is>
          <t>Выставки, экскурсии и культурные выходы</t>
        </is>
      </c>
      <c r="E94" s="31" t="inlineStr">
        <is>
          <t>Выставки, экскурсии и культурные выходы</t>
        </is>
      </c>
      <c r="F94" s="31" t="inlineStr">
        <is>
          <t>Подростки и взрослые с ментальными особенностями и ОВЗ (ПНИ / Социальные дома)</t>
        </is>
      </c>
      <c r="G94" s="31" t="inlineStr">
        <is>
          <t>Студия фонда / выездная площадка</t>
        </is>
      </c>
      <c r="H94" s="31" t="inlineStr">
        <is>
          <t>Коммуникативные навыки, эмпатия и тьюторское сопровождение; Педагогические и наставнические навыки (кулинария, быт, учёба); Мобильность, выездное сопровождение и автоволонтёрство; Медиа, фото/видеосъёмка и культурная медиация</t>
        </is>
      </c>
      <c r="I94" s="32" t="inlineStr">
        <is>
          <t>По формату занятия</t>
        </is>
      </c>
      <c r="J94" s="31" t="inlineStr">
        <is>
          <t>Наше утро сегодня началось в Музее Москвы — мы командой фонда посетили выставку, посвящённую жизни в ПНИ. Это был глубокий эмоциональный опыт, который трудно описать словами. Здесь быт жителей психоневрологических интернатов показан без прикрас. Фотограф Юрий Козырев, чьи работы ...</t>
        </is>
      </c>
    </row>
    <row r="95" ht="30" customHeight="1">
      <c r="A95" s="23" t="n">
        <v>7345</v>
      </c>
      <c r="B95" s="24" t="inlineStr">
        <is>
          <t>2026-01-18</t>
        </is>
      </c>
      <c r="C95" s="25">
        <f>HYPERLINK("https://vk.com/wall-1825701_7345", "Открыть пост")</f>
        <v/>
      </c>
      <c r="D95" s="26" t="inlineStr">
        <is>
          <t>Творческие мастер-классы и художественные студии</t>
        </is>
      </c>
      <c r="E95" s="26" t="inlineStr">
        <is>
          <t>Творческие мастер-классы и художественные студии</t>
        </is>
      </c>
      <c r="F95" s="26" t="inlineStr">
        <is>
          <t>Широкая аудитория, гости и благотворители (открытые события)</t>
        </is>
      </c>
      <c r="G95" s="26" t="inlineStr">
        <is>
          <t>Студия фонда / выездная площадка</t>
        </is>
      </c>
      <c r="H95" s="26" t="inlineStr">
        <is>
          <t>Художественно-прикладные и ремесленные навыки</t>
        </is>
      </c>
      <c r="I95" s="27" t="inlineStr">
        <is>
          <t>По формату занятия</t>
        </is>
      </c>
      <c r="J95" s="26" t="inlineStr">
        <is>
          <t>🔥 Друзья, вчера состоялся наш первый мастер-класс по визуальной поэзии, и это было прекрасно! ⭐ Собрались увлеченные и творческие люди 📒 Мы говорили о том, как поэзия выходит за рамки текста, становясь образом и графикой. Посмотрели примеры - от античных фигурных стихов до смелых...</t>
        </is>
      </c>
    </row>
    <row r="96" ht="30" customHeight="1">
      <c r="A96" s="28" t="n">
        <v>7341</v>
      </c>
      <c r="B96" s="29" t="inlineStr">
        <is>
          <t>2026-01-03</t>
        </is>
      </c>
      <c r="C96" s="30">
        <f>HYPERLINK("https://vk.com/wall-1825701_7341", "Открыть пост")</f>
        <v/>
      </c>
      <c r="D96" s="31" t="inlineStr">
        <is>
          <t>Ярмарки, фестивали и благотворительные базары</t>
        </is>
      </c>
      <c r="E96" s="31" t="inlineStr">
        <is>
          <t>Ярмарки, фестивали и благотворительные базары; Творческие мастер-классы и художественные студии; Праздники, дни рождения и клубные встречи</t>
        </is>
      </c>
      <c r="F96" s="31" t="inlineStr">
        <is>
          <t>Подростки и взрослые с ментальными особенностями и ОВЗ (ПНИ / Социальные дома); Воспитанники ЦССВ, ДДИ и детских домов-интернатов</t>
        </is>
      </c>
      <c r="G96" s="31" t="inlineStr">
        <is>
          <t>Студия фонда / выездная площадка</t>
        </is>
      </c>
      <c r="H96" s="31"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 Организационные, ивент- и ярмарочные навыки; Мобильность, выездное сопровождение и автоволонтёрство</t>
        </is>
      </c>
      <c r="I96" s="32" t="inlineStr">
        <is>
          <t>Да (в тексте)</t>
        </is>
      </c>
      <c r="J96" s="31" t="inlineStr">
        <is>
          <t>Мир держится на живых улыбках, тёплых словах и тех маленьких жестах внимания, из которых складывается большая дружба. В «Детях Марии» мы каждый день видим, как много значат простые вещи: совместное чаепитие, поделка, впервые сделанная своими руками, простой неспешный разговор. До...</t>
        </is>
      </c>
    </row>
    <row r="97" ht="30" customHeight="1">
      <c r="A97" s="23" t="n">
        <v>7340</v>
      </c>
      <c r="B97" s="24" t="inlineStr">
        <is>
          <t>2025-12-29</t>
        </is>
      </c>
      <c r="C97" s="25">
        <f>HYPERLINK("https://vk.com/wall-1825701_7340", "Открыть пост")</f>
        <v/>
      </c>
      <c r="D97" s="26" t="inlineStr">
        <is>
          <t>Творческие мастер-классы и художественные студии</t>
        </is>
      </c>
      <c r="E97" s="26" t="inlineStr">
        <is>
          <t>Творческие мастер-классы и художественные студии</t>
        </is>
      </c>
      <c r="F97" s="26" t="inlineStr">
        <is>
          <t>Подопечные фонда «Дети Марии» (общая группа детей и подростков)</t>
        </is>
      </c>
      <c r="G97" s="26" t="inlineStr">
        <is>
          <t>Студия фонда / выездная площадка</t>
        </is>
      </c>
      <c r="H97" s="26" t="inlineStr">
        <is>
          <t>Коммуникативные навыки, эмпатия и тьюторское сопровождение; Организационные, ивент- и ярмарочные навыки</t>
        </is>
      </c>
      <c r="I97" s="27" t="inlineStr">
        <is>
          <t>По формату занятия</t>
        </is>
      </c>
      <c r="J97" s="26" t="inlineStr">
        <is>
          <t>В минувший четверг 25 декабря в наших студиях прошли творческие мастер-классы, где дети и взрослые изучали зимние праздники и традиции славян. Цель была простой: узнать больше о том, как в старину праздновали зиму, откуда взялись эти традиции и что они значат (и что знают о них н...</t>
        </is>
      </c>
    </row>
    <row r="98" ht="30" customHeight="1">
      <c r="A98" s="28" t="n">
        <v>7337</v>
      </c>
      <c r="B98" s="29" t="inlineStr">
        <is>
          <t>2025-12-24</t>
        </is>
      </c>
      <c r="C98" s="30">
        <f>HYPERLINK("https://vk.com/wall-1825701_7337", "Открыть пост")</f>
        <v/>
      </c>
      <c r="D98" s="31" t="inlineStr">
        <is>
          <t>Кулинарные, образовательные и социально-бытовые занятия</t>
        </is>
      </c>
      <c r="E98" s="31" t="inlineStr">
        <is>
          <t>Кулинарные, образовательные и социально-бытовые занятия; Праздники, дни рождения и клубные встречи</t>
        </is>
      </c>
      <c r="F98" s="31" t="inlineStr">
        <is>
          <t>Подопечные фонда «Дети Марии» (общая группа детей и подростков)</t>
        </is>
      </c>
      <c r="G98" s="31" t="inlineStr">
        <is>
          <t>Студия фонда / выездная площадка</t>
        </is>
      </c>
      <c r="H98" s="31" t="inlineStr">
        <is>
          <t>Организационные, ивент- и ярмарочные навыки</t>
        </is>
      </c>
      <c r="I98" s="32" t="inlineStr">
        <is>
          <t>Да (в тексте)</t>
        </is>
      </c>
      <c r="J98" s="31" t="inlineStr">
        <is>
          <t>Наш уютный киноклуб в воскресенье, 21 декабря, исследовал новогодние традиции России. Мероприятие пришлось на дату, которая усилила ощущение праздника и заставила задуматься о его значении. Организаторами выступили волонтёры и педагоги. Встреча, которая объединила благополучателе...</t>
        </is>
      </c>
    </row>
    <row r="99" ht="30" customHeight="1">
      <c r="A99" s="23" t="n">
        <v>7335</v>
      </c>
      <c r="B99" s="24" t="inlineStr">
        <is>
          <t>2025-12-21</t>
        </is>
      </c>
      <c r="C99" s="25">
        <f>HYPERLINK("https://vk.com/wall-1825701_7335", "Открыть пост")</f>
        <v/>
      </c>
      <c r="D99" s="26" t="inlineStr">
        <is>
          <t>Ярмарки, фестивали и благотворительные базары</t>
        </is>
      </c>
      <c r="E99" s="26" t="inlineStr">
        <is>
          <t>Ярмарки, фестивали и благотворительные базары</t>
        </is>
      </c>
      <c r="F99" s="26" t="inlineStr">
        <is>
          <t>Широкая аудитория, гости и благотворители (открытые события)</t>
        </is>
      </c>
      <c r="G99" s="26" t="inlineStr">
        <is>
          <t>Студия фонда / выездная площадка</t>
        </is>
      </c>
      <c r="H99" s="26" t="inlineStr">
        <is>
          <t>Художественно-прикладные и ремесленные навыки; Организационные, ивент- и ярмарочные навыки</t>
        </is>
      </c>
      <c r="I99" s="27" t="inlineStr">
        <is>
          <t>По формату занятия</t>
        </is>
      </c>
      <c r="J99" s="26" t="inlineStr">
        <is>
          <t>Сегодня второй (и последний!) день Шерстяного Базара. У нас всё ещё много красивого для уютного дома и новогодних подарков. 📍 Ждём вас с 12:00 до 20:00 📍 Event Hall Даниловский, Москва, Дубининская ул., 71 (м. Тульская) 📍ВХОД СВОБОДНЫЙ</t>
        </is>
      </c>
    </row>
    <row r="100" ht="30" customHeight="1">
      <c r="A100" s="28" t="n">
        <v>7334</v>
      </c>
      <c r="B100" s="29" t="inlineStr">
        <is>
          <t>2025-12-19</t>
        </is>
      </c>
      <c r="C100" s="30">
        <f>HYPERLINK("https://vk.com/wall-1825701_7334", "Открыть пост")</f>
        <v/>
      </c>
      <c r="D100" s="31" t="inlineStr">
        <is>
          <t>Ярмарки, фестивали и благотворительные базары</t>
        </is>
      </c>
      <c r="E100" s="31" t="inlineStr">
        <is>
          <t>Ярмарки, фестивали и благотворительные базары</t>
        </is>
      </c>
      <c r="F100" s="31" t="inlineStr">
        <is>
          <t>Широкая аудитория, гости и благотворители (открытые события)</t>
        </is>
      </c>
      <c r="G100" s="31" t="inlineStr">
        <is>
          <t>Студия фонда / выездная площадка</t>
        </is>
      </c>
      <c r="H100" s="31" t="inlineStr">
        <is>
          <t>Художественно-прикладные и ремесленные навыки; Организационные, ивент- и ярмарочные навыки</t>
        </is>
      </c>
      <c r="I100" s="32" t="inlineStr">
        <is>
          <t>По формату занятия</t>
        </is>
      </c>
      <c r="J100" s="31" t="inlineStr">
        <is>
          <t>Если вы ещё не все новогодние подарки купили, если хочется чего-то уникального, мы знаем волшебное место. Уже завтра, в субботу, начнётся Шерстяной Базар!🧶 Он пройдёт на просторной, светлой площадке – Event Hall Даниловский, в 10 мин от метро Тульская. Дубининская ул., 71. ВХОД С...</t>
        </is>
      </c>
    </row>
    <row r="101" ht="30" customHeight="1">
      <c r="A101" s="23" t="n">
        <v>7330</v>
      </c>
      <c r="B101" s="24" t="inlineStr">
        <is>
          <t>2025-12-12</t>
        </is>
      </c>
      <c r="C101" s="25">
        <f>HYPERLINK("https://vk.com/wall-1825701_7330", "Открыть пост")</f>
        <v/>
      </c>
      <c r="D101" s="26" t="inlineStr">
        <is>
          <t>Творческие мастер-классы и художественные студии</t>
        </is>
      </c>
      <c r="E101" s="26" t="inlineStr">
        <is>
          <t>Творческие мастер-классы и художественные студии</t>
        </is>
      </c>
      <c r="F101" s="26" t="inlineStr">
        <is>
          <t>Подопечные фонда «Дети Марии» (общая группа детей и подростков)</t>
        </is>
      </c>
      <c r="G101" s="26" t="inlineStr">
        <is>
          <t>Студия фонда / выездная площадка</t>
        </is>
      </c>
      <c r="H101" s="26" t="inlineStr">
        <is>
          <t>Коммуникативные навыки, эмпатия и тьюторское сопровождение</t>
        </is>
      </c>
      <c r="I101" s="27" t="inlineStr">
        <is>
          <t>Да (в тексте)</t>
        </is>
      </c>
      <c r="J101" s="26" t="inlineStr">
        <is>
          <t>Нарисовали зиму мечты всем районом! ❄• Ждёте зиму с пушистым снегом для снежков и снеговиков? Мы - да! Чтобы приблизить волшебство, вчера устроили творческий мастер-класс «Встречаем Зиму» 🌨 Педагоги и волонтёры помогали жителям нашего района всех возрастов создать одну большую ка...</t>
        </is>
      </c>
    </row>
    <row r="102" ht="30" customHeight="1">
      <c r="A102" s="28" t="n">
        <v>7329</v>
      </c>
      <c r="B102" s="29" t="inlineStr">
        <is>
          <t>2025-12-10</t>
        </is>
      </c>
      <c r="C102" s="30">
        <f>HYPERLINK("https://vk.com/wall-1825701_7329", "Открыть пост")</f>
        <v/>
      </c>
      <c r="D102" s="31" t="inlineStr">
        <is>
          <t>Ярмарки, фестивали и благотворительные базары</t>
        </is>
      </c>
      <c r="E102" s="31" t="inlineStr">
        <is>
          <t>Ярмарки, фестивали и благотворительные базары; Спектакли, концерты и музыкально-театральные занятия</t>
        </is>
      </c>
      <c r="F102" s="31" t="inlineStr">
        <is>
          <t>Широкая аудитория, гости и благотворители (открытые события)</t>
        </is>
      </c>
      <c r="G102" s="31" t="inlineStr">
        <is>
          <t>Студия фонда / выездная площадка</t>
        </is>
      </c>
      <c r="H102" s="31" t="inlineStr">
        <is>
          <t>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t>
        </is>
      </c>
      <c r="I102" s="32" t="inlineStr">
        <is>
          <t>По формату занятия</t>
        </is>
      </c>
      <c r="J102" s="31" t="inlineStr">
        <is>
          <t>🌟Let it snow, let it snow, let it snow! 🌟 🌟 Фонд «Дети Марии» участвует в фестивале! 🚙 Ура! Уже в эти выходные мы ждем вас на фестивале «Снегопад» журнала Seasons of life, (https://t.me/seasons) чтобы вместе окунуться в сказку! Вас ждет: 🎁 Ярмарка добра: уникальные изделия наших ...</t>
        </is>
      </c>
    </row>
    <row r="103" ht="30" customHeight="1">
      <c r="A103" s="23" t="n">
        <v>7326</v>
      </c>
      <c r="B103" s="24" t="inlineStr">
        <is>
          <t>2025-12-08</t>
        </is>
      </c>
      <c r="C103" s="25">
        <f>HYPERLINK("https://vk.com/wall-1825701_7326", "Открыть пост")</f>
        <v/>
      </c>
      <c r="D103" s="26" t="inlineStr">
        <is>
          <t>Ярмарки, фестивали и благотворительные базары</t>
        </is>
      </c>
      <c r="E103" s="26" t="inlineStr">
        <is>
          <t>Ярмарки, фестивали и благотворительные базары; Творческие мастер-классы и художественные студии</t>
        </is>
      </c>
      <c r="F103" s="26" t="inlineStr">
        <is>
          <t>Подопечные фонда «Дети Марии» (общая группа детей и подростков)</t>
        </is>
      </c>
      <c r="G103" s="26" t="inlineStr">
        <is>
          <t>Студия фонда / выездная площадка</t>
        </is>
      </c>
      <c r="H103" s="26" t="inlineStr">
        <is>
          <t>Художественно-прикладные и ремесленные навыки; Артистические, музыкальные и спортивно-игровые навыки; Организационные, ивент- и ярмарочные навыки; Медиа, фото/видеосъёмка и культурная медиация</t>
        </is>
      </c>
      <c r="I103" s="27" t="inlineStr">
        <is>
          <t>По формату занятия</t>
        </is>
      </c>
      <c r="J103" s="26" t="inlineStr">
        <is>
          <t>Друзья, отличные новости! 🎉 Фонд Дети Марии будет на «Шерстяном Базаре» — одном из лучших маркетов Москвы! 🎀 Это рай для рукодельниц: тонны пряжи, инструментов и всего для творчества. Идеальное место, чтобы найти уникальные подарки: дизайнерскую одежду, керамику, игрушки, парфюм,...</t>
        </is>
      </c>
    </row>
    <row r="104" ht="30" customHeight="1">
      <c r="A104" s="28" t="n">
        <v>7325</v>
      </c>
      <c r="B104" s="29" t="inlineStr">
        <is>
          <t>2025-12-06</t>
        </is>
      </c>
      <c r="C104" s="30">
        <f>HYPERLINK("https://vk.com/wall-1825701_7325", "Открыть пост")</f>
        <v/>
      </c>
      <c r="D104" s="31" t="inlineStr">
        <is>
          <t>Творческие мастер-классы и художественные студии</t>
        </is>
      </c>
      <c r="E104" s="31" t="inlineStr">
        <is>
          <t>Творческие мастер-классы и художественные студии</t>
        </is>
      </c>
      <c r="F104" s="31" t="inlineStr">
        <is>
          <t>Широкая аудитория, гости и благотворители (открытые события)</t>
        </is>
      </c>
      <c r="G104" s="31" t="inlineStr">
        <is>
          <t>Студия фонда / выездная площадка</t>
        </is>
      </c>
      <c r="H104"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t>
        </is>
      </c>
      <c r="I104" s="32" t="inlineStr">
        <is>
          <t>По формату занятия</t>
        </is>
      </c>
      <c r="J104" s="31" t="inlineStr">
        <is>
          <t>🤩 Мастерские Детей Марии теперь доступны и для Вас! Совсем скоро в наших мастерских стартует серия уютных зимних публичных мастер-классов. Это лучший повод замедлиться погрузиться в творчество и создать своими руками самый тёплый подарок себе или близким Творите с двойной пользой...</t>
        </is>
      </c>
    </row>
    <row r="105" ht="30" customHeight="1">
      <c r="A105" s="23" t="n">
        <v>7324</v>
      </c>
      <c r="B105" s="24" t="inlineStr">
        <is>
          <t>2025-12-05</t>
        </is>
      </c>
      <c r="C105" s="25">
        <f>HYPERLINK("https://vk.com/wall-1825701_7324", "Открыть пост")</f>
        <v/>
      </c>
      <c r="D105" s="26" t="inlineStr">
        <is>
          <t>Ярмарки, фестивали и благотворительные базары</t>
        </is>
      </c>
      <c r="E105" s="26" t="inlineStr">
        <is>
          <t>Ярмарки, фестивали и благотворительные базары; Кулинарные, образовательные и социально-бытовые занятия; Творческие мастер-классы и художественные студии</t>
        </is>
      </c>
      <c r="F105" s="26" t="inlineStr">
        <is>
          <t>Широкая аудитория, гости и благотворители (открытые события)</t>
        </is>
      </c>
      <c r="G105" s="26" t="inlineStr">
        <is>
          <t>Студия фонда / выездная площадка</t>
        </is>
      </c>
      <c r="H105" s="26" t="inlineStr">
        <is>
          <t>Художественно-прикладные и ремесленные навыки; Коммуникативные навыки, эмпатия и тьюторское сопровождение; Организационные, ивент- и ярмарочные навыки</t>
        </is>
      </c>
      <c r="I105" s="27" t="inlineStr">
        <is>
          <t>По формату занятия</t>
        </is>
      </c>
      <c r="J105" s="26" t="inlineStr">
        <is>
          <t>Привет, друзья! 🎉 Скоро Новый год, и мы приглашаем вас на особенную ярмарку. Это не просто покупка подарков, а возможность окунуться в атмосферу праздника, поддержать талантливых мастеров и зарядиться позитивом. Когда? 7 декабря (воскресенье) с 14:00 до 18:00. Где? Центр лечебной...</t>
        </is>
      </c>
    </row>
    <row r="106" ht="30" customHeight="1">
      <c r="A106" s="28" t="n">
        <v>7320</v>
      </c>
      <c r="B106" s="29" t="inlineStr">
        <is>
          <t>2025-12-01</t>
        </is>
      </c>
      <c r="C106" s="30">
        <f>HYPERLINK("https://vk.com/wall-1825701_7320", "Открыть пост")</f>
        <v/>
      </c>
      <c r="D106" s="31" t="inlineStr">
        <is>
          <t>Ярмарки, фестивали и благотворительные базары</t>
        </is>
      </c>
      <c r="E106" s="31" t="inlineStr">
        <is>
          <t>Ярмарки, фестивали и благотворительные базары; Творческие мастер-классы и художественные студии</t>
        </is>
      </c>
      <c r="F106" s="31" t="inlineStr">
        <is>
          <t>Широкая аудитория, гости и благотворители (открытые события)</t>
        </is>
      </c>
      <c r="G106" s="31" t="inlineStr">
        <is>
          <t>Студия фонда / выездная площадка</t>
        </is>
      </c>
      <c r="H106" s="31" t="inlineStr">
        <is>
          <t>Артистические, музыкальные и спортивно-игровые навыки; Организационные, ивент- и ярмарочные навыки</t>
        </is>
      </c>
      <c r="I106" s="32" t="inlineStr">
        <is>
          <t>По формату занятия</t>
        </is>
      </c>
      <c r="J106" s="31" t="inlineStr">
        <is>
          <t>У нас отличные новости! 🥳 Мы участвуем в благотворительном фестивале «Город Неравнодушных»! И приглашаем вас в гости на наш уютный маркет. Когда? 7 декабря, с 11:00 до 21:00. Где? Болотная площадь. Что вас ждёт на нашем маркете? Приходите за уникальными подарками ручной работы со...</t>
        </is>
      </c>
    </row>
    <row r="107" ht="30" customHeight="1">
      <c r="A107" s="23" t="n">
        <v>7315</v>
      </c>
      <c r="B107" s="24" t="inlineStr">
        <is>
          <t>2025-11-18</t>
        </is>
      </c>
      <c r="C107" s="25">
        <f>HYPERLINK("https://vk.com/wall-1825701_7315", "Открыть пост")</f>
        <v/>
      </c>
      <c r="D107" s="26" t="inlineStr">
        <is>
          <t>Творческие мастер-классы и художественные студии</t>
        </is>
      </c>
      <c r="E107" s="26" t="inlineStr">
        <is>
          <t>Творческие мастер-классы и художественные студии; Спектакли, концерты и музыкально-театральные занятия; Кулинарные, образовательные и социально-бытовые занятия; Праздники, дни рождения и клубные встречи</t>
        </is>
      </c>
      <c r="F107" s="26" t="inlineStr">
        <is>
          <t>Подопечные фонда «Дети Марии» (общая группа детей и подростков)</t>
        </is>
      </c>
      <c r="G107" s="26" t="inlineStr">
        <is>
          <t>Студия фонда / выездная площадка</t>
        </is>
      </c>
      <c r="H107" s="26" t="inlineStr">
        <is>
          <t>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 Медиа, фото/видеосъёмка и культурная медиация</t>
        </is>
      </c>
      <c r="I107" s="27" t="inlineStr">
        <is>
          <t>По формату занятия</t>
        </is>
      </c>
      <c r="J107" s="26" t="inlineStr">
        <is>
          <t>🎭 Новое место для вашего события в двух шагах от Большого театра! Друзья, у нас радостная новость! Теперь вы можете провести мероприятие в уютном пространстве фонда в Дмитровском переулке. Мы с теплом примем и поможем организовать: 🌟 семейные мероприятия, 🌟 камерные вечеринки, 🌟 ...</t>
        </is>
      </c>
    </row>
    <row r="108" ht="30" customHeight="1">
      <c r="A108" s="28" t="n">
        <v>7312</v>
      </c>
      <c r="B108" s="29" t="inlineStr">
        <is>
          <t>2025-11-12</t>
        </is>
      </c>
      <c r="C108" s="30">
        <f>HYPERLINK("https://vk.com/wall-1825701_7312", "Открыть пост")</f>
        <v/>
      </c>
      <c r="D108" s="31" t="inlineStr">
        <is>
          <t>Творческие мастер-классы и художественные студии</t>
        </is>
      </c>
      <c r="E108" s="31" t="inlineStr">
        <is>
          <t>Творческие мастер-классы и художественные студии</t>
        </is>
      </c>
      <c r="F108" s="31" t="inlineStr">
        <is>
          <t>Воспитанники ЦССВ, ДДИ и детских домов-интернатов</t>
        </is>
      </c>
      <c r="G108" s="31" t="inlineStr">
        <is>
          <t>Студия фонда / выездная площадка</t>
        </is>
      </c>
      <c r="H108" s="31" t="inlineStr">
        <is>
          <t>Коммуникативные навыки, эмпатия и тьюторское сопровождение; Артистические, музыкальные и спортивно-игровые навыки; Медиа, фото/видеосъёмка и культурная медиация</t>
        </is>
      </c>
      <c r="I108" s="32" t="inlineStr">
        <is>
          <t>По формату занятия</t>
        </is>
      </c>
      <c r="J108" s="31" t="inlineStr">
        <is>
          <t>✨ Вчера в наших мастерских умножали добро и творчество с помощью вишнёвых косточек! ❤• К нам в гости пришли ученицы из школы с персонализированной моделью обучения - Хорошколы. Анастасия, Арина и Ксения провели мастер-класс по созданию уютных антистресс-игрушек «Вишнёвушек». Заня...</t>
        </is>
      </c>
    </row>
    <row r="109" ht="30" customHeight="1">
      <c r="A109" s="23" t="n">
        <v>7308</v>
      </c>
      <c r="B109" s="24" t="inlineStr">
        <is>
          <t>2025-10-31</t>
        </is>
      </c>
      <c r="C109" s="25">
        <f>HYPERLINK("https://vk.com/wall-1825701_7308", "Открыть пост")</f>
        <v/>
      </c>
      <c r="D109" s="26" t="inlineStr">
        <is>
          <t>Творческие мастер-классы и художественные студии</t>
        </is>
      </c>
      <c r="E109" s="26" t="inlineStr">
        <is>
          <t>Творческие мастер-классы и художественные студии; Праздники, дни рождения и клубные встречи</t>
        </is>
      </c>
      <c r="F109" s="26" t="inlineStr">
        <is>
          <t>Широкая аудитория, гости и благотворители (открытые события)</t>
        </is>
      </c>
      <c r="G109" s="26" t="inlineStr">
        <is>
          <t>Студия фонда / выездная площадка</t>
        </is>
      </c>
      <c r="H109" s="26" t="inlineStr">
        <is>
          <t>Художественно-прикладные и ремесленные навыки; Коммуникативные навыки, эмпатия и тьюторское сопровождение; Организационные, ивент- и ярмарочные навыки; Медиа, фото/видеосъёмка и культурная медиация</t>
        </is>
      </c>
      <c r="I109" s="27" t="inlineStr">
        <is>
          <t>По формату занятия</t>
        </is>
      </c>
      <c r="J109" s="26" t="inlineStr">
        <is>
          <t>Спешим поделиться фотографиями со вчерашней творческой встречи, которая прошла в рамках подготовки к празднованию Дня народного единства 👫 Мы пригласили всех желающих принять участие в мастер-классе по живописи для того, чтобы вместе создать атмосферу тепла, принятия и дружбы 🧡 К...</t>
        </is>
      </c>
    </row>
    <row r="110" ht="30" customHeight="1">
      <c r="A110" s="28" t="n">
        <v>7307</v>
      </c>
      <c r="B110" s="29" t="inlineStr">
        <is>
          <t>2025-10-30</t>
        </is>
      </c>
      <c r="C110" s="30">
        <f>HYPERLINK("https://vk.com/wall-1825701_7307", "Открыть пост")</f>
        <v/>
      </c>
      <c r="D110" s="31" t="inlineStr">
        <is>
          <t>Кулинарные, образовательные и социально-бытовые занятия</t>
        </is>
      </c>
      <c r="E110" s="31" t="inlineStr">
        <is>
          <t>Кулинарные, образовательные и социально-бытовые занятия</t>
        </is>
      </c>
      <c r="F110" s="31" t="inlineStr">
        <is>
          <t>Подростки и взрослые с ментальными особенностями и ОВЗ (ПНИ / Социальные дома); Воспитанники ЦССВ, ДДИ и детских домов-интернатов; Широкая аудитория, гости и благотворители (открытые события)</t>
        </is>
      </c>
      <c r="G110" s="31" t="inlineStr">
        <is>
          <t>Студия фонда / выездная площадка</t>
        </is>
      </c>
      <c r="H110" s="31" t="inlineStr">
        <is>
          <t>Коммуникативные навыки, эмпатия и тьюторское сопровождение; Педагогические и наставнические навыки (кулинария, быт, учёба); Мобильность, выездное сопровождение и автоволонтёрство</t>
        </is>
      </c>
      <c r="I110" s="32" t="inlineStr">
        <is>
          <t>Да (в тексте)</t>
        </is>
      </c>
      <c r="J110" s="31" t="inlineStr">
        <is>
          <t>Представьте, что вам нужно расплатиться в магазине, но вы не умеете считать. Или сориентироваться в городе без навыков чтения и коммуникации. Согласитесь, это не так-то просто 😬 Именно с такими сложностями сталкиваются участники наших программ — а мы с вами не задумываясь делаем ...</t>
        </is>
      </c>
    </row>
    <row r="111" ht="30" customHeight="1">
      <c r="A111" s="23" t="n">
        <v>7304</v>
      </c>
      <c r="B111" s="24" t="inlineStr">
        <is>
          <t>2025-10-27</t>
        </is>
      </c>
      <c r="C111" s="25">
        <f>HYPERLINK("https://vk.com/wall-1825701_7304", "Открыть пост")</f>
        <v/>
      </c>
      <c r="D111" s="26" t="inlineStr">
        <is>
          <t>Кулинарные, образовательные и социально-бытовые занятия</t>
        </is>
      </c>
      <c r="E111" s="26" t="inlineStr">
        <is>
          <t>Кулинарные, образовательные и социально-бытовые занятия</t>
        </is>
      </c>
      <c r="F111" s="26" t="inlineStr">
        <is>
          <t>Широкая аудитория, гости и благотворители (открытые события)</t>
        </is>
      </c>
      <c r="G111" s="26" t="inlineStr">
        <is>
          <t>Студия фонда / выездная площадка</t>
        </is>
      </c>
      <c r="H111" s="26" t="inlineStr">
        <is>
          <t>Художественно-прикладные и ремесленные навыки</t>
        </is>
      </c>
      <c r="I111" s="27" t="inlineStr">
        <is>
          <t>По формату занятия</t>
        </is>
      </c>
      <c r="J111" s="26" t="inlineStr">
        <is>
          <t>В воскресенье мы провели открытый киноклуб «Экологические истории» для наших благополучателей и жителей Тверского района 🎬 Вместе смотрели документальные и художественные ленты, посвящённые экологии, природе и тому, как современному человеку гармонично сосуществовать с ней 🌳 Посл...</t>
        </is>
      </c>
    </row>
    <row r="112" ht="30" customHeight="1">
      <c r="A112" s="28" t="n">
        <v>7300</v>
      </c>
      <c r="B112" s="29" t="inlineStr">
        <is>
          <t>2025-10-24</t>
        </is>
      </c>
      <c r="C112" s="30">
        <f>HYPERLINK("https://vk.com/wall-1825701_7300", "Открыть пост")</f>
        <v/>
      </c>
      <c r="D112" s="31" t="inlineStr">
        <is>
          <t>Творческие мастер-классы и художественные студии</t>
        </is>
      </c>
      <c r="E112" s="31" t="inlineStr">
        <is>
          <t>Творческие мастер-классы и художественные студии; Выездные лагеря, дача и сезонные программы</t>
        </is>
      </c>
      <c r="F112" s="31" t="inlineStr">
        <is>
          <t>Широкая аудитория, гости и благотворители (открытые события)</t>
        </is>
      </c>
      <c r="G112" s="31" t="inlineStr">
        <is>
          <t>Студия фонда / выездная площадка</t>
        </is>
      </c>
      <c r="H112" s="31"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 Организационные, ивент- и ярмарочные навыки</t>
        </is>
      </c>
      <c r="I112" s="32" t="inlineStr">
        <is>
          <t>Да (в тексте)</t>
        </is>
      </c>
      <c r="J112" s="31" t="inlineStr">
        <is>
          <t>28 октября в России отмечают День бабушек и дедушек. Это прекрасный повод выразить им свою любовь, поэтому уже вчера мы начали готовиться к этому доброму празднику 👵👨‍🦳 Педагоги и волонтёры фонда провели творческий мастер-класс для участников наших программ и жителей Тверского ра...</t>
        </is>
      </c>
    </row>
    <row r="113" ht="30" customHeight="1">
      <c r="A113" s="23" t="n">
        <v>7296</v>
      </c>
      <c r="B113" s="24" t="inlineStr">
        <is>
          <t>2025-10-16</t>
        </is>
      </c>
      <c r="C113" s="25">
        <f>HYPERLINK("https://vk.com/wall-1825701_7296", "Открыть пост")</f>
        <v/>
      </c>
      <c r="D113" s="26" t="inlineStr">
        <is>
          <t>Творческие мастер-классы и художественные студии</t>
        </is>
      </c>
      <c r="E113" s="26" t="inlineStr">
        <is>
          <t>Творческие мастер-классы и художественные студии; Кулинарные, образовательные и социально-бытовые занятия</t>
        </is>
      </c>
      <c r="F113" s="26" t="inlineStr">
        <is>
          <t>Подростки и взрослые с ментальными особенностями и ОВЗ (ПНИ / Социальные дома); Воспитанники ЦССВ, ДДИ и детских домов-интернатов</t>
        </is>
      </c>
      <c r="G113" s="26" t="inlineStr">
        <is>
          <t>Студия фонда / выездная площадка</t>
        </is>
      </c>
      <c r="H113" s="26"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 Мобильность, выездное сопровождение и автоволонтёрство</t>
        </is>
      </c>
      <c r="I113" s="27" t="inlineStr">
        <is>
          <t>По формату занятия</t>
        </is>
      </c>
      <c r="J113" s="26" t="inlineStr">
        <is>
          <t>Мы заметили, что вас стало больше! Мысль о том, что интерес к благотворительному фонду «Дети Марии» растёт, греет нас невероятно. Будем рады познакомиться с вами поближе и рассказать о нашей миссии. ✨ В самом сердце нашей работы – вера в то, что каждый человек заслуживает право н...</t>
        </is>
      </c>
    </row>
    <row r="114" ht="30" customHeight="1">
      <c r="A114" s="28" t="n">
        <v>7295</v>
      </c>
      <c r="B114" s="29" t="inlineStr">
        <is>
          <t>2025-10-11</t>
        </is>
      </c>
      <c r="C114" s="30">
        <f>HYPERLINK("https://vk.com/wall-1825701_7295", "Открыть пост")</f>
        <v/>
      </c>
      <c r="D114" s="31" t="inlineStr">
        <is>
          <t>Творческие мастер-классы и художественные студии</t>
        </is>
      </c>
      <c r="E114" s="31" t="inlineStr">
        <is>
          <t>Творческие мастер-классы и художественные студии</t>
        </is>
      </c>
      <c r="F114" s="31" t="inlineStr">
        <is>
          <t>Широкая аудитория, гости и благотворители (открытые события)</t>
        </is>
      </c>
      <c r="G114" s="31" t="inlineStr">
        <is>
          <t>Студия фонда / выездная площадка</t>
        </is>
      </c>
      <c r="H114"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t>
        </is>
      </c>
      <c r="I114" s="32" t="inlineStr">
        <is>
          <t>Да (в тексте)</t>
        </is>
      </c>
      <c r="J114" s="31" t="inlineStr">
        <is>
          <t>Октябрь — волшебная пора, последний дерзкий ликующий всплеск перед лицом надвигающейся стужи 🍁 Мы постарались сохранить воспоминания о ярких красках этого месяца на мастер-классе по рисованию «В город приходит осень», который прошёл в нашем уютном творческом пространстве в Дмитро...</t>
        </is>
      </c>
    </row>
    <row r="115" ht="30" customHeight="1">
      <c r="A115" s="23" t="n">
        <v>7293</v>
      </c>
      <c r="B115" s="24" t="inlineStr">
        <is>
          <t>2025-10-09</t>
        </is>
      </c>
      <c r="C115" s="25">
        <f>HYPERLINK("https://vk.com/wall-1825701_7293", "Открыть пост")</f>
        <v/>
      </c>
      <c r="D115" s="26" t="inlineStr">
        <is>
          <t>Выездные лагеря, дача и сезонные программы</t>
        </is>
      </c>
      <c r="E115" s="26" t="inlineStr">
        <is>
          <t>Выездные лагеря, дача и сезонные программы; Кулинарные, образовательные и социально-бытовые занятия; Творческие мастер-классы и художественные студии</t>
        </is>
      </c>
      <c r="F115" s="26" t="inlineStr">
        <is>
          <t>Подростки и взрослые с ментальными особенностями и ОВЗ (ПНИ / Социальные дома); Выпускники интернатов и детских домов (молодые взрослые)</t>
        </is>
      </c>
      <c r="G115" s="26" t="inlineStr">
        <is>
          <t>социальных домов «Нагатино»</t>
        </is>
      </c>
      <c r="H115" s="26" t="inlineStr">
        <is>
          <t>Художественно-прикладные и ремесленные навыки; Педагогические и наставнические навыки (кулинария, быт, учёба); Организационные, ивент- и ярмарочные навыки; Мобильность, выездное сопровождение и автоволонтёрство</t>
        </is>
      </c>
      <c r="I115" s="27" t="inlineStr">
        <is>
          <t>Да (в тексте)</t>
        </is>
      </c>
      <c r="J115" s="26" t="inlineStr">
        <is>
          <t>Отдых с друзьями — как волшебство: чем больше ты его делишь, тем больше его становится! ✨ Мы давно убедились в этом благодаря Арт-субботам, которые проходят в загородных мастерских на даче у Марии. Насыщенный, интересный день в тёплой компании и правда способен творить чудеса! Он...</t>
        </is>
      </c>
    </row>
    <row r="116" ht="30" customHeight="1">
      <c r="A116" s="28" t="n">
        <v>7290</v>
      </c>
      <c r="B116" s="29" t="inlineStr">
        <is>
          <t>2025-09-27</t>
        </is>
      </c>
      <c r="C116" s="30">
        <f>HYPERLINK("https://vk.com/wall-1825701_7290", "Открыть пост")</f>
        <v/>
      </c>
      <c r="D116" s="31" t="inlineStr">
        <is>
          <t>Творческие мастер-классы и художественные студии</t>
        </is>
      </c>
      <c r="E116" s="31" t="inlineStr">
        <is>
          <t>Творческие мастер-классы и художественные студии; Ярмарки, фестивали и благотворительные базары; Праздники, дни рождения и клубные встречи</t>
        </is>
      </c>
      <c r="F116" s="31" t="inlineStr">
        <is>
          <t>Широкая аудитория, гости и благотворители (открытые события)</t>
        </is>
      </c>
      <c r="G116" s="31" t="inlineStr">
        <is>
          <t>Студия фонда / выездная площадка</t>
        </is>
      </c>
      <c r="H116" s="31" t="inlineStr">
        <is>
          <t>Художественно-прикладные и ремесленные навыки; Организационные, ивент- и ярмарочные навыки</t>
        </is>
      </c>
      <c r="I116" s="32" t="inlineStr">
        <is>
          <t>Да (в тексте)</t>
        </is>
      </c>
      <c r="J116" s="31" t="inlineStr">
        <is>
          <t>🍁 Осень — время подведения итогов и начала нового, и именно об этом шла речь на нашем мастер-классе «Традиции празднования осени в славянской культуре», который прошёл в Благотворительном фонде «Дети Марии» в нашем пространстве в Дмитровском переулке. Мы вместе вспоминали, как на...</t>
        </is>
      </c>
    </row>
    <row r="117" ht="30" customHeight="1">
      <c r="A117" s="23" t="n">
        <v>7289</v>
      </c>
      <c r="B117" s="24" t="inlineStr">
        <is>
          <t>2025-09-23</t>
        </is>
      </c>
      <c r="C117" s="25">
        <f>HYPERLINK("https://vk.com/wall-1825701_7289", "Открыть пост")</f>
        <v/>
      </c>
      <c r="D117" s="26" t="inlineStr">
        <is>
          <t>Кулинарные, образовательные и социально-бытовые занятия</t>
        </is>
      </c>
      <c r="E117" s="26" t="inlineStr">
        <is>
          <t>Кулинарные, образовательные и социально-бытовые занятия</t>
        </is>
      </c>
      <c r="F117" s="26" t="inlineStr">
        <is>
          <t>Широкая аудитория, гости и благотворители (открытые события)</t>
        </is>
      </c>
      <c r="G117" s="26" t="inlineStr">
        <is>
          <t>Студия фонда / выездная площадка</t>
        </is>
      </c>
      <c r="H117" s="26" t="inlineStr">
        <is>
          <t>Коммуникативные навыки, эмпатия и тьюторское сопровождение</t>
        </is>
      </c>
      <c r="I117" s="27" t="inlineStr">
        <is>
          <t>Да (в тексте)</t>
        </is>
      </c>
      <c r="J117" s="26" t="inlineStr">
        <is>
          <t>🍂 Вчера в Благотворительном фонде «Дети Марии» прошёл открытый киноклуб «Тема осени в советской и российской мультипликации». Волонтёры и педагоги фонда пригласили благополучателей и жителей Тверского района посмотреть мультфильмы и обсудить их в уютной атмосфере. Спасибо всем, к...</t>
        </is>
      </c>
    </row>
    <row r="118" ht="30" customHeight="1">
      <c r="A118" s="28" t="n">
        <v>7286</v>
      </c>
      <c r="B118" s="29" t="inlineStr">
        <is>
          <t>2025-09-15</t>
        </is>
      </c>
      <c r="C118" s="30">
        <f>HYPERLINK("https://vk.com/wall-1825701_7286", "Открыть пост")</f>
        <v/>
      </c>
      <c r="D118" s="31" t="inlineStr">
        <is>
          <t>Выставки, экскурсии и культурные выходы</t>
        </is>
      </c>
      <c r="E118" s="31" t="inlineStr">
        <is>
          <t>Выставки, экскурсии и культурные выходы</t>
        </is>
      </c>
      <c r="F118" s="31" t="inlineStr">
        <is>
          <t>Подростки и взрослые с ментальными особенностями и ОВЗ (ПНИ / Социальные дома); Широкая аудитория, гости и благотворители (открытые события)</t>
        </is>
      </c>
      <c r="G118" s="31" t="inlineStr">
        <is>
          <t>Студия фонда / выездная площадка</t>
        </is>
      </c>
      <c r="H118" s="31" t="inlineStr">
        <is>
          <t>Коммуникативные навыки, эмпатия и тьюторское сопровождение; Организационные, ивент- и ярмарочные навыки; Мобильность, выездное сопровождение и автоволонтёрство</t>
        </is>
      </c>
      <c r="I118" s="32" t="inlineStr">
        <is>
          <t>По формату занятия</t>
        </is>
      </c>
      <c r="J118" s="31" t="inlineStr">
        <is>
          <t>«Глазами разных»: «Дети Марии» снова в проекте Яндекса 🚕💛 Машины ЯндексТакси и Яндекс Драйв украсят рисунки людей с особенностями развития, среди них — работы участников из нашего фонда! «Глазами разных» — арт-проект в поддержку людей с особенностями развития, который даёт им воз...</t>
        </is>
      </c>
    </row>
    <row r="119" ht="30" customHeight="1">
      <c r="A119" s="23" t="n">
        <v>7282</v>
      </c>
      <c r="B119" s="24" t="inlineStr">
        <is>
          <t>2025-09-12</t>
        </is>
      </c>
      <c r="C119" s="25">
        <f>HYPERLINK("https://vk.com/wall-1825701_7282", "Открыть пост")</f>
        <v/>
      </c>
      <c r="D119" s="26" t="inlineStr">
        <is>
          <t>Выставки, экскурсии и культурные выходы</t>
        </is>
      </c>
      <c r="E119" s="26" t="inlineStr">
        <is>
          <t>Выставки, экскурсии и культурные выходы; Творческие мастер-классы и художественные студии</t>
        </is>
      </c>
      <c r="F119" s="26" t="inlineStr">
        <is>
          <t>Подростки и взрослые с ментальными особенностями и ОВЗ (ПНИ / Социальные дома); Широкая аудитория, гости и благотворители (открытые события); Выпускники интернатов и детских домов (молодые взрослые)</t>
        </is>
      </c>
      <c r="G119" s="26" t="inlineStr">
        <is>
          <t>ГЭС-2, ТВЕРСКАЯ 15</t>
        </is>
      </c>
      <c r="H119" s="26"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 Организационные, ивент- и ярмарочные навыки; Мобильность, выездное сопровождение и автоволонтёрство; Медиа, фото/видеосъёмка и культурная медиация</t>
        </is>
      </c>
      <c r="I119" s="27" t="inlineStr">
        <is>
          <t>Да (в тексте)</t>
        </is>
      </c>
      <c r="J119" s="26" t="inlineStr">
        <is>
          <t>Рассказываем об истории, которая произошла летом с участниками проекта «Я могу больше — мастерские». Участники наших инклюзивных мастерских несколько лет подряд становятся частью большого проекта Дом культуры «ГЭС-2». Молодые взрослые с ментальными особенностями 3 месяца лета раб...</t>
        </is>
      </c>
    </row>
    <row r="120" ht="30" customHeight="1">
      <c r="A120" s="28" t="n">
        <v>7279</v>
      </c>
      <c r="B120" s="29" t="inlineStr">
        <is>
          <t>2025-09-09</t>
        </is>
      </c>
      <c r="C120" s="30">
        <f>HYPERLINK("https://vk.com/wall-1825701_7279", "Открыть пост")</f>
        <v/>
      </c>
      <c r="D120" s="31" t="inlineStr">
        <is>
          <t>Ярмарки, фестивали и благотворительные базары</t>
        </is>
      </c>
      <c r="E120" s="31" t="inlineStr">
        <is>
          <t>Ярмарки, фестивали и благотворительные базары</t>
        </is>
      </c>
      <c r="F120" s="31" t="inlineStr">
        <is>
          <t>Подопечные фонда «Дети Марии» (общая группа детей и подростков)</t>
        </is>
      </c>
      <c r="G120" s="31" t="inlineStr">
        <is>
          <t>Студия фонда / выездная площадка</t>
        </is>
      </c>
      <c r="H120" s="31" t="inlineStr">
        <is>
          <t>Коммуникативные навыки, эмпатия и тьюторское сопровождение</t>
        </is>
      </c>
      <c r="I120" s="32" t="inlineStr">
        <is>
          <t>По формату занятия</t>
        </is>
      </c>
      <c r="J120" s="31" t="inlineStr">
        <is>
          <t>На фестивале More Amore, где мы провели прошедшие выходные по приглашению наших друзей — проекта Seasons of life неравнодушные гости фестиваля пожертвовали нам 112750 рублей. Спасибо всем жертвователям, великолепной команде фестиваля, всем, благодаря кому мы провели с радостью и ...</t>
        </is>
      </c>
    </row>
    <row r="121" ht="30" customHeight="1">
      <c r="A121" s="23" t="n">
        <v>7277</v>
      </c>
      <c r="B121" s="24" t="inlineStr">
        <is>
          <t>2025-09-05</t>
        </is>
      </c>
      <c r="C121" s="25">
        <f>HYPERLINK("https://vk.com/wall-1825701_7277", "Открыть пост")</f>
        <v/>
      </c>
      <c r="D121" s="26" t="inlineStr">
        <is>
          <t>Творческие мастер-классы и художественные студии</t>
        </is>
      </c>
      <c r="E121" s="26" t="inlineStr">
        <is>
          <t>Творческие мастер-классы и художественные студии</t>
        </is>
      </c>
      <c r="F121" s="26" t="inlineStr">
        <is>
          <t>Широкая аудитория, гости и благотворители (открытые события)</t>
        </is>
      </c>
      <c r="G121" s="26" t="inlineStr">
        <is>
          <t>Студия фонда / выездная площадка</t>
        </is>
      </c>
      <c r="H121" s="26" t="inlineStr">
        <is>
          <t>Организационные, ивент- и ярмарочные навыки</t>
        </is>
      </c>
      <c r="I121" s="27" t="inlineStr">
        <is>
          <t>По формату занятия</t>
        </is>
      </c>
      <c r="J121" s="26" t="inlineStr">
        <is>
          <t>Экопривычки в повседневной жизни — с чего начать? ♻• На днях в «Детях Марии» прошёл мастер-класс от нашего педагога Ясина для участников программ фонда и жителей Тверского района. Мы говорили о том, как каждый может внести вклад в заботу об экологии: сокращать потребление пластик...</t>
        </is>
      </c>
    </row>
    <row r="122" ht="30" customHeight="1">
      <c r="A122" s="28" t="n">
        <v>7275</v>
      </c>
      <c r="B122" s="29" t="inlineStr">
        <is>
          <t>2025-09-04</t>
        </is>
      </c>
      <c r="C122" s="30">
        <f>HYPERLINK("https://vk.com/wall-1825701_7275", "Открыть пост")</f>
        <v/>
      </c>
      <c r="D122" s="31" t="inlineStr">
        <is>
          <t>Кулинарные, образовательные и социально-бытовые занятия</t>
        </is>
      </c>
      <c r="E122" s="31" t="inlineStr">
        <is>
          <t>Кулинарные, образовательные и социально-бытовые занятия</t>
        </is>
      </c>
      <c r="F122" s="31" t="inlineStr">
        <is>
          <t>Подопечные фонда «Дети Марии» (общая группа детей и подростков)</t>
        </is>
      </c>
      <c r="G122" s="31" t="inlineStr">
        <is>
          <t>Студия фонда / выездная площадка</t>
        </is>
      </c>
      <c r="H122" s="31" t="inlineStr">
        <is>
          <t>Коммуникативные навыки, эмпатия и тьюторское сопровождение; Педагогические и наставнические навыки (кулинария, быт, учёба)</t>
        </is>
      </c>
      <c r="I122" s="32" t="inlineStr">
        <is>
          <t>По формату занятия</t>
        </is>
      </c>
      <c r="J122" s="31" t="inlineStr">
        <is>
          <t>Пока мы готовимся к старту нового сезона, самое время вспомнить, каким насыщенным был предыдущий. Делимся с вами карточками сезона 2024–2025 с результатами участников проекта «Хочу больше знать». На них вы можете посмотреть, сколько всего случилось за этот период времени в жизни ...</t>
        </is>
      </c>
    </row>
    <row r="123" ht="30" customHeight="1">
      <c r="A123" s="23" t="n">
        <v>7267</v>
      </c>
      <c r="B123" s="24" t="inlineStr">
        <is>
          <t>2025-08-31</t>
        </is>
      </c>
      <c r="C123" s="25">
        <f>HYPERLINK("https://vk.com/wall-1825701_7267", "Открыть пост")</f>
        <v/>
      </c>
      <c r="D123" s="26" t="inlineStr">
        <is>
          <t>Ярмарки, фестивали и благотворительные базары</t>
        </is>
      </c>
      <c r="E123" s="26" t="inlineStr">
        <is>
          <t>Ярмарки, фестивали и благотворительные базары; Творческие мастер-классы и художественные студии; Выставки, экскурсии и культурные выходы; Спектакли, концерты и музыкально-театральные занятия</t>
        </is>
      </c>
      <c r="F123" s="26" t="inlineStr">
        <is>
          <t>Широкая аудитория, гости и благотворители (открытые события)</t>
        </is>
      </c>
      <c r="G123" s="26" t="inlineStr">
        <is>
          <t>Студия фонда / выездная площадка</t>
        </is>
      </c>
      <c r="H123"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 Мобильность, выездное сопровождение и автоволонтёрство</t>
        </is>
      </c>
      <c r="I123" s="27" t="inlineStr">
        <is>
          <t>По формату занятия</t>
        </is>
      </c>
      <c r="J123" s="26" t="inlineStr">
        <is>
          <t>Мы рады пригласить вас на Фестиваль More Amore в усадьбе Михалково — один из самых любимых фестивалей Seasons, который возвращается после семилетнего перерыва! 🌊 🗓• 6–7 сентября с 12:00 до 22:00 в недавно отреставрированной усадьбе по адресу: 📍Усадьба Михалково, Михалковская ул.,...</t>
        </is>
      </c>
    </row>
    <row r="124" ht="30" customHeight="1">
      <c r="A124" s="28" t="n">
        <v>7266</v>
      </c>
      <c r="B124" s="29" t="inlineStr">
        <is>
          <t>2025-08-31</t>
        </is>
      </c>
      <c r="C124" s="30">
        <f>HYPERLINK("https://vk.com/wall-1825701_7266", "Открыть пост")</f>
        <v/>
      </c>
      <c r="D124" s="31" t="inlineStr">
        <is>
          <t>Ярмарки, фестивали и благотворительные базары</t>
        </is>
      </c>
      <c r="E124" s="31" t="inlineStr">
        <is>
          <t>Ярмарки, фестивали и благотворительные базары; Выездные лагеря, дача и сезонные программы</t>
        </is>
      </c>
      <c r="F124" s="31" t="inlineStr">
        <is>
          <t>Подростки и взрослые с ментальными особенностями и ОВЗ (ПНИ / Социальные дома)</t>
        </is>
      </c>
      <c r="G124" s="31" t="inlineStr">
        <is>
          <t>Переделкино</t>
        </is>
      </c>
      <c r="H124" s="31" t="inlineStr">
        <is>
          <t>Коммуникативные навыки, эмпатия и тьюторское сопровождение; Организационные, ивент- и ярмарочные навыки</t>
        </is>
      </c>
      <c r="I124" s="32" t="inlineStr">
        <is>
          <t>По формату занятия</t>
        </is>
      </c>
      <c r="J124" s="31" t="inlineStr">
        <is>
          <t>Кабачков привозить не понадобилось — в минувшие выходные в Переделкино их и так было навалом 😃 Зато благотворительный маркет «Дачные ряды» прошёл очень успешно: в пользу фонда «Дети Марии» мы собрали 92 300 рублей. Эти средства пойдут на работу мастерских для взрослых людей с мен...</t>
        </is>
      </c>
    </row>
    <row r="125" ht="30" customHeight="1">
      <c r="A125" s="23" t="n">
        <v>7265</v>
      </c>
      <c r="B125" s="24" t="inlineStr">
        <is>
          <t>2025-08-31</t>
        </is>
      </c>
      <c r="C125" s="25">
        <f>HYPERLINK("https://vk.com/wall-1825701_7265", "Открыть пост")</f>
        <v/>
      </c>
      <c r="D125" s="26" t="inlineStr">
        <is>
          <t>Творческие мастер-классы и художественные студии</t>
        </is>
      </c>
      <c r="E125" s="26" t="inlineStr">
        <is>
          <t>Творческие мастер-классы и художественные студии</t>
        </is>
      </c>
      <c r="F125" s="26" t="inlineStr">
        <is>
          <t>Подопечные фонда «Дети Марии» (общая группа детей и подростков)</t>
        </is>
      </c>
      <c r="G125" s="26" t="inlineStr">
        <is>
          <t>Студия фонда / выездная площадка</t>
        </is>
      </c>
      <c r="H125" s="26" t="inlineStr">
        <is>
          <t>Художественно-прикладные и ремесленные навыки; Коммуникативные навыки, эмпатия и тьюторское сопровождение; Медиа, фото/видеосъёмка и культурная медиация</t>
        </is>
      </c>
      <c r="I125" s="27" t="inlineStr">
        <is>
          <t>По формату занятия</t>
        </is>
      </c>
      <c r="J125" s="26" t="inlineStr">
        <is>
          <t>Мир и дружба — сильнее страха 🌿 Недавно в студии фонда «Дети Марии» прошёл мастер-класс, приуроченный к Дню солидарности в борьбе с терроризмом. Мы говорили о том, что значит поддержка и почему важно быть вместе — и сделали это в очень «настоящей» форме: за лепкой пельменей 🥟 Мы ...</t>
        </is>
      </c>
    </row>
    <row r="126" ht="30" customHeight="1">
      <c r="A126" s="28" t="n">
        <v>7264</v>
      </c>
      <c r="B126" s="29" t="inlineStr">
        <is>
          <t>2025-08-26</t>
        </is>
      </c>
      <c r="C126" s="30">
        <f>HYPERLINK("https://vk.com/wall-1825701_7264", "Открыть пост")</f>
        <v/>
      </c>
      <c r="D126" s="31" t="inlineStr">
        <is>
          <t>Кулинарные, образовательные и социально-бытовые занятия</t>
        </is>
      </c>
      <c r="E126" s="31" t="inlineStr">
        <is>
          <t>Кулинарные, образовательные и социально-бытовые занятия</t>
        </is>
      </c>
      <c r="F126" s="31" t="inlineStr">
        <is>
          <t>Широкая аудитория, гости и благотворители (открытые события)</t>
        </is>
      </c>
      <c r="G126" s="31" t="inlineStr">
        <is>
          <t>Студия фонда / выездная площадка</t>
        </is>
      </c>
      <c r="H126" s="31" t="inlineStr">
        <is>
          <t>Мобильность, выездное сопровождение и автоволонтёрство</t>
        </is>
      </c>
      <c r="I126" s="32" t="inlineStr">
        <is>
          <t>По формату занятия</t>
        </is>
      </c>
      <c r="J126" s="31" t="inlineStr">
        <is>
          <t>У нас снова прошел открытый киноклуб 🎬Смотрели и обсуждали фильм про флору и фауну России — вместе с участниками программ фонда и жителями района Тверской. После просмотра обсуждали, кто из нас в реальной жизни встречал енота или слышал сову. Оказалось, что у всех есть свои истор...</t>
        </is>
      </c>
    </row>
    <row r="127" ht="30" customHeight="1">
      <c r="A127" s="23" t="n">
        <v>7263</v>
      </c>
      <c r="B127" s="24" t="inlineStr">
        <is>
          <t>2025-08-22</t>
        </is>
      </c>
      <c r="C127" s="25">
        <f>HYPERLINK("https://vk.com/wall-1825701_7263", "Открыть пост")</f>
        <v/>
      </c>
      <c r="D127" s="26" t="inlineStr">
        <is>
          <t>Творческие мастер-классы и художественные студии</t>
        </is>
      </c>
      <c r="E127" s="26" t="inlineStr">
        <is>
          <t>Творческие мастер-классы и художественные студии; Кулинарные, образовательные и социально-бытовые занятия</t>
        </is>
      </c>
      <c r="F127" s="26" t="inlineStr">
        <is>
          <t>Подопечные фонда «Дети Марии» (общая группа детей и подростков)</t>
        </is>
      </c>
      <c r="G127" s="26" t="inlineStr">
        <is>
          <t>Студия фонда / выездная площадка</t>
        </is>
      </c>
      <c r="H127" s="26" t="inlineStr">
        <is>
          <t>Художественно-прикладные и ремесленные навыки; Артистические, музыкальные и спортивно-игровые навыки; Педагогические и наставнические навыки (кулинария, быт, учёба)</t>
        </is>
      </c>
      <c r="I127" s="27" t="inlineStr">
        <is>
          <t>По формату занятия</t>
        </is>
      </c>
      <c r="J127" s="26" t="inlineStr">
        <is>
          <t>Август всегда пролетает быстрее других месяцев — и мы уже начинаем готовиться встречать осень 🌾🍁 Впереди 1 сентября, новые планы и проекты, и мы рады, что делаем это вместе с вами в самом центре Москвы — в Тверском районе! К 1 сентября в Благотворительном фонде «Дети Марии» прошё...</t>
        </is>
      </c>
    </row>
    <row r="128" ht="30" customHeight="1">
      <c r="A128" s="28" t="n">
        <v>7262</v>
      </c>
      <c r="B128" s="29" t="inlineStr">
        <is>
          <t>2025-08-18</t>
        </is>
      </c>
      <c r="C128" s="30">
        <f>HYPERLINK("https://vk.com/wall-1825701_7262", "Открыть пост")</f>
        <v/>
      </c>
      <c r="D128" s="31" t="inlineStr">
        <is>
          <t>Ярмарки, фестивали и благотворительные базары</t>
        </is>
      </c>
      <c r="E128" s="31" t="inlineStr">
        <is>
          <t>Ярмарки, фестивали и благотворительные базары; Спектакли, концерты и музыкально-театральные занятия; Выездные лагеря, дача и сезонные программы; Кулинарные, образовательные и социально-бытовые занятия; Праздники, дни рождения и клубные встречи</t>
        </is>
      </c>
      <c r="F128" s="31" t="inlineStr">
        <is>
          <t>Подростки и взрослые с ментальными особенностями и ОВЗ (ПНИ / Социальные дома); Воспитанники ЦССВ, ДДИ и детских домов-интернатов; Широкая аудитория, гости и благотворители (открытые события); Выпускники интернатов и детских домов (молодые взрослые)</t>
        </is>
      </c>
      <c r="G128" s="31" t="inlineStr">
        <is>
          <t>Переделкино</t>
        </is>
      </c>
      <c r="H128" s="31" t="inlineStr">
        <is>
          <t>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t>
        </is>
      </c>
      <c r="I128" s="32" t="inlineStr">
        <is>
          <t>По формату занятия</t>
        </is>
      </c>
      <c r="J128" s="31" t="inlineStr">
        <is>
          <t>Дорогие друзья, 23 и 24 августа мы участвуем в большом дачном фестивале в Переделкино и приглашаем вас на благотворительный маркет «Дачные ряды» https://pro-peredelkino.org/den-na-dache 🌽🍅🥒 Вас ждут лекции, спектакли, чаепития и самые настоящие дачные приключения: Можно успеть пр...</t>
        </is>
      </c>
    </row>
    <row r="129" ht="30" customHeight="1">
      <c r="A129" s="23" t="n">
        <v>7260</v>
      </c>
      <c r="B129" s="24" t="inlineStr">
        <is>
          <t>2025-08-13</t>
        </is>
      </c>
      <c r="C129" s="25">
        <f>HYPERLINK("https://vk.com/wall-1825701_7260", "Открыть пост")</f>
        <v/>
      </c>
      <c r="D129" s="26" t="inlineStr">
        <is>
          <t>Праздники, дни рождения и клубные встречи</t>
        </is>
      </c>
      <c r="E129" s="26" t="inlineStr">
        <is>
          <t>Праздники, дни рождения и клубные встречи; Кулинарные, образовательные и социально-бытовые занятия; Творческие мастер-классы и художественные студии</t>
        </is>
      </c>
      <c r="F129" s="26" t="inlineStr">
        <is>
          <t>Подростки и взрослые с ментальными особенностями и ОВЗ (ПНИ / Социальные дома)</t>
        </is>
      </c>
      <c r="G129" s="26" t="inlineStr">
        <is>
          <t>Студия фонда / выездная площадка</t>
        </is>
      </c>
      <c r="H129"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Мобильность, выездное сопровождение и автоволонтёрство; Медиа, фото/видеосъёмка и культурная медиация</t>
        </is>
      </c>
      <c r="I129" s="27" t="inlineStr">
        <is>
          <t>Да (в тексте)</t>
        </is>
      </c>
      <c r="J129" s="26" t="inlineStr">
        <is>
          <t>Пикник в саду «Эрмитаж»: завершение сезона в проекте «Я могу больше-мастерские» 🌱 Стекольная, керамическая, швейная, мастерская валяния и кулинарка — все инклюзивные мастерские ушли на летние каникулы. А перед этим мы с участниками решили отметить завершение сезона как положено и...</t>
        </is>
      </c>
    </row>
    <row r="130" ht="30" customHeight="1">
      <c r="A130" s="28" t="n">
        <v>7256</v>
      </c>
      <c r="B130" s="29" t="inlineStr">
        <is>
          <t>2025-08-08</t>
        </is>
      </c>
      <c r="C130" s="30">
        <f>HYPERLINK("https://vk.com/wall-1825701_7256", "Открыть пост")</f>
        <v/>
      </c>
      <c r="D130" s="31" t="inlineStr">
        <is>
          <t>Выездные лагеря, дача и сезонные программы</t>
        </is>
      </c>
      <c r="E130" s="31" t="inlineStr">
        <is>
          <t>Выездные лагеря, дача и сезонные программы</t>
        </is>
      </c>
      <c r="F130" s="31" t="inlineStr">
        <is>
          <t>Воспитанники ЦССВ, ДДИ и детских домов-интернатов</t>
        </is>
      </c>
      <c r="G130" s="31" t="inlineStr">
        <is>
          <t>Студия фонда / выездная площадка</t>
        </is>
      </c>
      <c r="H130" s="31" t="inlineStr">
        <is>
          <t>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 Мобильность, выездное сопровождение и автоволонтёрство</t>
        </is>
      </c>
      <c r="I130" s="32" t="inlineStr">
        <is>
          <t>Да (в тексте)</t>
        </is>
      </c>
      <c r="J130" s="31" t="inlineStr">
        <is>
          <t>Для всего мира первые семь дней августа — ежегодный праздник, посвящённый искусству клоунады. Международная неделя клоунов | International Clown Week 🤹 И, конечно, мы не могли остаться в стороне! Всю эту неделю в нашей Арт-резиденции на Волге мы играли в «клоунские игры» — на раз...</t>
        </is>
      </c>
    </row>
    <row r="131" ht="30" customHeight="1">
      <c r="A131" s="23" t="n">
        <v>7254</v>
      </c>
      <c r="B131" s="24" t="inlineStr">
        <is>
          <t>2025-07-29</t>
        </is>
      </c>
      <c r="C131" s="25">
        <f>HYPERLINK("https://vk.com/wall-1825701_7254", "Открыть пост")</f>
        <v/>
      </c>
      <c r="D131" s="26" t="inlineStr">
        <is>
          <t>Творческие мастер-классы и художественные студии</t>
        </is>
      </c>
      <c r="E131" s="26" t="inlineStr">
        <is>
          <t>Творческие мастер-классы и художественные студии; Выездные лагеря, дача и сезонные программы; Спектакли, концерты и музыкально-театральные занятия; Спортивные и активные мероприятия</t>
        </is>
      </c>
      <c r="F131" s="26" t="inlineStr">
        <is>
          <t>Подростки и взрослые с ментальными особенностями и ОВЗ (ПНИ / Социальные дома); Выпускники интернатов и детских домов (молодые взрослые)</t>
        </is>
      </c>
      <c r="G131" s="26" t="inlineStr">
        <is>
          <t>Студия фонда / выездная площадка</t>
        </is>
      </c>
      <c r="H131"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Мобильность, выездное сопровождение и автоволонтёрство; Медиа, фото/видеосъёмка и культурная медиация</t>
        </is>
      </c>
      <c r="I131" s="27" t="inlineStr">
        <is>
          <t>По формату занятия</t>
        </is>
      </c>
      <c r="J131" s="26" t="inlineStr">
        <is>
          <t>Посмотрите, это наш результат второй в этом сезоне творческой выездной программы «Летняя Арт-резиденция» на Волге! 🌿 Мы провели вместе насыщенные, тёплые дни — с мастер-классами, прогулками, разговорами и общими делами. Участники — взрослые с ментальными особенностями и выпускник...</t>
        </is>
      </c>
    </row>
    <row r="132" ht="30" customHeight="1">
      <c r="A132" s="28" t="n">
        <v>7253</v>
      </c>
      <c r="B132" s="29" t="inlineStr">
        <is>
          <t>2025-07-27</t>
        </is>
      </c>
      <c r="C132" s="30">
        <f>HYPERLINK("https://vk.com/wall-1825701_7253", "Открыть пост")</f>
        <v/>
      </c>
      <c r="D132" s="31" t="inlineStr">
        <is>
          <t>Выездные лагеря, дача и сезонные программы</t>
        </is>
      </c>
      <c r="E132" s="31" t="inlineStr">
        <is>
          <t>Выездные лагеря, дача и сезонные программы; Спектакли, концерты и музыкально-театральные занятия</t>
        </is>
      </c>
      <c r="F132" s="31" t="inlineStr">
        <is>
          <t>Подростки и взрослые с ментальными особенностями и ОВЗ (ПНИ / Социальные дома); Широкая аудитория, гости и благотворители (открытые события); Выпускники интернатов и детских домов (молодые взрослые)</t>
        </is>
      </c>
      <c r="G132" s="31" t="inlineStr">
        <is>
          <t>Студия фонда / выездная площадка</t>
        </is>
      </c>
      <c r="H132" s="31" t="inlineStr">
        <is>
          <t>Коммуникативные навыки, эмпатия и тьюторское сопровождение; Артистические, музыкальные и спортивно-игровые навыки; Мобильность, выездное сопровождение и автоволонтёрство; Медиа, фото/видеосъёмка и культурная медиация</t>
        </is>
      </c>
      <c r="I132" s="32" t="inlineStr">
        <is>
          <t>Да (в тексте)</t>
        </is>
      </c>
      <c r="J132" s="31" t="inlineStr">
        <is>
          <t>Иногда всё, что нужно — это шляпа, пара сапог и хорошая история 🐱🎩⚔• Участники второй смены летней выездной программы в Арт-резиденции на Волге — взрослые с ментальными особенностями, живущие в социальных домах, а также выпускники интернатов, волонтеры и друзья фонда. Новости с м...</t>
        </is>
      </c>
    </row>
    <row r="133" ht="30" customHeight="1">
      <c r="A133" s="23" t="n">
        <v>7251</v>
      </c>
      <c r="B133" s="24" t="inlineStr">
        <is>
          <t>2025-07-14</t>
        </is>
      </c>
      <c r="C133" s="25">
        <f>HYPERLINK("https://vk.com/wall-1825701_7251", "Открыть пост")</f>
        <v/>
      </c>
      <c r="D133" s="26" t="inlineStr">
        <is>
          <t>Творческие мастер-классы и художественные студии</t>
        </is>
      </c>
      <c r="E133" s="26" t="inlineStr">
        <is>
          <t>Творческие мастер-классы и художественные студии; Выездные лагеря, дача и сезонные программы; Спектакли, концерты и музыкально-театральные занятия</t>
        </is>
      </c>
      <c r="F133" s="26" t="inlineStr">
        <is>
          <t>Подопечные фонда «Дети Марии» (общая группа детей и подростков)</t>
        </is>
      </c>
      <c r="G133" s="26" t="inlineStr">
        <is>
          <t>Студия фонда / выездная площадка</t>
        </is>
      </c>
      <c r="H133" s="26" t="inlineStr">
        <is>
          <t>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 Медиа, фото/видеосъёмка и культурная медиация</t>
        </is>
      </c>
      <c r="I133" s="27" t="inlineStr">
        <is>
          <t>По формату занятия</t>
        </is>
      </c>
      <c r="J133" s="26" t="inlineStr">
        <is>
          <t>Каждое утро в Арт-резиденции на Волге начинается одинаково: после завтрака дети идут на мастер-класс «Улучшение мира» 💡 Эту традицию придумала Мария Елисеева, и каждый год именно она ведёт мастер-класс. Каждый выбирает сам, что сегодня хочется улучшить. Это может быть что угодно ...</t>
        </is>
      </c>
    </row>
    <row r="134" ht="30" customHeight="1">
      <c r="A134" s="28" t="n">
        <v>7248</v>
      </c>
      <c r="B134" s="29" t="inlineStr">
        <is>
          <t>2025-07-12</t>
        </is>
      </c>
      <c r="C134" s="30">
        <f>HYPERLINK("https://vk.com/wall-1825701_7248", "Открыть пост")</f>
        <v/>
      </c>
      <c r="D134" s="31" t="inlineStr">
        <is>
          <t>Выездные лагеря, дача и сезонные программы</t>
        </is>
      </c>
      <c r="E134" s="31" t="inlineStr">
        <is>
          <t>Выездные лагеря, дача и сезонные программы</t>
        </is>
      </c>
      <c r="F134" s="31" t="inlineStr">
        <is>
          <t>Подопечные фонда «Дети Марии» (общая группа детей и подростков)</t>
        </is>
      </c>
      <c r="G134" s="31" t="inlineStr">
        <is>
          <t>Сорочанах</t>
        </is>
      </c>
      <c r="H134" s="31" t="inlineStr">
        <is>
          <t>Коммуникативные навыки, эмпатия и тьюторское сопровождение; Педагогические и наставнические навыки (кулинария, быт, учёба); Мобильность, выездное сопровождение и автоволонтёрство; Медиа, фото/видеосъёмка и культурная медиация</t>
        </is>
      </c>
      <c r="I134" s="32" t="inlineStr">
        <is>
          <t>По формату занятия</t>
        </is>
      </c>
      <c r="J134" s="31" t="inlineStr">
        <is>
          <t>На банане по Волге — наша летняя классика! 🍌 Если вы хоть раз были у нас на летней выездной программе — в Арт-резиденции на Волге или, может, несколько лет назад в Сорочанах — или даже на Селигере (мы ездили туда до 2008) — вы точно знаете: катание на банане — это не просто водны...</t>
        </is>
      </c>
    </row>
    <row r="135" ht="30" customHeight="1">
      <c r="A135" s="23" t="n">
        <v>7246</v>
      </c>
      <c r="B135" s="24" t="inlineStr">
        <is>
          <t>2025-07-10</t>
        </is>
      </c>
      <c r="C135" s="25">
        <f>HYPERLINK("https://vk.com/wall-1825701_7246", "Открыть пост")</f>
        <v/>
      </c>
      <c r="D135" s="26" t="inlineStr">
        <is>
          <t>Выездные лагеря, дача и сезонные программы</t>
        </is>
      </c>
      <c r="E135" s="26" t="inlineStr">
        <is>
          <t>Выездные лагеря, дача и сезонные программы; Творческие мастер-классы и художественные студии; Праздники, дни рождения и клубные встречи</t>
        </is>
      </c>
      <c r="F135" s="26" t="inlineStr">
        <is>
          <t>Воспитанники ЦССВ, ДДИ и детских домов-интернатов; Широкая аудитория, гости и благотворители (открытые события); Выпускники интернатов и детских домов (молодые взрослые); Дети и семьи (в т.ч. приёмные семьи и программа в Беслане)</t>
        </is>
      </c>
      <c r="G135" s="26" t="inlineStr">
        <is>
          <t>Беслан</t>
        </is>
      </c>
      <c r="H135"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Медиа, фото/видеосъёмка и культурная медиация</t>
        </is>
      </c>
      <c r="I135" s="27" t="inlineStr">
        <is>
          <t>Да (в тексте)</t>
        </is>
      </c>
      <c r="J135" s="26" t="inlineStr">
        <is>
          <t>НАЧАЛАСЬ ЛЕТНЯЯ АРТ-РЕЗИДЕНЦИЯ НА ВОЛГЕ! УРА! 🌿 В гостях у Марии Елисеевой собрались участники программ «Дети Марии»: выпускники интернатов с семьями, дети из Беслана, волонтёры, команда и друзья фонда. Большая и тёплая компания снова встретилась в этом необыкновенно красивом мес...</t>
        </is>
      </c>
    </row>
    <row r="136" ht="30" customHeight="1">
      <c r="A136" s="28" t="n">
        <v>7235</v>
      </c>
      <c r="B136" s="29" t="inlineStr">
        <is>
          <t>2025-07-10</t>
        </is>
      </c>
      <c r="C136" s="30">
        <f>HYPERLINK("https://vk.com/wall-1825701_7235", "Открыть пост")</f>
        <v/>
      </c>
      <c r="D136" s="31" t="inlineStr">
        <is>
          <t>Творческие мастер-классы и художественные студии</t>
        </is>
      </c>
      <c r="E136" s="31" t="inlineStr">
        <is>
          <t>Творческие мастер-классы и художественные студии; Праздники, дни рождения и клубные встречи</t>
        </is>
      </c>
      <c r="F136" s="31" t="inlineStr">
        <is>
          <t>Воспитанники ЦССВ, ДДИ и детских домов-интернатов</t>
        </is>
      </c>
      <c r="G136" s="31" t="inlineStr">
        <is>
          <t>Студия фонда / выездная площадка</t>
        </is>
      </c>
      <c r="H136" s="31"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 Организационные, ивент- и ярмарочные навыки; Медиа, фото/видеосъёмка и культурная медиация</t>
        </is>
      </c>
      <c r="I136" s="32" t="inlineStr">
        <is>
          <t>Да (в тексте)</t>
        </is>
      </c>
      <c r="J136" s="31" t="inlineStr">
        <is>
          <t>А что происходило у детей из центра содействия семейному воспитанию (так сейчас называют детские дома) «Сколковский» в этом сезоне? Каждую неделю — занятия по керамике и валянию из шерсти: 🎨 На керамике каждый создавал своё изделие — от идеи до последнего штриха росписи. Дети леп...</t>
        </is>
      </c>
    </row>
    <row r="137" ht="30" customHeight="1">
      <c r="A137" s="23" t="n">
        <v>7234</v>
      </c>
      <c r="B137" s="24" t="inlineStr">
        <is>
          <t>2025-07-10</t>
        </is>
      </c>
      <c r="C137" s="25">
        <f>HYPERLINK("https://vk.com/wall-1825701_7234", "Открыть пост")</f>
        <v/>
      </c>
      <c r="D137" s="26" t="inlineStr">
        <is>
          <t>Праздники, дни рождения и клубные встречи</t>
        </is>
      </c>
      <c r="E137" s="26" t="inlineStr">
        <is>
          <t>Праздники, дни рождения и клубные встречи</t>
        </is>
      </c>
      <c r="F137" s="26" t="inlineStr">
        <is>
          <t>Воспитанники ЦССВ, ДДИ и детских домов-интернатов</t>
        </is>
      </c>
      <c r="G137" s="26" t="inlineStr">
        <is>
          <t>Студия фонда / выездная площадка</t>
        </is>
      </c>
      <c r="H137" s="26" t="inlineStr">
        <is>
          <t>Коммуникативные навыки, эмпатия и тьюторское сопровождение; Организационные, ивент- и ярмарочные навыки</t>
        </is>
      </c>
      <c r="I137" s="27" t="inlineStr">
        <is>
          <t>Да (в тексте)</t>
        </is>
      </c>
      <c r="J137" s="26" t="inlineStr">
        <is>
          <t>Итоговое занятие у детей из ЦССВ (так сейчас называют детские дома) «Радуга» получилось особенным: фотосессия в костюмах, создание гербария, мультфильмы на тему летних каникул — и, конечно, чаепитие! ☕• А еще для каждого участника мы подготовили персональный фотоальбом. Внутри — ...</t>
        </is>
      </c>
    </row>
    <row r="138" ht="30" customHeight="1">
      <c r="A138" s="28" t="n">
        <v>7233</v>
      </c>
      <c r="B138" s="29" t="inlineStr">
        <is>
          <t>2025-07-10</t>
        </is>
      </c>
      <c r="C138" s="30">
        <f>HYPERLINK("https://vk.com/wall-1825701_7233", "Открыть пост")</f>
        <v/>
      </c>
      <c r="D138" s="31" t="inlineStr">
        <is>
          <t>Творческие мастер-классы и художественные студии</t>
        </is>
      </c>
      <c r="E138" s="31" t="inlineStr">
        <is>
          <t>Творческие мастер-классы и художественные студии; Кулинарные, образовательные и социально-бытовые занятия; Выставки, экскурсии и культурные выходы</t>
        </is>
      </c>
      <c r="F138" s="31" t="inlineStr">
        <is>
          <t>Воспитанники ЦССВ, ДДИ и детских домов-интернатов</t>
        </is>
      </c>
      <c r="G138" s="31" t="inlineStr">
        <is>
          <t>ЦССВ «Сколковский», ЦССВ «Радуга»</t>
        </is>
      </c>
      <c r="H138"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Мобильность, выездное сопровождение и автоволонтёрство</t>
        </is>
      </c>
      <c r="I138" s="32" t="inlineStr">
        <is>
          <t>По формату занятия</t>
        </is>
      </c>
      <c r="J138" s="31" t="inlineStr">
        <is>
          <t>158 занятий, 32 участника, сотни рисунков, объёмных поделок и сказочных историй — подводим итоги учебного года в «Арт-лаборатории» фонда «Дети Марии» 🎨📝 Целый год мы занимались творчеством вместе с детьми из ЦССВ (так сейчас называют детские дома) «Радуга» и ЦССВ «Сколковский» в ...</t>
        </is>
      </c>
    </row>
    <row r="139" ht="30" customHeight="1">
      <c r="A139" s="23" t="n">
        <v>7230</v>
      </c>
      <c r="B139" s="24" t="inlineStr">
        <is>
          <t>2025-07-09</t>
        </is>
      </c>
      <c r="C139" s="25">
        <f>HYPERLINK("https://vk.com/wall-1825701_7230", "Открыть пост")</f>
        <v/>
      </c>
      <c r="D139" s="26" t="inlineStr">
        <is>
          <t>Выставки, экскурсии и культурные выходы</t>
        </is>
      </c>
      <c r="E139" s="26" t="inlineStr">
        <is>
          <t>Выставки, экскурсии и культурные выходы</t>
        </is>
      </c>
      <c r="F139" s="26" t="inlineStr">
        <is>
          <t>Дети и семьи (в т.ч. приёмные семьи и программа в Беслане)</t>
        </is>
      </c>
      <c r="G139" s="26" t="inlineStr">
        <is>
          <t>Беслан</t>
        </is>
      </c>
      <c r="H139" s="26" t="inlineStr">
        <is>
          <t>Коммуникативные навыки, эмпатия и тьюторское сопровождение; Артистические, музыкальные и спортивно-игровые навыки; Мобильность, выездное сопровождение и автоволонтёрство</t>
        </is>
      </c>
      <c r="I139" s="27" t="inlineStr">
        <is>
          <t>По формату занятия</t>
        </is>
      </c>
      <c r="J139" s="26" t="inlineStr">
        <is>
          <t>«Дети Марии — детям Беслана»: третий день в Москве ☀• Наш день начался с прогулки по центру: прошлись по Красной площади и заглянули в переулки на Театральной, а потом отправились на обзорную экскурсию по городу — и не как-нибудь, а на знаменитом красном двухэтажном автобусе! Ком...</t>
        </is>
      </c>
    </row>
    <row r="140" ht="30" customHeight="1">
      <c r="A140" s="28" t="n">
        <v>7228</v>
      </c>
      <c r="B140" s="29" t="inlineStr">
        <is>
          <t>2025-07-08</t>
        </is>
      </c>
      <c r="C140" s="30">
        <f>HYPERLINK("https://vk.com/wall-1825701_7228", "Открыть пост")</f>
        <v/>
      </c>
      <c r="D140" s="31" t="inlineStr">
        <is>
          <t>Выставки, экскурсии и культурные выходы</t>
        </is>
      </c>
      <c r="E140" s="31" t="inlineStr">
        <is>
          <t>Выставки, экскурсии и культурные выходы</t>
        </is>
      </c>
      <c r="F140" s="31" t="inlineStr">
        <is>
          <t>Дети и семьи (в т.ч. приёмные семьи и программа в Беслане)</t>
        </is>
      </c>
      <c r="G140" s="31" t="inlineStr">
        <is>
          <t>Беслан</t>
        </is>
      </c>
      <c r="H140" s="31" t="inlineStr">
        <is>
          <t>Коммуникативные навыки, эмпатия и тьюторское сопровождение; Мобильность, выездное сопровождение и автоволонтёрство</t>
        </is>
      </c>
      <c r="I140" s="32" t="inlineStr">
        <is>
          <t>По формату занятия</t>
        </is>
      </c>
      <c r="J140" s="31" t="inlineStr">
        <is>
          <t>Вчера после музея мы всей большой компанией отправились на трёхчасовую прогулку по Москве-реке на теплоходе River Palace ⚓•🌊 Летняя Москва, ветер в лицо, проплывающие над головой мосты и панорамный вид на город с воды — всё, как на открытке. Увидели главные достопримечательности ...</t>
        </is>
      </c>
    </row>
    <row r="141" ht="30" customHeight="1">
      <c r="A141" s="23" t="n">
        <v>7227</v>
      </c>
      <c r="B141" s="24" t="inlineStr">
        <is>
          <t>2025-07-07</t>
        </is>
      </c>
      <c r="C141" s="25">
        <f>HYPERLINK("https://vk.com/wall-1825701_7227", "Открыть пост")</f>
        <v/>
      </c>
      <c r="D141" s="26" t="inlineStr">
        <is>
          <t>Выставки, экскурсии и культурные выходы</t>
        </is>
      </c>
      <c r="E141" s="26" t="inlineStr">
        <is>
          <t>Выставки, экскурсии и культурные выходы</t>
        </is>
      </c>
      <c r="F141" s="26" t="inlineStr">
        <is>
          <t>Дети и семьи (в т.ч. приёмные семьи и программа в Беслане)</t>
        </is>
      </c>
      <c r="G141" s="26" t="inlineStr">
        <is>
          <t>Беслан</t>
        </is>
      </c>
      <c r="H141" s="26" t="inlineStr">
        <is>
          <t>Коммуникативные навыки, эмпатия и тьюторское сопровождение; Педагогические и наставнические навыки (кулинария, быт, учёба); Мобильность, выездное сопровождение и автоволонтёрство; Медиа, фото/видеосъёмка и культурная медиация</t>
        </is>
      </c>
      <c r="I141" s="27" t="inlineStr">
        <is>
          <t>По формату занятия</t>
        </is>
      </c>
      <c r="J141" s="26" t="inlineStr">
        <is>
          <t>Москва, день второй: в музее, где живёт история света💡 Сегодня участники нашей группы из Беслана побывали в Музее «Огни Москвы». Это место, где можно буквально пройти по истории города — через свет. Старинные фонари, керосинки, лампы, светофоры, первые электрические лампочки… 💬 С...</t>
        </is>
      </c>
    </row>
    <row r="142" ht="30" customHeight="1">
      <c r="A142" s="28" t="n">
        <v>7224</v>
      </c>
      <c r="B142" s="29" t="inlineStr">
        <is>
          <t>2025-07-04</t>
        </is>
      </c>
      <c r="C142" s="30">
        <f>HYPERLINK("https://vk.com/wall-1825701_7224", "Открыть пост")</f>
        <v/>
      </c>
      <c r="D142" s="31" t="inlineStr">
        <is>
          <t>Творческие мастер-классы и художественные студии</t>
        </is>
      </c>
      <c r="E142" s="31" t="inlineStr">
        <is>
          <t>Творческие мастер-классы и художественные студии</t>
        </is>
      </c>
      <c r="F142" s="31" t="inlineStr">
        <is>
          <t>Широкая аудитория, гости и благотворители (открытые события)</t>
        </is>
      </c>
      <c r="G142" s="31" t="inlineStr">
        <is>
          <t>Студия фонда / выездная площадка</t>
        </is>
      </c>
      <c r="H142" s="31" t="inlineStr">
        <is>
          <t>Коммуникативные навыки, эмпатия и тьюторское сопровождение</t>
        </is>
      </c>
      <c r="I142" s="32" t="inlineStr">
        <is>
          <t>По формату занятия</t>
        </is>
      </c>
      <c r="J142" s="31" t="inlineStr">
        <is>
          <t>Ко Дню семьи, любви и верности мы провели мастер-класс по созданию открыток — для участников наших программ и жителей Тверского района. Цветная бумага, блестки, маркеры, немного фантазии — и вот уже появляются открытки с посланиями друзьям и близким. Каждая работа — со своим наст...</t>
        </is>
      </c>
    </row>
    <row r="143" ht="30" customHeight="1">
      <c r="A143" s="23" t="n">
        <v>7222</v>
      </c>
      <c r="B143" s="24" t="inlineStr">
        <is>
          <t>2025-07-02</t>
        </is>
      </c>
      <c r="C143" s="25">
        <f>HYPERLINK("https://vk.com/wall-1825701_7222", "Открыть пост")</f>
        <v/>
      </c>
      <c r="D143" s="26" t="inlineStr">
        <is>
          <t>Ярмарки, фестивали и благотворительные базары</t>
        </is>
      </c>
      <c r="E143" s="26" t="inlineStr">
        <is>
          <t>Ярмарки, фестивали и благотворительные базары; Выставки, экскурсии и культурные выходы; Творческие мастер-классы и художественные студии</t>
        </is>
      </c>
      <c r="F143" s="26" t="inlineStr">
        <is>
          <t>Широкая аудитория, гости и благотворители (открытые события)</t>
        </is>
      </c>
      <c r="G143" s="26" t="inlineStr">
        <is>
          <t>Студия фонда / выездная площадка</t>
        </is>
      </c>
      <c r="H143" s="26" t="inlineStr">
        <is>
          <t>Коммуникативные навыки, эмпатия и тьюторское сопровождение; Организационные, ивент- и ярмарочные навыки</t>
        </is>
      </c>
      <c r="I143" s="27" t="inlineStr">
        <is>
          <t>По формату занятия</t>
        </is>
      </c>
      <c r="J143" s="26" t="inlineStr">
        <is>
          <t>Друзья, зовём вас на самый тёплый и добрый летний праздник! ☀• Уже совсем скоро — благотворительный фестиваль «Город неравнодушных». Наш фонд «Дети Марии» тоже там будет 💛 Приходите поддержать нас и провести день ярко: 🗓• 5 июля 📌 с 11:00 до 21:00 📍 Сад им. Баумана 🎟 Вход свободн...</t>
        </is>
      </c>
    </row>
    <row r="144" ht="30" customHeight="1">
      <c r="A144" s="28" t="n">
        <v>7218</v>
      </c>
      <c r="B144" s="29" t="inlineStr">
        <is>
          <t>2025-06-24</t>
        </is>
      </c>
      <c r="C144" s="30">
        <f>HYPERLINK("https://vk.com/wall-1825701_7218", "Открыть пост")</f>
        <v/>
      </c>
      <c r="D144" s="31" t="inlineStr">
        <is>
          <t>Кулинарные, образовательные и социально-бытовые занятия</t>
        </is>
      </c>
      <c r="E144" s="31" t="inlineStr">
        <is>
          <t>Кулинарные, образовательные и социально-бытовые занятия</t>
        </is>
      </c>
      <c r="F144" s="31" t="inlineStr">
        <is>
          <t>Воспитанники ЦССВ, ДДИ и детских домов-интернатов</t>
        </is>
      </c>
      <c r="G144" s="31" t="inlineStr">
        <is>
          <t>Студия фонда / выездная площадка</t>
        </is>
      </c>
      <c r="H144" s="31" t="inlineStr">
        <is>
          <t>Коммуникативные навыки, эмпатия и тьюторское сопровождение; Педагогические и наставнические навыки (кулинария, быт, учёба)</t>
        </is>
      </c>
      <c r="I144" s="32" t="inlineStr">
        <is>
          <t>Да (в тексте)</t>
        </is>
      </c>
      <c r="J144" s="31" t="inlineStr">
        <is>
          <t>🎙Онлайн-конференция у нашего партнерского проекта «Жизненные навыки»: ⚡•30 июня (пн) в 17:00! 🖇 Регистрация: https://forms.gle/ntESUoBH8Ynj56F19 Жизненные Навыки — это бесплатный онлайн-курс для подростков, созданный экспертами НКО и педагогами. Он помогает шаг за шагом освоить т...</t>
        </is>
      </c>
    </row>
    <row r="145" ht="30" customHeight="1">
      <c r="A145" s="23" t="n">
        <v>7217</v>
      </c>
      <c r="B145" s="24" t="inlineStr">
        <is>
          <t>2025-06-15</t>
        </is>
      </c>
      <c r="C145" s="25">
        <f>HYPERLINK("https://vk.com/wall-1825701_7217", "Открыть пост")</f>
        <v/>
      </c>
      <c r="D145" s="26" t="inlineStr">
        <is>
          <t>Кулинарные, образовательные и социально-бытовые занятия</t>
        </is>
      </c>
      <c r="E145" s="26" t="inlineStr">
        <is>
          <t>Кулинарные, образовательные и социально-бытовые занятия</t>
        </is>
      </c>
      <c r="F145" s="26" t="inlineStr">
        <is>
          <t>Подопечные фонда «Дети Марии» (общая группа детей и подростков)</t>
        </is>
      </c>
      <c r="G145" s="26" t="inlineStr">
        <is>
          <t>Студия фонда / выездная площадка</t>
        </is>
      </c>
      <c r="H145" s="26" t="inlineStr">
        <is>
          <t>Артистические, музыкальные и спортивно-игровые навыки; Педагогические и наставнические навыки (кулинария, быт, учёба)</t>
        </is>
      </c>
      <c r="I145" s="27" t="inlineStr">
        <is>
          <t>По формату занятия</t>
        </is>
      </c>
      <c r="J145" s="26" t="inlineStr">
        <is>
          <t>Продолжаются занятия в проекте «Хочу больше знать», Тимофей с преподавателем Наташей изучают английский язык: 💬 Наташа: Переведи пожалуйста: «Ты умеешь играть в шахматы?» 💬 Тимоша (уверенно): Can you play cheese? Иногда изучение языка — это не только грамматика и новые слова, но ...</t>
        </is>
      </c>
    </row>
    <row r="146" ht="30" customHeight="1">
      <c r="A146" s="28" t="n">
        <v>7213</v>
      </c>
      <c r="B146" s="29" t="inlineStr">
        <is>
          <t>2025-06-12</t>
        </is>
      </c>
      <c r="C146" s="30">
        <f>HYPERLINK("https://vk.com/wall-1825701_7213", "Открыть пост")</f>
        <v/>
      </c>
      <c r="D146" s="31" t="inlineStr">
        <is>
          <t>Ярмарки, фестивали и благотворительные базары</t>
        </is>
      </c>
      <c r="E146" s="31" t="inlineStr">
        <is>
          <t>Ярмарки, фестивали и благотворительные базары; Выездные лагеря, дача и сезонные программы</t>
        </is>
      </c>
      <c r="F146" s="31" t="inlineStr">
        <is>
          <t>Подопечные фонда «Дети Марии» (общая группа детей и подростков)</t>
        </is>
      </c>
      <c r="G146" s="31" t="inlineStr">
        <is>
          <t>Переделкино</t>
        </is>
      </c>
      <c r="H146" s="31" t="inlineStr">
        <is>
          <t>Коммуникативные навыки, эмпатия и тьюторское сопровождение; Педагогические и наставнические навыки (кулинария, быт, учёба); Организационные, ивент- и ярмарочные навыки</t>
        </is>
      </c>
      <c r="I146" s="32" t="inlineStr">
        <is>
          <t>По формату занятия</t>
        </is>
      </c>
      <c r="J146" s="31" t="inlineStr">
        <is>
          <t>Пока мы с коллегами готовимся к субботнему маркету в Дом творчества Переделкино, делимся хорошими новостями — итогами благотворительных ярмарок и маркетов, которые прошли в начале июня: ⚡• На ярмарке в компании Т2 удалось собрать 15 200 рублей. ⚡• На Летнем празднике в Англиканск...</t>
        </is>
      </c>
    </row>
    <row r="147" ht="30" customHeight="1">
      <c r="A147" s="23" t="n">
        <v>7212</v>
      </c>
      <c r="B147" s="24" t="inlineStr">
        <is>
          <t>2025-06-11</t>
        </is>
      </c>
      <c r="C147" s="25">
        <f>HYPERLINK("https://vk.com/wall-1825701_7212", "Открыть пост")</f>
        <v/>
      </c>
      <c r="D147" s="26" t="inlineStr">
        <is>
          <t>Ярмарки, фестивали и благотворительные базары</t>
        </is>
      </c>
      <c r="E147" s="26" t="inlineStr">
        <is>
          <t>Ярмарки, фестивали и благотворительные базары; Спектакли, концерты и музыкально-театральные занятия; Выездные лагеря, дача и сезонные программы; Выставки, экскурсии и культурные выходы; Кулинарные, образовательные и социально-бытовые занятия; Творческие мастер-классы и художественные студии</t>
        </is>
      </c>
      <c r="F147" s="26" t="inlineStr">
        <is>
          <t>Широкая аудитория, гости и благотворители (открытые события)</t>
        </is>
      </c>
      <c r="G147" s="26" t="inlineStr">
        <is>
          <t>Переделкино</t>
        </is>
      </c>
      <c r="H147"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 Мобильность, выездное сопровождение и автоволонтёрство</t>
        </is>
      </c>
      <c r="I147" s="27" t="inlineStr">
        <is>
          <t>По формату занятия</t>
        </is>
      </c>
      <c r="J147" s="26" t="inlineStr">
        <is>
          <t>Приглашаем вас на Благотворительный маркет летнего литературного фестиваля «Навстречу»! 🌿 14 июня, в субботу 🌿 На площади у Дома творчества Переделкино соберутся семь инклюзивных мастерских, чтобы представить свои работы — особенные вещи, сделанные людьми с разным жизненным опыто...</t>
        </is>
      </c>
    </row>
    <row r="148" ht="30" customHeight="1">
      <c r="A148" s="28" t="n">
        <v>7210</v>
      </c>
      <c r="B148" s="29" t="inlineStr">
        <is>
          <t>2025-06-05</t>
        </is>
      </c>
      <c r="C148" s="30">
        <f>HYPERLINK("https://vk.com/wall-1825701_7210", "Открыть пост")</f>
        <v/>
      </c>
      <c r="D148" s="31" t="inlineStr">
        <is>
          <t>Ярмарки, фестивали и благотворительные базары</t>
        </is>
      </c>
      <c r="E148" s="31" t="inlineStr">
        <is>
          <t>Ярмарки, фестивали и благотворительные базары; Творческие мастер-классы и художественные студии</t>
        </is>
      </c>
      <c r="F148" s="31" t="inlineStr">
        <is>
          <t>Подростки и взрослые с ментальными особенностями и ОВЗ (ПНИ / Социальные дома); Широкая аудитория, гости и благотворители (открытые события)</t>
        </is>
      </c>
      <c r="G148" s="31" t="inlineStr">
        <is>
          <t>Студия фонда / выездная площадка</t>
        </is>
      </c>
      <c r="H148" s="31" t="inlineStr">
        <is>
          <t>Коммуникативные навыки, эмпатия и тьюторское сопровождение; Организационные, ивент- и ярмарочные навыки; Медиа, фото/видеосъёмка и культурная медиация</t>
        </is>
      </c>
      <c r="I148" s="32" t="inlineStr">
        <is>
          <t>По формату занятия</t>
        </is>
      </c>
      <c r="J148" s="31" t="inlineStr">
        <is>
          <t>Сезон летних ярмарок в разгаре! И мы приглашаем вас сразу на две: 🎊 Ремесленная ярмарка в Англиканской церкви Святого Андрея — вас ждёт летний праздник с благотврительным маркетом изделий разных ремесленных мастерских, с мастер-классами, грилем, дружеской атмосферой, кухней разны...</t>
        </is>
      </c>
    </row>
    <row r="149" ht="30" customHeight="1">
      <c r="A149" s="23" t="n">
        <v>7209</v>
      </c>
      <c r="B149" s="24" t="inlineStr">
        <is>
          <t>2025-06-01</t>
        </is>
      </c>
      <c r="C149" s="25">
        <f>HYPERLINK("https://vk.com/wall-1825701_7209", "Открыть пост")</f>
        <v/>
      </c>
      <c r="D149" s="26" t="inlineStr">
        <is>
          <t>Праздники, дни рождения и клубные встречи</t>
        </is>
      </c>
      <c r="E149" s="26" t="inlineStr">
        <is>
          <t>Праздники, дни рождения и клубные встречи; Творческие мастер-классы и художественные студии</t>
        </is>
      </c>
      <c r="F149" s="26" t="inlineStr">
        <is>
          <t>Подростки и взрослые с ментальными особенностями и ОВЗ (ПНИ / Социальные дома); Выпускники интернатов и детских домов (молодые взрослые)</t>
        </is>
      </c>
      <c r="G149" s="26" t="inlineStr">
        <is>
          <t>Студия фонда / выездная площадка</t>
        </is>
      </c>
      <c r="H149" s="26"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 Мобильность, выездное сопровождение и автоволонтёрство</t>
        </is>
      </c>
      <c r="I149" s="27" t="inlineStr">
        <is>
          <t>Да (в тексте)</t>
        </is>
      </c>
      <c r="J149" s="26" t="inlineStr">
        <is>
          <t>Это — наша коллективная картина «Цирк»: ее вместе рисовали участники наших программ, а теперь «Цирк» украшает более тысячи машин! Вы тоже можете увидеть эту картину, вызвав Яндекс Такси в тарифе «Детский» 😉 К Дню защиты детей Яндекс Go и Помощь рядом запустили проект, в котором м...</t>
        </is>
      </c>
    </row>
    <row r="150" ht="30" customHeight="1">
      <c r="A150" s="28" t="n">
        <v>7207</v>
      </c>
      <c r="B150" s="29" t="inlineStr">
        <is>
          <t>2025-06-01</t>
        </is>
      </c>
      <c r="C150" s="30">
        <f>HYPERLINK("https://vk.com/wall-1825701_7207", "Открыть пост")</f>
        <v/>
      </c>
      <c r="D150" s="31" t="inlineStr">
        <is>
          <t>Творческие мастер-классы и художественные студии</t>
        </is>
      </c>
      <c r="E150" s="31" t="inlineStr">
        <is>
          <t>Творческие мастер-классы и художественные студии</t>
        </is>
      </c>
      <c r="F150" s="31" t="inlineStr">
        <is>
          <t>Воспитанники ЦССВ, ДДИ и детских домов-интернатов</t>
        </is>
      </c>
      <c r="G150" s="31" t="inlineStr">
        <is>
          <t>ЦССВ «Сколковский», ЦССВ «Радуга»</t>
        </is>
      </c>
      <c r="H150" s="31" t="inlineStr">
        <is>
          <t>Коммуникативные навыки, эмпатия и тьюторское сопровождение; Организационные, ивент- и ярмарочные навыки</t>
        </is>
      </c>
      <c r="I150" s="32" t="inlineStr">
        <is>
          <t>По формату занятия</t>
        </is>
      </c>
      <c r="J150" s="31" t="inlineStr">
        <is>
          <t>Сегодня — День защиты детей! Как хорошо, что этот праздник есть в календаре, он напоминает нам о том, что дети нуждаются в помощи, заботе и поддержке и сегодня, и в другие 364 дня в году. На фото — участники нашего проекта «Арт-лаборатория», дети из центров содействия семейному в...</t>
        </is>
      </c>
    </row>
    <row r="151" ht="30" customHeight="1">
      <c r="A151" s="23" t="n">
        <v>7206</v>
      </c>
      <c r="B151" s="24" t="inlineStr">
        <is>
          <t>2025-05-29</t>
        </is>
      </c>
      <c r="C151" s="25">
        <f>HYPERLINK("https://vk.com/wall-1825701_7206", "Открыть пост")</f>
        <v/>
      </c>
      <c r="D151" s="26" t="inlineStr">
        <is>
          <t>Кулинарные, образовательные и социально-бытовые занятия</t>
        </is>
      </c>
      <c r="E151" s="26" t="inlineStr">
        <is>
          <t>Кулинарные, образовательные и социально-бытовые занятия</t>
        </is>
      </c>
      <c r="F151" s="26" t="inlineStr">
        <is>
          <t>Широкая аудитория, гости и благотворители (открытые события)</t>
        </is>
      </c>
      <c r="G151" s="26" t="inlineStr">
        <is>
          <t>Студия фонда / выездная площадка</t>
        </is>
      </c>
      <c r="H151" s="26" t="inlineStr">
        <is>
          <t>Коммуникативные навыки, эмпатия и тьюторское сопровождение</t>
        </is>
      </c>
      <c r="I151" s="27" t="inlineStr">
        <is>
          <t>По формату занятия</t>
        </is>
      </c>
      <c r="J151" s="26" t="inlineStr">
        <is>
          <t>А вы знали, что ежи — отличные садовники? 🦔 Они спасают растения от вредителей, роют норы и оберегают экосистему — а ещё стали героями нашего открытого киноклуба «Садовый воин. Тайная жизнь ежа». Команда Благотворительного фонда «Дети Марии» пригласила участников наших программ и...</t>
        </is>
      </c>
    </row>
    <row r="152" ht="30" customHeight="1">
      <c r="A152" s="28" t="n">
        <v>7205</v>
      </c>
      <c r="B152" s="29" t="inlineStr">
        <is>
          <t>2025-05-29</t>
        </is>
      </c>
      <c r="C152" s="30">
        <f>HYPERLINK("https://vk.com/wall-1825701_7205", "Открыть пост")</f>
        <v/>
      </c>
      <c r="D152" s="31" t="inlineStr">
        <is>
          <t>Праздники, дни рождения и клубные встречи</t>
        </is>
      </c>
      <c r="E152" s="31" t="inlineStr">
        <is>
          <t>Праздники, дни рождения и клубные встречи; Творческие мастер-классы и художественные студии; Спортивные и активные мероприятия; Спектакли, концерты и музыкально-театральные занятия</t>
        </is>
      </c>
      <c r="F152" s="31" t="inlineStr">
        <is>
          <t>Подростки и взрослые с ментальными особенностями и ОВЗ (ПНИ / Социальные дома)</t>
        </is>
      </c>
      <c r="G152" s="31" t="inlineStr">
        <is>
          <t>Студия фонда / выездная площадка</t>
        </is>
      </c>
      <c r="H152"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 Мобильность, выездное сопровождение и автоволонтёрство</t>
        </is>
      </c>
      <c r="I152" s="32" t="inlineStr">
        <is>
          <t>Да (в тексте)</t>
        </is>
      </c>
      <c r="J152" s="31" t="inlineStr">
        <is>
          <t>Пикник в яблоневом цветущем саду вместе с нашими участниками — взрослыми с ментальными особенностями, которые живут в социальных домах и семьях 🌸 Организовали всё кураторы проекта — Лена и Артём. Лена поделилась: 💬 «Идея собраться на пикник была наша общая с Артёмом, он взял на с...</t>
        </is>
      </c>
    </row>
    <row r="153" ht="30" customHeight="1">
      <c r="A153" s="23" t="n">
        <v>7204</v>
      </c>
      <c r="B153" s="24" t="inlineStr">
        <is>
          <t>2025-05-26</t>
        </is>
      </c>
      <c r="C153" s="25">
        <f>HYPERLINK("https://vk.com/wall-1825701_7204", "Открыть пост")</f>
        <v/>
      </c>
      <c r="D153" s="26" t="inlineStr">
        <is>
          <t>Творческие мастер-классы и художественные студии</t>
        </is>
      </c>
      <c r="E153" s="26" t="inlineStr">
        <is>
          <t>Творческие мастер-классы и художественные студии; Выездные лагеря, дача и сезонные программы; Спектакли, концерты и музыкально-театральные занятия</t>
        </is>
      </c>
      <c r="F153" s="26" t="inlineStr">
        <is>
          <t>Подростки и взрослые с ментальными особенностями и ОВЗ (ПНИ / Социальные дома); Воспитанники ЦССВ, ДДИ и детских домов-интернатов; Выпускники интернатов и детских домов (молодые взрослые)</t>
        </is>
      </c>
      <c r="G153" s="26" t="inlineStr">
        <is>
          <t>Студия фонда / выездная площадка</t>
        </is>
      </c>
      <c r="H153"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Медиа, фото/видеосъёмка и культурная медиация</t>
        </is>
      </c>
      <c r="I153" s="27" t="inlineStr">
        <is>
          <t>Да (в тексте)</t>
        </is>
      </c>
      <c r="J153" s="26" t="inlineStr">
        <is>
          <t>24 мая мы вместе с участниками наших программ отметили день рождения Благотворительного фонда «Дети Марии». В апреле нам исполнилось 28 лет — почти три десятилетия работы, любви, заботы и поддержки ❤• В загородные мастерские на даче у Марии приехали дети и взрослые из интернатов ...</t>
        </is>
      </c>
    </row>
    <row r="154" ht="30" customHeight="1">
      <c r="A154" s="28" t="n">
        <v>7203</v>
      </c>
      <c r="B154" s="29" t="inlineStr">
        <is>
          <t>2025-05-20</t>
        </is>
      </c>
      <c r="C154" s="30">
        <f>HYPERLINK("https://vk.com/wall-1825701_7203", "Открыть пост")</f>
        <v/>
      </c>
      <c r="D154" s="31" t="inlineStr">
        <is>
          <t>Творческие мастер-классы и художественные студии</t>
        </is>
      </c>
      <c r="E154" s="31" t="inlineStr">
        <is>
          <t>Творческие мастер-классы и художественные студии</t>
        </is>
      </c>
      <c r="F154" s="31" t="inlineStr">
        <is>
          <t>Широкая аудитория, гости и благотворители (открытые события)</t>
        </is>
      </c>
      <c r="G154" s="31" t="inlineStr">
        <is>
          <t>Студия фонда / выездная площадка</t>
        </is>
      </c>
      <c r="H154" s="31" t="inlineStr">
        <is>
          <t>Коммуникативные навыки, эмпатия и тьюторское сопровождение</t>
        </is>
      </c>
      <c r="I154" s="32" t="inlineStr">
        <is>
          <t>По формату занятия</t>
        </is>
      </c>
      <c r="J154" s="31" t="inlineStr">
        <is>
          <t>🕊 Недавно на одном из мастер-классов в «Дети Марии» мы делали голубей мира из бумаги — вместе с жителями Тверского района и участниками наших программ. А вы знали, что изображение голубя с оливковой ветвью в клюве стало символом мира благодаря Пикассо? Именно его рисунок 1961 год...</t>
        </is>
      </c>
    </row>
    <row r="155" ht="30" customHeight="1">
      <c r="A155" s="23" t="n">
        <v>7197</v>
      </c>
      <c r="B155" s="24" t="inlineStr">
        <is>
          <t>2025-05-12</t>
        </is>
      </c>
      <c r="C155" s="25">
        <f>HYPERLINK("https://vk.com/wall-1825701_7197", "Открыть пост")</f>
        <v/>
      </c>
      <c r="D155" s="26" t="inlineStr">
        <is>
          <t>Творческие мастер-классы и художественные студии</t>
        </is>
      </c>
      <c r="E155" s="26" t="inlineStr">
        <is>
          <t>Творческие мастер-классы и художественные студии; Спортивные и активные мероприятия</t>
        </is>
      </c>
      <c r="F155" s="26" t="inlineStr">
        <is>
          <t>Воспитанники ЦССВ, ДДИ и детских домов-интернатов</t>
        </is>
      </c>
      <c r="G155" s="26" t="inlineStr">
        <is>
          <t>ЦССВ «Радуга»</t>
        </is>
      </c>
      <c r="H155" s="26" t="inlineStr">
        <is>
          <t>Коммуникативные навыки, эмпатия и тьюторское сопровождение; Артистические, музыкальные и спортивно-игровые навыки</t>
        </is>
      </c>
      <c r="I155" s="27" t="inlineStr">
        <is>
          <t>По формату занятия</t>
        </is>
      </c>
      <c r="J155" s="26" t="inlineStr">
        <is>
          <t>Пробовать новое, экспериментировать — вот отличительная черта проекта «Арт-лаборатория»! И в доказательство рассскажем вам, как предприниматель, кастомизирующий обувь, сам пришёл в «Арт-лабораторию» — и вместе с участниками превратил белые футболки в арт-объекты 🪄 Вы наверняка по...</t>
        </is>
      </c>
    </row>
    <row r="156" ht="30" customHeight="1">
      <c r="A156" s="28" t="n">
        <v>7184</v>
      </c>
      <c r="B156" s="29" t="inlineStr">
        <is>
          <t>2025-05-07</t>
        </is>
      </c>
      <c r="C156" s="30">
        <f>HYPERLINK("https://vk.com/wall-1825701_7184", "Открыть пост")</f>
        <v/>
      </c>
      <c r="D156" s="31" t="inlineStr">
        <is>
          <t>Выставки, экскурсии и культурные выходы</t>
        </is>
      </c>
      <c r="E156" s="31" t="inlineStr">
        <is>
          <t>Выставки, экскурсии и культурные выходы</t>
        </is>
      </c>
      <c r="F156" s="31" t="inlineStr">
        <is>
          <t>Воспитанники ЦССВ, ДДИ и детских домов-интернатов</t>
        </is>
      </c>
      <c r="G156" s="31" t="inlineStr">
        <is>
          <t>Студия фонда / выездная площадка</t>
        </is>
      </c>
      <c r="H156" s="31" t="inlineStr">
        <is>
          <t>Артистические, музыкальные и спортивно-игровые навыки; Организационные, ивент- и ярмарочные навыки; Мобильность, выездное сопровождение и автоволонтёрство; Медиа, фото/видеосъёмка и культурная медиация</t>
        </is>
      </c>
      <c r="I156" s="32" t="inlineStr">
        <is>
          <t>По формату занятия</t>
        </is>
      </c>
      <c r="J156" s="31" t="inlineStr">
        <is>
          <t>Пока команда наших клоунов завершает тур в Армении (если пропустили — https://vk.com/wall-1825701_7171 и https://vk.com/wall-1825701_7172: мы рассказывали, кто такие больничные клоуны и как давно мы этим занимаемся) — в Москве тема клоунады продолжилась! 🤹🏻‍♀• Наши самые маленьки...</t>
        </is>
      </c>
    </row>
    <row r="157" ht="30" customHeight="1">
      <c r="A157" s="23" t="n">
        <v>7180</v>
      </c>
      <c r="B157" s="24" t="inlineStr">
        <is>
          <t>2025-05-06</t>
        </is>
      </c>
      <c r="C157" s="25">
        <f>HYPERLINK("https://vk.com/wall-1825701_7180", "Открыть пост")</f>
        <v/>
      </c>
      <c r="D157" s="26" t="inlineStr">
        <is>
          <t>Творческие мастер-классы и художественные студии</t>
        </is>
      </c>
      <c r="E157" s="26" t="inlineStr">
        <is>
          <t>Творческие мастер-классы и художественные студии; Кулинарные, образовательные и социально-бытовые занятия</t>
        </is>
      </c>
      <c r="F157" s="26" t="inlineStr">
        <is>
          <t>Подростки и взрослые с ментальными особенностями и ОВЗ (ПНИ / Социальные дома); Выпускники интернатов и детских домов (молодые взрослые)</t>
        </is>
      </c>
      <c r="G157" s="26" t="inlineStr">
        <is>
          <t>Студия фонда / выездная площадка</t>
        </is>
      </c>
      <c r="H157" s="26"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 Мобильность, выездное сопровождение и автоволонтёрство</t>
        </is>
      </c>
      <c r="I157" s="27" t="inlineStr">
        <is>
          <t>Да (в тексте)</t>
        </is>
      </c>
      <c r="J157" s="26" t="inlineStr">
        <is>
          <t>От участия в занятиях керамикой Благотворительного фонда «Дети Марии» до сопровождаемого проживания в тренировочной квартире вместе с котом по имени Черныш — такой путь прошел один из наших участников, 28-летний Вова. Его история — про трудности начала самостоятельной жизни и тру...</t>
        </is>
      </c>
    </row>
    <row r="158" ht="30" customHeight="1">
      <c r="A158" s="28" t="n">
        <v>7171</v>
      </c>
      <c r="B158" s="29" t="inlineStr">
        <is>
          <t>2025-04-30</t>
        </is>
      </c>
      <c r="C158" s="30">
        <f>HYPERLINK("https://vk.com/wall-1825701_7171", "Открыть пост")</f>
        <v/>
      </c>
      <c r="D158" s="31" t="inlineStr">
        <is>
          <t>Выездные лагеря, дача и сезонные программы</t>
        </is>
      </c>
      <c r="E158" s="31" t="inlineStr">
        <is>
          <t>Выездные лагеря, дача и сезонные программы; Выставки, экскурсии и культурные выходы; Праздники, дни рождения и клубные встречи; Творческие мастер-классы и художественные студии</t>
        </is>
      </c>
      <c r="F158" s="31" t="inlineStr">
        <is>
          <t>Воспитанники ЦССВ, ДДИ и детских домов-интернатов</t>
        </is>
      </c>
      <c r="G158" s="31" t="inlineStr">
        <is>
          <t>Студия фонда / выездная площадка</t>
        </is>
      </c>
      <c r="H158"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Мобильность, выездное сопровождение и автоволонтёрство; Медиа, фото/видеосъёмка и культурная медиация</t>
        </is>
      </c>
      <c r="I158" s="32" t="inlineStr">
        <is>
          <t>Да (в тексте)</t>
        </is>
      </c>
      <c r="J158" s="31" t="inlineStr">
        <is>
          <t>Сразу после празднования дня рождения фонда часть нашей команды отправилась в Армению — в ежегодный клоунский гуманитарный тур. Это уже традиция: каждый год волонтёры из разных стран собираются вместе, надевают клоунские носы, берут с собой мыльные пузыри, шапочки, шарики, музыка...</t>
        </is>
      </c>
    </row>
    <row r="159" ht="30" customHeight="1">
      <c r="A159" s="23" t="n">
        <v>7169</v>
      </c>
      <c r="B159" s="24" t="inlineStr">
        <is>
          <t>2025-04-24</t>
        </is>
      </c>
      <c r="C159" s="25">
        <f>HYPERLINK("https://vk.com/wall-1825701_7169", "Открыть пост")</f>
        <v/>
      </c>
      <c r="D159" s="26" t="inlineStr">
        <is>
          <t>Творческие мастер-классы и художественные студии</t>
        </is>
      </c>
      <c r="E159" s="26" t="inlineStr">
        <is>
          <t>Творческие мастер-классы и художественные студии; Ярмарки, фестивали и благотворительные базары</t>
        </is>
      </c>
      <c r="F159" s="26" t="inlineStr">
        <is>
          <t>Подопечные фонда «Дети Марии» (общая группа детей и подростков)</t>
        </is>
      </c>
      <c r="G159" s="26" t="inlineStr">
        <is>
          <t>Студия фонда / выездная площадка</t>
        </is>
      </c>
      <c r="H159" s="26" t="inlineStr">
        <is>
          <t>Художественно-прикладные и ремесленные навыки; Коммуникативные навыки, эмпатия и тьюторское сопровождение; Организационные, ивент- и ярмарочные навыки</t>
        </is>
      </c>
      <c r="I159" s="27" t="inlineStr">
        <is>
          <t>Да (в тексте)</t>
        </is>
      </c>
      <c r="J159" s="26" t="inlineStr">
        <is>
          <t>На Пасху — расписываем яйца! 🐣 Волонтёры и педагоги фонда «Дети Марии» провели мастер-класс по росписи пасхальных яиц для участников наших программ и жителей района. Получилось ярко, весело и по-настоящему весенне! Спасибо всем, кто присоединился 💛 Фото процесса, к сожалению, не ...</t>
        </is>
      </c>
    </row>
    <row r="160" ht="30" customHeight="1">
      <c r="A160" s="28" t="n">
        <v>7167</v>
      </c>
      <c r="B160" s="29" t="inlineStr">
        <is>
          <t>2025-04-22</t>
        </is>
      </c>
      <c r="C160" s="30">
        <f>HYPERLINK("https://vk.com/wall-1825701_7167", "Открыть пост")</f>
        <v/>
      </c>
      <c r="D160" s="31" t="inlineStr">
        <is>
          <t>Ярмарки, фестивали и благотворительные базары</t>
        </is>
      </c>
      <c r="E160" s="31" t="inlineStr">
        <is>
          <t>Ярмарки, фестивали и благотворительные базары</t>
        </is>
      </c>
      <c r="F160" s="31" t="inlineStr">
        <is>
          <t>Подопечные фонда «Дети Марии» (общая группа детей и подростков)</t>
        </is>
      </c>
      <c r="G160" s="31" t="inlineStr">
        <is>
          <t>Студия фонда / выездная площадка</t>
        </is>
      </c>
      <c r="H160" s="31" t="inlineStr">
        <is>
          <t>Коммуникативные навыки, эмпатия и тьюторское сопровождение</t>
        </is>
      </c>
      <c r="I160" s="32" t="inlineStr">
        <is>
          <t>По формату занятия</t>
        </is>
      </c>
      <c r="J160" s="31" t="inlineStr">
        <is>
          <t>В эту субботу мы приглашаем всех на Благотворительный Фестиваль «АртВесна» для знакомства с творчеством особенных людей, которые работают или занимаются в разных фондах 🤗</t>
        </is>
      </c>
    </row>
    <row r="161" ht="30" customHeight="1">
      <c r="A161" s="23" t="n">
        <v>7166</v>
      </c>
      <c r="B161" s="24" t="inlineStr">
        <is>
          <t>2025-04-20</t>
        </is>
      </c>
      <c r="C161" s="25">
        <f>HYPERLINK("https://vk.com/wall-1825701_7166", "Открыть пост")</f>
        <v/>
      </c>
      <c r="D161" s="26" t="inlineStr">
        <is>
          <t>Ярмарки, фестивали и благотворительные базары</t>
        </is>
      </c>
      <c r="E161" s="26" t="inlineStr">
        <is>
          <t>Ярмарки, фестивали и благотворительные базары; Творческие мастер-классы и художественные студии</t>
        </is>
      </c>
      <c r="F161" s="26" t="inlineStr">
        <is>
          <t>Широкая аудитория, гости и благотворители (открытые события)</t>
        </is>
      </c>
      <c r="G161" s="26" t="inlineStr">
        <is>
          <t>Студия фонда / выездная площадка</t>
        </is>
      </c>
      <c r="H161"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t>
        </is>
      </c>
      <c r="I161" s="27" t="inlineStr">
        <is>
          <t>По формату занятия</t>
        </is>
      </c>
      <c r="J161" s="26" t="inlineStr">
        <is>
          <t>Весна пришла — выходим на улицы! 🤩 А точнее — на уличные фестивали с нашими любимыми изделиями из инклюзивных мастерских. С 19 по 27 апреля мы участвуем в благотворительном фестивале «Пасхальный дар» — каждый день с 11:00 до 21:00, возле метро Новые Черёмушки (ул. Профсоюзная, вл...</t>
        </is>
      </c>
    </row>
    <row r="162" ht="30" customHeight="1">
      <c r="A162" s="28" t="n">
        <v>7158</v>
      </c>
      <c r="B162" s="29" t="inlineStr">
        <is>
          <t>2025-04-17</t>
        </is>
      </c>
      <c r="C162" s="30">
        <f>HYPERLINK("https://vk.com/wall-1825701_7158", "Открыть пост")</f>
        <v/>
      </c>
      <c r="D162" s="31" t="inlineStr">
        <is>
          <t>Творческие мастер-классы и художественные студии</t>
        </is>
      </c>
      <c r="E162" s="31" t="inlineStr">
        <is>
          <t>Творческие мастер-классы и художественные студии; Спектакли, концерты и музыкально-театральные занятия</t>
        </is>
      </c>
      <c r="F162" s="31" t="inlineStr">
        <is>
          <t>Воспитанники ЦССВ, ДДИ и детских домов-интернатов; Выпускники интернатов и детских домов (молодые взрослые)</t>
        </is>
      </c>
      <c r="G162" s="31" t="inlineStr">
        <is>
          <t>Студия фонда / выездная площадка</t>
        </is>
      </c>
      <c r="H162"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 Мобильность, выездное сопровождение и автоволонтёрство; Медиа, фото/видеосъёмка и культурная медиация</t>
        </is>
      </c>
      <c r="I162" s="32" t="inlineStr">
        <is>
          <t>Да (в тексте)</t>
        </is>
      </c>
      <c r="J162" s="31" t="inlineStr">
        <is>
          <t>Сегодня у Благотворительного фонда «Дети Марии» день рождения — нам исполняется 28 лет! ❤• Это наш общий праздник, очень благодарны всем вам — друзьям, сторонникам, волонтёрам за помощь и вклад в нашу работу. Картина как иллюстрация к нашему день рожденному посту — особенная. Это...</t>
        </is>
      </c>
    </row>
    <row r="163" ht="30" customHeight="1">
      <c r="A163" s="23" t="n">
        <v>7156</v>
      </c>
      <c r="B163" s="24" t="inlineStr">
        <is>
          <t>2025-04-15</t>
        </is>
      </c>
      <c r="C163" s="25">
        <f>HYPERLINK("https://vk.com/wall-1825701_7156", "Открыть пост")</f>
        <v/>
      </c>
      <c r="D163" s="26" t="inlineStr">
        <is>
          <t>Кулинарные, образовательные и социально-бытовые занятия</t>
        </is>
      </c>
      <c r="E163" s="26" t="inlineStr">
        <is>
          <t>Кулинарные, образовательные и социально-бытовые занятия</t>
        </is>
      </c>
      <c r="F163" s="26" t="inlineStr">
        <is>
          <t>Подопечные фонда «Дети Марии» (общая группа детей и подростков)</t>
        </is>
      </c>
      <c r="G163" s="26" t="inlineStr">
        <is>
          <t>Студия фонда / выездная площадка</t>
        </is>
      </c>
      <c r="H163" s="26" t="inlineStr">
        <is>
          <t>Коммуникативные навыки, эмпатия и тьюторское сопровождение; Медиа, фото/видеосъёмка и культурная медиация</t>
        </is>
      </c>
      <c r="I163" s="27" t="inlineStr">
        <is>
          <t>По формату занятия</t>
        </is>
      </c>
      <c r="J163" s="26" t="inlineStr">
        <is>
          <t>В Благотворительный фонд «Дети Марии» прошел просмотр профилактического видеоролика «Любопытство может быть опасным», опубликованного на официальном канале Rutube Национального антитеррористического комитета (НАК), с последующей разъяснительной беседой о действиях при обнаружении...</t>
        </is>
      </c>
    </row>
    <row r="164" ht="30" customHeight="1">
      <c r="A164" s="28" t="n">
        <v>7155</v>
      </c>
      <c r="B164" s="29" t="inlineStr">
        <is>
          <t>2025-04-15</t>
        </is>
      </c>
      <c r="C164" s="30">
        <f>HYPERLINK("https://vk.com/wall-1825701_7155", "Открыть пост")</f>
        <v/>
      </c>
      <c r="D164" s="31" t="inlineStr">
        <is>
          <t>Кулинарные, образовательные и социально-бытовые занятия</t>
        </is>
      </c>
      <c r="E164" s="31" t="inlineStr">
        <is>
          <t>Кулинарные, образовательные и социально-бытовые занятия; Творческие мастер-классы и художественные студии</t>
        </is>
      </c>
      <c r="F164" s="31" t="inlineStr">
        <is>
          <t>Подростки и взрослые с ментальными особенностями и ОВЗ (ПНИ / Социальные дома); Выпускники интернатов и детских домов (молодые взрослые)</t>
        </is>
      </c>
      <c r="G164" s="31" t="inlineStr">
        <is>
          <t>Студия фонда / выездная площадка</t>
        </is>
      </c>
      <c r="H164" s="31"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 Мобильность, выездное сопровождение и автоволонтёрство</t>
        </is>
      </c>
      <c r="I164" s="32" t="inlineStr">
        <is>
          <t>По формату занятия</t>
        </is>
      </c>
      <c r="J164" s="31" t="inlineStr">
        <is>
          <t>Новости из кулинарной мастерской — важные и очень радостные! В этом месяце нас поддержал бренд продуктов для здорового питания ВкусВилл. Здесь полезное вкусно. Благодаря этой помощи обеспечены продукты для занятий в рамках проекта «Я могу больше — мастерские» на апрель. Это огром...</t>
        </is>
      </c>
    </row>
    <row r="165" ht="30" customHeight="1">
      <c r="A165" s="23" t="n">
        <v>7154</v>
      </c>
      <c r="B165" s="24" t="inlineStr">
        <is>
          <t>2025-04-11</t>
        </is>
      </c>
      <c r="C165" s="25">
        <f>HYPERLINK("https://vk.com/wall-1825701_7154", "Открыть пост")</f>
        <v/>
      </c>
      <c r="D165" s="26" t="inlineStr">
        <is>
          <t>Кулинарные, образовательные и социально-бытовые занятия</t>
        </is>
      </c>
      <c r="E165" s="26" t="inlineStr">
        <is>
          <t>Кулинарные, образовательные и социально-бытовые занятия</t>
        </is>
      </c>
      <c r="F165" s="26" t="inlineStr">
        <is>
          <t>Подопечные фонда «Дети Марии» (общая группа детей и подростков)</t>
        </is>
      </c>
      <c r="G165" s="26" t="inlineStr">
        <is>
          <t>Студия фонда / выездная площадка</t>
        </is>
      </c>
      <c r="H165" s="26" t="inlineStr">
        <is>
          <t>Педагогические и наставнические навыки (кулинария, быт, учёба)</t>
        </is>
      </c>
      <c r="I165" s="27" t="inlineStr">
        <is>
          <t>Да (в тексте)</t>
        </is>
      </c>
      <c r="J165" s="26" t="inlineStr">
        <is>
          <t>В проекте «Хочу больше знать» занимаемся не только чтением, но и прокачкой уверенности в себе 💪😄 Лена, ведущая занятия: «Аня, ты супер!» Аня отвечает: «Ну а кто же я ещё?» #перлы@mariaschildren</t>
        </is>
      </c>
    </row>
    <row r="166" ht="30" customHeight="1">
      <c r="A166" s="28" t="n">
        <v>7153</v>
      </c>
      <c r="B166" s="29" t="inlineStr">
        <is>
          <t>2025-04-10</t>
        </is>
      </c>
      <c r="C166" s="30">
        <f>HYPERLINK("https://vk.com/wall-1825701_7153", "Открыть пост")</f>
        <v/>
      </c>
      <c r="D166" s="31" t="inlineStr">
        <is>
          <t>Ярмарки, фестивали и благотворительные базары</t>
        </is>
      </c>
      <c r="E166" s="31" t="inlineStr">
        <is>
          <t>Ярмарки, фестивали и благотворительные базары; Творческие мастер-классы и художественные студии</t>
        </is>
      </c>
      <c r="F166" s="31" t="inlineStr">
        <is>
          <t>Широкая аудитория, гости и благотворители (открытые события)</t>
        </is>
      </c>
      <c r="G166" s="31" t="inlineStr">
        <is>
          <t>Студия фонда / выездная площадка</t>
        </is>
      </c>
      <c r="H166" s="31" t="inlineStr">
        <is>
          <t>Художественно-прикладные и ремесленные навыки; Коммуникативные навыки, эмпатия и тьюторское сопровождение; Организационные, ивент- и ярмарочные навыки</t>
        </is>
      </c>
      <c r="I166" s="32" t="inlineStr">
        <is>
          <t>По формату занятия</t>
        </is>
      </c>
      <c r="J166" s="31" t="inlineStr">
        <is>
          <t>Приглашаем на Верба Маркет от Seasons of life🌿 С 11 по 13 апреля (пт-вс) на втором этаже ТЦ «Неглинная» традиционно пройдёт Верба Маркет — уютный, как дом перед Пасхой, и вдохновляющий, как первое солнце после долгой зимы. В программе — всё, за что мы любим эти маркеты: • локальн...</t>
        </is>
      </c>
    </row>
    <row r="167" ht="30" customHeight="1">
      <c r="A167" s="23" t="n">
        <v>7118</v>
      </c>
      <c r="B167" s="24" t="inlineStr">
        <is>
          <t>2025-04-09</t>
        </is>
      </c>
      <c r="C167" s="25">
        <f>HYPERLINK("https://vk.com/wall-1825701_7118", "Открыть пост")</f>
        <v/>
      </c>
      <c r="D167" s="26" t="inlineStr">
        <is>
          <t>Ярмарки, фестивали и благотворительные базары</t>
        </is>
      </c>
      <c r="E167" s="26" t="inlineStr">
        <is>
          <t>Ярмарки, фестивали и благотворительные базары; Кулинарные, образовательные и социально-бытовые занятия; Творческие мастер-классы и художественные студии</t>
        </is>
      </c>
      <c r="F167" s="26" t="inlineStr">
        <is>
          <t>Широкая аудитория, гости и благотворители (открытые события)</t>
        </is>
      </c>
      <c r="G167" s="26" t="inlineStr">
        <is>
          <t>Студия фонда / выездная площадка</t>
        </is>
      </c>
      <c r="H167" s="26" t="inlineStr">
        <is>
          <t>Артистические, музыкальные и спортивно-игровые навыки; Организационные, ивент- и ярмарочные навыки</t>
        </is>
      </c>
      <c r="I167" s="27" t="inlineStr">
        <is>
          <t>По формату занятия</t>
        </is>
      </c>
      <c r="J167" s="26" t="inlineStr">
        <is>
          <t>Мы участвуем в Благотворительном фестивале «Город неравнодушных» и приглашаем всех! 🗓• 12 апреля с 11:00 до 20:00 📍 Хлебозавод №9, Бойлерная (м. Дмитровская) На фестивале будет: •• Большая ярмарка с изделиями ручной работы от более 20 благотворительных фондов: украшения, игрушки,...</t>
        </is>
      </c>
    </row>
    <row r="168" ht="30" customHeight="1">
      <c r="A168" s="28" t="n">
        <v>7117</v>
      </c>
      <c r="B168" s="29" t="inlineStr">
        <is>
          <t>2025-04-09</t>
        </is>
      </c>
      <c r="C168" s="30">
        <f>HYPERLINK("https://vk.com/wall-1825701_7117", "Открыть пост")</f>
        <v/>
      </c>
      <c r="D168" s="31" t="inlineStr">
        <is>
          <t>Творческие мастер-классы и художественные студии</t>
        </is>
      </c>
      <c r="E168" s="31" t="inlineStr">
        <is>
          <t>Творческие мастер-классы и художественные студии</t>
        </is>
      </c>
      <c r="F168" s="31" t="inlineStr">
        <is>
          <t>Воспитанники ЦССВ, ДДИ и детских домов-интернатов; Дети и семьи (в т.ч. приёмные семьи и программа в Беслане)</t>
        </is>
      </c>
      <c r="G168" s="31" t="inlineStr">
        <is>
          <t>Беслан, ЦССВ «Хуры тын»</t>
        </is>
      </c>
      <c r="H168"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Мобильность, выездное сопровождение и автоволонтёрство</t>
        </is>
      </c>
      <c r="I168" s="32" t="inlineStr">
        <is>
          <t>По формату занятия</t>
        </is>
      </c>
      <c r="J168" s="31" t="inlineStr">
        <is>
          <t>Беслан. День второй. Поездка в ЦССВ «Хуры тын» (центр содействия семейному воспитанию, детский дом) во Владикавказе. Нас там очень ждали! Мы приехали, и сразу поняли: дети помнят. Кто-то — поездку трёхлетней давности, кто-то — даже пятилетней. А некоторые встречали нас в других у...</t>
        </is>
      </c>
    </row>
    <row r="169" ht="30" customHeight="1">
      <c r="A169" s="23" t="n">
        <v>7114</v>
      </c>
      <c r="B169" s="24" t="inlineStr">
        <is>
          <t>2025-04-07</t>
        </is>
      </c>
      <c r="C169" s="25">
        <f>HYPERLINK("https://vk.com/wall-1825701_7114", "Открыть пост")</f>
        <v/>
      </c>
      <c r="D169" s="26" t="inlineStr">
        <is>
          <t>Творческие мастер-классы и художественные студии</t>
        </is>
      </c>
      <c r="E169" s="26" t="inlineStr">
        <is>
          <t>Творческие мастер-классы и художественные студии</t>
        </is>
      </c>
      <c r="F169" s="26" t="inlineStr">
        <is>
          <t>Воспитанники ЦССВ, ДДИ и детских домов-интернатов; Дети и семьи (в т.ч. приёмные семьи и программа в Беслане)</t>
        </is>
      </c>
      <c r="G169" s="26" t="inlineStr">
        <is>
          <t>Беслан</t>
        </is>
      </c>
      <c r="H169" s="26" t="inlineStr">
        <is>
          <t>Художественно-прикладные и ремесленные навыки; Коммуникативные навыки, эмпатия и тьюторское сопровождение; Мобильность, выездное сопровождение и автоволонтёрство; Медиа, фото/видеосъёмка и культурная медиация</t>
        </is>
      </c>
      <c r="I169" s="27" t="inlineStr">
        <is>
          <t>Да (в тексте)</t>
        </is>
      </c>
      <c r="J169" s="26" t="inlineStr">
        <is>
          <t>Мы снова в Беслане! Команда «Дети Марии» во главе с Марией Елисеевой, волонтёрами и друзьями фонда приехала в Северную Осетию — туда, где нас всегда ждут, и куда мы возвращаемся с особым чувством. Вот уже 18 лет мы приезжаем в Беслан — и каждый раз неделя наполнена до краёв: встр...</t>
        </is>
      </c>
    </row>
    <row r="170" ht="30" customHeight="1">
      <c r="A170" s="28" t="n">
        <v>7111</v>
      </c>
      <c r="B170" s="29" t="inlineStr">
        <is>
          <t>2025-03-31</t>
        </is>
      </c>
      <c r="C170" s="30">
        <f>HYPERLINK("https://vk.com/wall-1825701_7111", "Открыть пост")</f>
        <v/>
      </c>
      <c r="D170" s="31" t="inlineStr">
        <is>
          <t>Творческие мастер-классы и художественные студии</t>
        </is>
      </c>
      <c r="E170" s="31" t="inlineStr">
        <is>
          <t>Творческие мастер-классы и художественные студии; Кулинарные, образовательные и социально-бытовые занятия</t>
        </is>
      </c>
      <c r="F170" s="31" t="inlineStr">
        <is>
          <t>Подростки и взрослые с ментальными особенностями и ОВЗ (ПНИ / Социальные дома); Воспитанники ЦССВ, ДДИ и детских домов-интернатов</t>
        </is>
      </c>
      <c r="G170" s="31" t="inlineStr">
        <is>
          <t>ЦССВ «Сколковский»</t>
        </is>
      </c>
      <c r="H170" s="31"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t>
        </is>
      </c>
      <c r="I170" s="32" t="inlineStr">
        <is>
          <t>Да (в тексте)</t>
        </is>
      </c>
      <c r="J170" s="31" t="inlineStr">
        <is>
          <t>А вы тоже замечали, как смена обстановки всё меняет? У нас в «Арт-лаборатории» — именно так и случилось! Пока в студии на Новинском бульваре идёт ремонт, дети из ЦССВ «Сколковский» приезжают на занятия на Дмитровку. А здесь кипит жизнь: по пятницам в мастерских занимаются взрослы...</t>
        </is>
      </c>
    </row>
    <row r="171" ht="30" customHeight="1">
      <c r="A171" s="23" t="n">
        <v>7110</v>
      </c>
      <c r="B171" s="24" t="inlineStr">
        <is>
          <t>2025-03-23</t>
        </is>
      </c>
      <c r="C171" s="25">
        <f>HYPERLINK("https://vk.com/wall-1825701_7110", "Открыть пост")</f>
        <v/>
      </c>
      <c r="D171" s="26" t="inlineStr">
        <is>
          <t>Творческие мастер-классы и художественные студии</t>
        </is>
      </c>
      <c r="E171" s="26" t="inlineStr">
        <is>
          <t>Творческие мастер-классы и художественные студии; Праздники, дни рождения и клубные встречи</t>
        </is>
      </c>
      <c r="F171" s="26" t="inlineStr">
        <is>
          <t>Подопечные фонда «Дети Марии» (общая группа детей и подростков)</t>
        </is>
      </c>
      <c r="G171" s="26" t="inlineStr">
        <is>
          <t>Студия фонда / выездная площадка</t>
        </is>
      </c>
      <c r="H171" s="26" t="inlineStr">
        <is>
          <t>Художественно-прикладные и ремесленные навыки</t>
        </is>
      </c>
      <c r="I171" s="27" t="inlineStr">
        <is>
          <t>По формату занятия</t>
        </is>
      </c>
      <c r="J171" s="26" t="inlineStr">
        <is>
          <t>20 марта у нас в Благотворительном фонде «Дети Марии» прошёл мастер-класс «Традиции празднования весны в славянской культуре» 🌿☀• На занятии говорили о том, как на Руси встречали весну, какие обычаи с этим были связаны, а еще создавали изделия из шерсти в технике сухого валяния. ...</t>
        </is>
      </c>
    </row>
    <row r="172" ht="30" customHeight="1">
      <c r="A172" s="28" t="n">
        <v>7109</v>
      </c>
      <c r="B172" s="29" t="inlineStr">
        <is>
          <t>2025-03-21</t>
        </is>
      </c>
      <c r="C172" s="30">
        <f>HYPERLINK("https://vk.com/wall-1825701_7109", "Открыть пост")</f>
        <v/>
      </c>
      <c r="D172" s="31" t="inlineStr">
        <is>
          <t>Кулинарные, образовательные и социально-бытовые занятия</t>
        </is>
      </c>
      <c r="E172" s="31" t="inlineStr">
        <is>
          <t>Кулинарные, образовательные и социально-бытовые занятия; Творческие мастер-классы и художественные студии</t>
        </is>
      </c>
      <c r="F172" s="31" t="inlineStr">
        <is>
          <t>Подростки и взрослые с ментальными особенностями и ОВЗ (ПНИ / Социальные дома)</t>
        </is>
      </c>
      <c r="G172" s="31" t="inlineStr">
        <is>
          <t>ТВЕРСКАЯ 15</t>
        </is>
      </c>
      <c r="H172" s="31"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 Мобильность, выездное сопровождение и автоволонтёрство; Медиа, фото/видеосъёмка и культурная медиация</t>
        </is>
      </c>
      <c r="I172" s="32" t="inlineStr">
        <is>
          <t>Да (в тексте)</t>
        </is>
      </c>
      <c r="J172" s="31" t="inlineStr">
        <is>
          <t>«Я МОГУ БОЛЬШЕ» теперь в БФ «Дети Марии»! 💙 С января 2025 года группа проектов «Я МОГУ БОЛЬШЕ» в полном объеме перешла из Инклюзивного культурного центра «ТВЕРСКАЯ 15» в Благотворительный фонд «Дети Марии» с сохранением всех участников и команды проекта 🎉 Мы верим, что каждый чел...</t>
        </is>
      </c>
    </row>
    <row r="173" ht="30" customHeight="1">
      <c r="A173" s="23" t="n">
        <v>7106</v>
      </c>
      <c r="B173" s="24" t="inlineStr">
        <is>
          <t>2025-03-18</t>
        </is>
      </c>
      <c r="C173" s="25">
        <f>HYPERLINK("https://vk.com/wall-1825701_7106", "Открыть пост")</f>
        <v/>
      </c>
      <c r="D173" s="26" t="inlineStr">
        <is>
          <t>Кулинарные, образовательные и социально-бытовые занятия</t>
        </is>
      </c>
      <c r="E173" s="26" t="inlineStr">
        <is>
          <t>Кулинарные, образовательные и социально-бытовые занятия</t>
        </is>
      </c>
      <c r="F173" s="26" t="inlineStr">
        <is>
          <t>Широкая аудитория, гости и благотворители (открытые события)</t>
        </is>
      </c>
      <c r="G173" s="26" t="inlineStr">
        <is>
          <t>Студия фонда / выездная площадка</t>
        </is>
      </c>
      <c r="H173" s="26" t="inlineStr">
        <is>
          <t>Коммуникативные навыки, эмпатия и тьюторское сопровождение; Педагогические и наставнические навыки (кулинария, быт, учёба)</t>
        </is>
      </c>
      <c r="I173" s="27" t="inlineStr">
        <is>
          <t>По формату занятия</t>
        </is>
      </c>
      <c r="J173" s="26" t="inlineStr">
        <is>
          <t>🎬 16 марта в Благотворительном фонде «Дети Марии» прошел открытый киноклуб на тему «Весна в советской и российской мультипликации». Вместе пересмотрели мультфильмы, знакомые многим с детства, а юные зрители открыли их для себя впервые. Обсуждали, как по-разному советские и соврем...</t>
        </is>
      </c>
    </row>
    <row r="174" ht="30" customHeight="1">
      <c r="A174" s="28" t="n">
        <v>7105</v>
      </c>
      <c r="B174" s="29" t="inlineStr">
        <is>
          <t>2025-03-16</t>
        </is>
      </c>
      <c r="C174" s="30">
        <f>HYPERLINK("https://vk.com/wall-1825701_7105", "Открыть пост")</f>
        <v/>
      </c>
      <c r="D174" s="31" t="inlineStr">
        <is>
          <t>Выездные лагеря, дача и сезонные программы</t>
        </is>
      </c>
      <c r="E174" s="31" t="inlineStr">
        <is>
          <t>Выездные лагеря, дача и сезонные программы</t>
        </is>
      </c>
      <c r="F174" s="31" t="inlineStr">
        <is>
          <t>Воспитанники ЦССВ, ДДИ и детских домов-интернатов; Выпускники интернатов и детских домов (молодые взрослые)</t>
        </is>
      </c>
      <c r="G174" s="31" t="inlineStr">
        <is>
          <t>Студия фонда / выездная площадка</t>
        </is>
      </c>
      <c r="H174" s="31" t="inlineStr">
        <is>
          <t>Коммуникативные навыки, эмпатия и тьюторское сопровождение; Мобильность, выездное сопровождение и автоволонтёрство</t>
        </is>
      </c>
      <c r="I174" s="32" t="inlineStr">
        <is>
          <t>По формату занятия</t>
        </is>
      </c>
      <c r="J174" s="31" t="inlineStr">
        <is>
          <t>Что нового в клубе «Пеликан»? «Пеликан» появился в 2008 году для тех, кто вырос вместе с нами — для выпускников детских домов, которые занимались в нашей художественной студии. Сейчас они учатся и работают, идут своим путём, но продолжают поддерживать связь с БФ «Дети Марии»: при...</t>
        </is>
      </c>
    </row>
    <row r="175" ht="30" customHeight="1">
      <c r="A175" s="23" t="n">
        <v>7103</v>
      </c>
      <c r="B175" s="24" t="inlineStr">
        <is>
          <t>2025-03-16</t>
        </is>
      </c>
      <c r="C175" s="25">
        <f>HYPERLINK("https://vk.com/wall-1825701_7103", "Открыть пост")</f>
        <v/>
      </c>
      <c r="D175" s="26" t="inlineStr">
        <is>
          <t>Выставки, экскурсии и культурные выходы</t>
        </is>
      </c>
      <c r="E175" s="26" t="inlineStr">
        <is>
          <t>Выставки, экскурсии и культурные выходы; Ярмарки, фестивали и благотворительные базары</t>
        </is>
      </c>
      <c r="F175" s="26" t="inlineStr">
        <is>
          <t>Широкая аудитория, гости и благотворители (открытые события)</t>
        </is>
      </c>
      <c r="G175" s="26" t="inlineStr">
        <is>
          <t>Студия фонда / выездная площадка</t>
        </is>
      </c>
      <c r="H175" s="26" t="inlineStr">
        <is>
          <t>Коммуникативные навыки, эмпатия и тьюторское сопровождение; Организационные, ивент- и ярмарочные навыки</t>
        </is>
      </c>
      <c r="I175" s="27" t="inlineStr">
        <is>
          <t>По формату занятия</t>
        </is>
      </c>
      <c r="J175" s="26" t="inlineStr">
        <is>
          <t>Друзья, мы участвуем в весенней выставке «АРТ БАЗАР: Стиль и Комфорт» Арт Стиль Маркет | Выставки - ярмарки г. Москва и приглашаем вас! Выставка пройдёт: 🗓• с 20 по 23 марта; 📍в пространстве «Тишинка» (Т-Модуль, 2 этаж) — по адресу: Москва, Тишинская площадь, 1с1, A, метро Белору...</t>
        </is>
      </c>
    </row>
    <row r="176" ht="30" customHeight="1">
      <c r="A176" s="28" t="n">
        <v>7100</v>
      </c>
      <c r="B176" s="29" t="inlineStr">
        <is>
          <t>2025-03-03</t>
        </is>
      </c>
      <c r="C176" s="30">
        <f>HYPERLINK("https://vk.com/wall-1825701_7100", "Открыть пост")</f>
        <v/>
      </c>
      <c r="D176" s="31" t="inlineStr">
        <is>
          <t>Ярмарки, фестивали и благотворительные базары</t>
        </is>
      </c>
      <c r="E176" s="31" t="inlineStr">
        <is>
          <t>Ярмарки, фестивали и благотворительные базары; Творческие мастер-классы и художественные студии</t>
        </is>
      </c>
      <c r="F176" s="31" t="inlineStr">
        <is>
          <t>Подростки и взрослые с ментальными особенностями и ОВЗ (ПНИ / Социальные дома)</t>
        </is>
      </c>
      <c r="G176" s="31" t="inlineStr">
        <is>
          <t>Студия фонда / выездная площадка</t>
        </is>
      </c>
      <c r="H176"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t>
        </is>
      </c>
      <c r="I176" s="32" t="inlineStr">
        <is>
          <t>По формату занятия</t>
        </is>
      </c>
      <c r="J176" s="31" t="inlineStr">
        <is>
          <t>Приглашаем на весеннюю благотворительную ярмарку в Москва-Сити! 🏙 Где и когда? 🗓 5 марта (среда) с 11:00 до 16:00 📍 Башня на Набережной (Пресненская набережная, дом 10, Москва) Эта ярмарка — про особенные вещи с историей. Здесь вы сможете не только выбрать уникальные авторские из...</t>
        </is>
      </c>
    </row>
    <row r="177" ht="30" customHeight="1">
      <c r="A177" s="23" t="n">
        <v>7098</v>
      </c>
      <c r="B177" s="24" t="inlineStr">
        <is>
          <t>2025-02-27</t>
        </is>
      </c>
      <c r="C177" s="25">
        <f>HYPERLINK("https://vk.com/wall-1825701_7098", "Открыть пост")</f>
        <v/>
      </c>
      <c r="D177" s="26" t="inlineStr">
        <is>
          <t>Творческие мастер-классы и художественные студии</t>
        </is>
      </c>
      <c r="E177" s="26" t="inlineStr">
        <is>
          <t>Творческие мастер-классы и художественные студии; Праздники, дни рождения и клубные встречи</t>
        </is>
      </c>
      <c r="F177" s="26" t="inlineStr">
        <is>
          <t>Воспитанники ЦССВ, ДДИ и детских домов-интернатов</t>
        </is>
      </c>
      <c r="G177" s="26" t="inlineStr">
        <is>
          <t>ЦССВ «Радуга»</t>
        </is>
      </c>
      <c r="H177" s="26" t="inlineStr">
        <is>
          <t>Художественно-прикладные и ремесленные навыки; Коммуникативные навыки, эмпатия и тьюторское сопровождение; Организационные, ивент- и ярмарочные навыки</t>
        </is>
      </c>
      <c r="I177" s="27" t="inlineStr">
        <is>
          <t>По формату занятия</t>
        </is>
      </c>
      <c r="J177" s="26" t="inlineStr">
        <is>
          <t>Весна уже в воздухе! 🌱🌷 А вместе с ней — новый этап в «Арт-лаборатории»! 👀 Кто занимается в «Арт-лаборатории»? Напомним, что к нам на занятия приезжают ребята из центров содействия семейному воспитанию (ЦССВ), на фото как раз — дети из ЦССВ «Радуга»: одна группа осваивает сухое в...</t>
        </is>
      </c>
    </row>
    <row r="178" ht="30" customHeight="1">
      <c r="A178" s="28" t="n">
        <v>7096</v>
      </c>
      <c r="B178" s="29" t="inlineStr">
        <is>
          <t>2025-02-25</t>
        </is>
      </c>
      <c r="C178" s="30">
        <f>HYPERLINK("https://vk.com/wall-1825701_7096", "Открыть пост")</f>
        <v/>
      </c>
      <c r="D178" s="31" t="inlineStr">
        <is>
          <t>Творческие мастер-классы и художественные студии</t>
        </is>
      </c>
      <c r="E178" s="31" t="inlineStr">
        <is>
          <t>Творческие мастер-классы и художественные студии</t>
        </is>
      </c>
      <c r="F178" s="31" t="inlineStr">
        <is>
          <t>Подопечные фонда «Дети Марии» (общая группа детей и подростков)</t>
        </is>
      </c>
      <c r="G178" s="31" t="inlineStr">
        <is>
          <t>Студия фонда / выездная площадка</t>
        </is>
      </c>
      <c r="H178" s="31" t="inlineStr">
        <is>
          <t>Художественно-прикладные и ремесленные навыки</t>
        </is>
      </c>
      <c r="I178" s="32" t="inlineStr">
        <is>
          <t>По формату занятия</t>
        </is>
      </c>
      <c r="J178" s="31" t="inlineStr">
        <is>
          <t>Тёплый мастер-класс в День Святого Валентина 🥰 В этот день команда Благотворительный фонд «Дети Марии» провела творческую встречу для участников наших программ и жителей Пресненского района, где каждый смог выразить свои чувства через искусство. Мы создавали открытки ручной работ...</t>
        </is>
      </c>
    </row>
    <row r="179" ht="30" customHeight="1">
      <c r="A179" s="23" t="n">
        <v>7094</v>
      </c>
      <c r="B179" s="24" t="inlineStr">
        <is>
          <t>2025-02-22</t>
        </is>
      </c>
      <c r="C179" s="25">
        <f>HYPERLINK("https://vk.com/wall-1825701_7094", "Открыть пост")</f>
        <v/>
      </c>
      <c r="D179" s="26" t="inlineStr">
        <is>
          <t>Творческие мастер-классы и художественные студии</t>
        </is>
      </c>
      <c r="E179" s="26" t="inlineStr">
        <is>
          <t>Творческие мастер-классы и художественные студии; Кулинарные, образовательные и социально-бытовые занятия</t>
        </is>
      </c>
      <c r="F179" s="26" t="inlineStr">
        <is>
          <t>Воспитанники ЦССВ, ДДИ и детских домов-интернатов</t>
        </is>
      </c>
      <c r="G179" s="26" t="inlineStr">
        <is>
          <t>ЦССВ «Радуга»</t>
        </is>
      </c>
      <c r="H179" s="26" t="inlineStr">
        <is>
          <t>Художественно-прикладные и ремесленные навыки; Педагогические и наставнические навыки (кулинария, быт, учёба)</t>
        </is>
      </c>
      <c r="I179" s="27" t="inlineStr">
        <is>
          <t>По формату занятия</t>
        </is>
      </c>
      <c r="J179" s="26" t="inlineStr">
        <is>
          <t>Дети из ЦССВ «Радуга» приехали к нам на занятие, в этот раз их ждало кое-что неожиданное! 🤫 📌 Первая часть — творческая. Мы расстелили на столах огромные листы крафтовой бумаги и нарисовали на них тарелки. Дальше каждый украсил свою тарелку орнаментами разных народов мира, которы...</t>
        </is>
      </c>
    </row>
    <row r="180" ht="30" customHeight="1">
      <c r="A180" s="28" t="n">
        <v>7091</v>
      </c>
      <c r="B180" s="29" t="inlineStr">
        <is>
          <t>2025-02-21</t>
        </is>
      </c>
      <c r="C180" s="30">
        <f>HYPERLINK("https://vk.com/wall-1825701_7091", "Открыть пост")</f>
        <v/>
      </c>
      <c r="D180" s="31" t="inlineStr">
        <is>
          <t>Кулинарные, образовательные и социально-бытовые занятия</t>
        </is>
      </c>
      <c r="E180" s="31" t="inlineStr">
        <is>
          <t>Кулинарные, образовательные и социально-бытовые занятия</t>
        </is>
      </c>
      <c r="F180" s="31" t="inlineStr">
        <is>
          <t>Подопечные фонда «Дети Марии» (общая группа детей и подростков)</t>
        </is>
      </c>
      <c r="G180" s="31" t="inlineStr">
        <is>
          <t>Студия фонда / выездная площадка</t>
        </is>
      </c>
      <c r="H180" s="31" t="inlineStr">
        <is>
          <t>Педагогические и наставнические навыки (кулинария, быт, учёба)</t>
        </is>
      </c>
      <c r="I180" s="32" t="inlineStr">
        <is>
          <t>По формату занятия</t>
        </is>
      </c>
      <c r="J180" s="31" t="inlineStr">
        <is>
          <t>Продолжаем любимую рубрику #перлы@mariaschildren 😂♥• В проекте «Хочу больше знать» продолжаются занятия: Антон учит математику онлайн с преподавателем Натальей. Антон: 💬 «Здравствуй, Таня!» Наташа: 💬 «Привет, Антон. Ты перепутал, я Наташа!» Антон: 💬 «А, точно, забыл. О, котик при...</t>
        </is>
      </c>
    </row>
    <row r="181" ht="30" customHeight="1">
      <c r="A181" s="23" t="n">
        <v>7088</v>
      </c>
      <c r="B181" s="24" t="inlineStr">
        <is>
          <t>2025-02-18</t>
        </is>
      </c>
      <c r="C181" s="25">
        <f>HYPERLINK("https://vk.com/wall-1825701_7088", "Открыть пост")</f>
        <v/>
      </c>
      <c r="D181" s="26" t="inlineStr">
        <is>
          <t>Выездные лагеря, дача и сезонные программы</t>
        </is>
      </c>
      <c r="E181" s="26" t="inlineStr">
        <is>
          <t>Выездные лагеря, дача и сезонные программы; Спектакли, концерты и музыкально-театральные занятия; Спортивные и активные мероприятия; Творческие мастер-классы и художественные студии</t>
        </is>
      </c>
      <c r="F181" s="26" t="inlineStr">
        <is>
          <t>Подростки и взрослые с ментальными особенностями и ОВЗ (ПНИ / Социальные дома); Выпускники интернатов и детских домов (молодые взрослые)</t>
        </is>
      </c>
      <c r="G181" s="26" t="inlineStr">
        <is>
          <t>Сорочаны, Сорочанах, СорочаныДетиМарии</t>
        </is>
      </c>
      <c r="H181"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Мобильность, выездное сопровождение и автоволонтёрство; Медиа, фото/видеосъёмка и культурная медиация</t>
        </is>
      </c>
      <c r="I181" s="27" t="inlineStr">
        <is>
          <t>Да (в тексте)</t>
        </is>
      </c>
      <c r="J181" s="26" t="inlineStr">
        <is>
          <t>Итак, наш зимний выезд в Сорочаны-2025 завершен. И хочется написать вот о чем: зимняя программа — это не только про горные лыжи и активный отдых. Да, мы учились кататься и готовить, рисовали и играли, ставили спектакль — но самое важное происходило между делом. Для детей из детск...</t>
        </is>
      </c>
    </row>
    <row r="182" ht="30" customHeight="1">
      <c r="A182" s="28" t="n">
        <v>7080</v>
      </c>
      <c r="B182" s="29" t="inlineStr">
        <is>
          <t>2025-02-18</t>
        </is>
      </c>
      <c r="C182" s="30">
        <f>HYPERLINK("https://vk.com/wall-1825701_7080", "Открыть пост")</f>
        <v/>
      </c>
      <c r="D182" s="31" t="inlineStr">
        <is>
          <t>Выездные лагеря, дача и сезонные программы</t>
        </is>
      </c>
      <c r="E182" s="31" t="inlineStr">
        <is>
          <t>Выездные лагеря, дача и сезонные программы; Творческие мастер-классы и художественные студии</t>
        </is>
      </c>
      <c r="F182" s="31" t="inlineStr">
        <is>
          <t>Подопечные фонда «Дети Марии» (общая группа детей и подростков)</t>
        </is>
      </c>
      <c r="G182" s="31" t="inlineStr">
        <is>
          <t>Сорочанах, СорочаныДетиМарии</t>
        </is>
      </c>
      <c r="H182" s="31" t="inlineStr">
        <is>
          <t>Педагогические и наставнические навыки (кулинария, быт, учёба)</t>
        </is>
      </c>
      <c r="I182" s="32" t="inlineStr">
        <is>
          <t>Да (в тексте)</t>
        </is>
      </c>
      <c r="J182" s="31" t="inlineStr">
        <is>
          <t>Зимняя программа в Сорочанах-2025 ❄• Каждый день участники помогали в быту: мы вместе готовили обед, накрывали на стол, мыли посуду. И учились новым навыкам! Например, Кристина и Эля освоили нарезку овощей 🥒🍲🍝 Днём на кухне пахло яблоками и корицей 🍏 🥮 Это наш супер-волонтер Тама...</t>
        </is>
      </c>
    </row>
    <row r="183" ht="30" customHeight="1">
      <c r="A183" s="23" t="n">
        <v>7078</v>
      </c>
      <c r="B183" s="24" t="inlineStr">
        <is>
          <t>2025-02-12</t>
        </is>
      </c>
      <c r="C183" s="25">
        <f>HYPERLINK("https://vk.com/wall-1825701_7078", "Открыть пост")</f>
        <v/>
      </c>
      <c r="D183" s="26" t="inlineStr">
        <is>
          <t>Выездные лагеря, дача и сезонные программы</t>
        </is>
      </c>
      <c r="E183" s="26" t="inlineStr">
        <is>
          <t>Выездные лагеря, дача и сезонные программы</t>
        </is>
      </c>
      <c r="F183" s="26" t="inlineStr">
        <is>
          <t>Подопечные фонда «Дети Марии» (общая группа детей и подростков)</t>
        </is>
      </c>
      <c r="G183" s="26" t="inlineStr">
        <is>
          <t>Сорочанах, СорочаныДетиМарии</t>
        </is>
      </c>
      <c r="H183" s="26" t="inlineStr">
        <is>
          <t>Мобильность, выездное сопровождение и автоволонтёрство</t>
        </is>
      </c>
      <c r="I183" s="27" t="inlineStr">
        <is>
          <t>По формату занятия</t>
        </is>
      </c>
      <c r="J183" s="26" t="inlineStr">
        <is>
          <t>Утро в Сорочанах: свежий снег и морозный воздух, склоны готовы, мы – тоже! Позавтракали и поехали! ⛷🏂 Второй день Зимней выездной программы #СорочаныДетиМарии Спасибо за фото Sergey Korolyov 📸🤍</t>
        </is>
      </c>
    </row>
    <row r="184" ht="30" customHeight="1">
      <c r="A184" s="28" t="n">
        <v>7068</v>
      </c>
      <c r="B184" s="29" t="inlineStr">
        <is>
          <t>2025-02-11</t>
        </is>
      </c>
      <c r="C184" s="30">
        <f>HYPERLINK("https://vk.com/wall-1825701_7068", "Открыть пост")</f>
        <v/>
      </c>
      <c r="D184" s="31" t="inlineStr">
        <is>
          <t>Выездные лагеря, дача и сезонные программы</t>
        </is>
      </c>
      <c r="E184" s="31" t="inlineStr">
        <is>
          <t>Выездные лагеря, дача и сезонные программы</t>
        </is>
      </c>
      <c r="F184" s="31" t="inlineStr">
        <is>
          <t>Подопечные фонда «Дети Марии» (общая группа детей и подростков)</t>
        </is>
      </c>
      <c r="G184" s="31" t="inlineStr">
        <is>
          <t>Сорочан, СорочаныДетиМарии</t>
        </is>
      </c>
      <c r="H184" s="31" t="inlineStr">
        <is>
          <t>Коммуникативные навыки, эмпатия и тьюторское сопровождение; Артистические, музыкальные и спортивно-игровые навыки; Медиа, фото/видеосъёмка и культурная медиация</t>
        </is>
      </c>
      <c r="I184" s="32" t="inlineStr">
        <is>
          <t>Да (в тексте)</t>
        </is>
      </c>
      <c r="J184" s="31" t="inlineStr">
        <is>
          <t>Сегодня с самого утра наша большая команда лыжников, сноубордистов, саночников и тюбингистов снова в деле! 🎿🏂 Утро началось с легендарной каши Александра Шишова — как говорится, это база! 😄 Каша волшебная: дает заряд сил и энергию на целый день. И сразу после отправились на склон...</t>
        </is>
      </c>
    </row>
    <row r="185" ht="30" customHeight="1">
      <c r="A185" s="23" t="n">
        <v>7066</v>
      </c>
      <c r="B185" s="24" t="inlineStr">
        <is>
          <t>2025-02-08</t>
        </is>
      </c>
      <c r="C185" s="25">
        <f>HYPERLINK("https://vk.com/wall-1825701_7066", "Открыть пост")</f>
        <v/>
      </c>
      <c r="D185" s="26" t="inlineStr">
        <is>
          <t>Творческие мастер-классы и художественные студии</t>
        </is>
      </c>
      <c r="E185" s="26" t="inlineStr">
        <is>
          <t>Творческие мастер-классы и художественные студии</t>
        </is>
      </c>
      <c r="F185" s="26" t="inlineStr">
        <is>
          <t>Воспитанники ЦССВ, ДДИ и детских домов-интернатов</t>
        </is>
      </c>
      <c r="G185" s="26" t="inlineStr">
        <is>
          <t>ЦССВ «Радуга»</t>
        </is>
      </c>
      <c r="H185" s="26" t="inlineStr">
        <is>
          <t>Художественно-прикладные и ремесленные навыки; Артистические, музыкальные и спортивно-игровые навыки; Мобильность, выездное сопровождение и автоволонтёрство; Медиа, фото/видеосъёмка и культурная медиация</t>
        </is>
      </c>
      <c r="I185" s="27" t="inlineStr">
        <is>
          <t>По формату занятия</t>
        </is>
      </c>
      <c r="J185" s="26" t="inlineStr">
        <is>
          <t>Искусство Востока во всей его красоте и разнообразии 🐦‍🔥 С ребятами из ЦССВ «Радуга» мы отправились в один из старейших музеев Москвы — в Государственный музей Востока! Группа художницы Юли Великановой уже давно изучает историю искусства. Мы говорили о Древнем Китае и Индии, а те...</t>
        </is>
      </c>
    </row>
    <row r="186" ht="30" customHeight="1">
      <c r="A186" s="28" t="n">
        <v>7065</v>
      </c>
      <c r="B186" s="29" t="inlineStr">
        <is>
          <t>2025-02-07</t>
        </is>
      </c>
      <c r="C186" s="30">
        <f>HYPERLINK("https://vk.com/wall-1825701_7065", "Открыть пост")</f>
        <v/>
      </c>
      <c r="D186" s="31" t="inlineStr">
        <is>
          <t>Ярмарки, фестивали и благотворительные базары</t>
        </is>
      </c>
      <c r="E186" s="31" t="inlineStr">
        <is>
          <t>Ярмарки, фестивали и благотворительные базары</t>
        </is>
      </c>
      <c r="F186" s="31" t="inlineStr">
        <is>
          <t>Широкая аудитория, гости и благотворители (открытые события)</t>
        </is>
      </c>
      <c r="G186" s="31" t="inlineStr">
        <is>
          <t>Студия фонда / выездная площадка</t>
        </is>
      </c>
      <c r="H186" s="31" t="inlineStr">
        <is>
          <t>Организационные, ивент- и ярмарочные навыки</t>
        </is>
      </c>
      <c r="I186" s="32" t="inlineStr">
        <is>
          <t>По формату занятия</t>
        </is>
      </c>
      <c r="J186" s="31" t="inlineStr">
        <is>
          <t>В эти выходные, 8-9 февраля, мы участвуем в благотворительной ярмарке на Воробьёвых горах! 📍 Адрес: Дворец пионеров на Воробьёвых горах, ул. Косыгина, дом 17. А ещё там работает открытый каток, так что можно совместить приятное с полезным: сначала зарядиться вдохновением на ярмар...</t>
        </is>
      </c>
    </row>
    <row r="187" ht="30" customHeight="1">
      <c r="A187" s="23" t="n">
        <v>7063</v>
      </c>
      <c r="B187" s="24" t="inlineStr">
        <is>
          <t>2025-02-07</t>
        </is>
      </c>
      <c r="C187" s="25">
        <f>HYPERLINK("https://vk.com/wall-1825701_7063", "Открыть пост")</f>
        <v/>
      </c>
      <c r="D187" s="26" t="inlineStr">
        <is>
          <t>Творческие мастер-классы и художественные студии</t>
        </is>
      </c>
      <c r="E187" s="26" t="inlineStr">
        <is>
          <t>Творческие мастер-классы и художественные студии; Кулинарные, образовательные и социально-бытовые занятия</t>
        </is>
      </c>
      <c r="F187" s="26" t="inlineStr">
        <is>
          <t>Широкая аудитория, гости и благотворители (открытые события)</t>
        </is>
      </c>
      <c r="G187" s="26" t="inlineStr">
        <is>
          <t>Студия фонда / выездная площадка</t>
        </is>
      </c>
      <c r="H187" s="26" t="inlineStr">
        <is>
          <t>Художественно-прикладные и ремесленные навыки</t>
        </is>
      </c>
      <c r="I187" s="27" t="inlineStr">
        <is>
          <t>По формату занятия</t>
        </is>
      </c>
      <c r="J187" s="26" t="inlineStr">
        <is>
          <t>В нашем фонде «Дети Марии» состоялся открытый мастер-класс «Русское зодчество». Провели лекцию для участников наших программ и жителей района Пресненский, погрузив слушателей в удивительный мир традиционной русской архитектуры. Узнали много интересного! Например, что: •• Многие д...</t>
        </is>
      </c>
    </row>
    <row r="188" ht="30" customHeight="1">
      <c r="A188" s="28" t="n">
        <v>7060</v>
      </c>
      <c r="B188" s="29" t="inlineStr">
        <is>
          <t>2025-02-03</t>
        </is>
      </c>
      <c r="C188" s="30">
        <f>HYPERLINK("https://vk.com/wall-1825701_7060", "Открыть пост")</f>
        <v/>
      </c>
      <c r="D188" s="31" t="inlineStr">
        <is>
          <t>Творческие мастер-классы и художественные студии</t>
        </is>
      </c>
      <c r="E188" s="31" t="inlineStr">
        <is>
          <t>Творческие мастер-классы и художественные студии; Праздники, дни рождения и клубные встречи</t>
        </is>
      </c>
      <c r="F188" s="31" t="inlineStr">
        <is>
          <t>Подопечные фонда «Дети Марии» (общая группа детей и подростков)</t>
        </is>
      </c>
      <c r="G188" s="31" t="inlineStr">
        <is>
          <t>Студия фонда / выездная площадка</t>
        </is>
      </c>
      <c r="H188" s="31"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 Организационные, ивент- и ярмарочные навыки</t>
        </is>
      </c>
      <c r="I188" s="32" t="inlineStr">
        <is>
          <t>По формату занятия</t>
        </is>
      </c>
      <c r="J188" s="31" t="inlineStr">
        <is>
          <t>Нихао, друзья! 👋🏻 На праздновании Китайского Нового года, организованном управой Пресненского района, команда Благотворительного фонда «Дети Марии» провела мастер-класс «Волшебный мир оригами» 🎏 Преподаватель Ясин научил детей складывать из бумаги разные фигуры — классических жур...</t>
        </is>
      </c>
    </row>
    <row r="189" ht="30" customHeight="1">
      <c r="A189" s="23" t="n">
        <v>7059</v>
      </c>
      <c r="B189" s="24" t="inlineStr">
        <is>
          <t>2025-01-31</t>
        </is>
      </c>
      <c r="C189" s="25">
        <f>HYPERLINK("https://vk.com/wall-1825701_7059", "Открыть пост")</f>
        <v/>
      </c>
      <c r="D189" s="26" t="inlineStr">
        <is>
          <t>Ярмарки, фестивали и благотворительные базары</t>
        </is>
      </c>
      <c r="E189" s="26" t="inlineStr">
        <is>
          <t>Ярмарки, фестивали и благотворительные базары</t>
        </is>
      </c>
      <c r="F189" s="26" t="inlineStr">
        <is>
          <t>Подопечные фонда «Дети Марии» (общая группа детей и подростков)</t>
        </is>
      </c>
      <c r="G189" s="26" t="inlineStr">
        <is>
          <t>Студия фонда / выездная площадка</t>
        </is>
      </c>
      <c r="H189" s="26" t="inlineStr">
        <is>
          <t>Коммуникативные навыки, эмпатия и тьюторское сопровождение; Организационные, ивент- и ярмарочные навыки</t>
        </is>
      </c>
      <c r="I189" s="27" t="inlineStr">
        <is>
          <t>По формату занятия</t>
        </is>
      </c>
      <c r="J189" s="26" t="inlineStr">
        <is>
          <t>Ура! Мы участвуем в благотворительном аукционе Meet For Charity! 🧡 Для поддержки нашего фонда разыгрывается встреча со Светланой Филимоновой, руководителем направления «Ремонт и строительство» в «Авито Услугах». О чем вы узнаете на встрече? Светлана поделится своим опытом построе...</t>
        </is>
      </c>
    </row>
    <row r="190" ht="30" customHeight="1">
      <c r="A190" s="28" t="n">
        <v>7052</v>
      </c>
      <c r="B190" s="29" t="inlineStr">
        <is>
          <t>2025-01-29</t>
        </is>
      </c>
      <c r="C190" s="30">
        <f>HYPERLINK("https://vk.com/wall-1825701_7052", "Открыть пост")</f>
        <v/>
      </c>
      <c r="D190" s="31" t="inlineStr">
        <is>
          <t>Выездные лагеря, дача и сезонные программы</t>
        </is>
      </c>
      <c r="E190" s="31" t="inlineStr">
        <is>
          <t>Выездные лагеря, дача и сезонные программы; Творческие мастер-классы и художественные студии; Праздники, дни рождения и клубные встречи</t>
        </is>
      </c>
      <c r="F190" s="31" t="inlineStr">
        <is>
          <t>Подростки и взрослые с ментальными особенностями и ОВЗ (ПНИ / Социальные дома); Воспитанники ЦССВ, ДДИ и детских домов-интернатов</t>
        </is>
      </c>
      <c r="G190" s="31" t="inlineStr">
        <is>
          <t>социальных домов «Филимонки», ЦССВ «Сколковский»</t>
        </is>
      </c>
      <c r="H190"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Медиа, фото/видеосъёмка и культурная медиация</t>
        </is>
      </c>
      <c r="I190" s="32" t="inlineStr">
        <is>
          <t>Да (в тексте)</t>
        </is>
      </c>
      <c r="J190" s="31" t="inlineStr">
        <is>
          <t>В канун Китайского нового года расскажем вам историю про нашу Большую новогоднюю Арт-субботу! ✨ В загородные мастерские приехала большая команда волонтёров из Яндекс Go вместе с флористом Алёной, а в руках у всех — коробки, пакеты, свёртки: еловые ветви, пихта, елочные игрушки… Ч...</t>
        </is>
      </c>
    </row>
    <row r="191" ht="30" customHeight="1">
      <c r="A191" s="23" t="n">
        <v>7049</v>
      </c>
      <c r="B191" s="24" t="inlineStr">
        <is>
          <t>2025-01-21</t>
        </is>
      </c>
      <c r="C191" s="25">
        <f>HYPERLINK("https://vk.com/wall-1825701_7049", "Открыть пост")</f>
        <v/>
      </c>
      <c r="D191" s="26" t="inlineStr">
        <is>
          <t>Творческие мастер-классы и художественные студии</t>
        </is>
      </c>
      <c r="E191" s="26" t="inlineStr">
        <is>
          <t>Творческие мастер-классы и художественные студии</t>
        </is>
      </c>
      <c r="F191" s="26" t="inlineStr">
        <is>
          <t>Подопечные фонда «Дети Марии» (общая группа детей и подростков)</t>
        </is>
      </c>
      <c r="G191" s="26" t="inlineStr">
        <is>
          <t>Студия фонда / выездная площадка</t>
        </is>
      </c>
      <c r="H191" s="26" t="inlineStr">
        <is>
          <t>Коммуникативные навыки, эмпатия и тьюторское сопровождение</t>
        </is>
      </c>
      <c r="I191" s="27" t="inlineStr">
        <is>
          <t>По формату занятия</t>
        </is>
      </c>
      <c r="J191" s="26" t="inlineStr">
        <is>
          <t>Январь в нашем фонде выдался насыщенным: встречи, беседы и мастер-классы. 17 января мы провели мастер-класс «Традиционные костюмы народов России» для участников наших программ, благополучателей нашего фонда и жителей Пресненского района. Участники узнали о разнообразии национальн...</t>
        </is>
      </c>
    </row>
    <row r="192" ht="30" customHeight="1">
      <c r="A192" s="28" t="n">
        <v>7048</v>
      </c>
      <c r="B192" s="29" t="inlineStr">
        <is>
          <t>2025-01-20</t>
        </is>
      </c>
      <c r="C192" s="30">
        <f>HYPERLINK("https://vk.com/wall-1825701_7048", "Открыть пост")</f>
        <v/>
      </c>
      <c r="D192" s="31" t="inlineStr">
        <is>
          <t>Кулинарные, образовательные и социально-бытовые занятия</t>
        </is>
      </c>
      <c r="E192" s="31" t="inlineStr">
        <is>
          <t>Кулинарные, образовательные и социально-бытовые занятия</t>
        </is>
      </c>
      <c r="F192" s="31" t="inlineStr">
        <is>
          <t>Дети и семьи (в т.ч. приёмные семьи и программа в Беслане)</t>
        </is>
      </c>
      <c r="G192" s="31" t="inlineStr">
        <is>
          <t>Беслан</t>
        </is>
      </c>
      <c r="H192" s="31" t="inlineStr">
        <is>
          <t>Коммуникативные навыки, эмпатия и тьюторское сопровождение; Педагогические и наставнические навыки (кулинария, быт, учёба)</t>
        </is>
      </c>
      <c r="I192" s="32" t="inlineStr">
        <is>
          <t>Да (в тексте)</t>
        </is>
      </c>
      <c r="J192" s="31" t="inlineStr">
        <is>
          <t>У нас состоялся разговор: память о трагедии в Беслане 16 января мы с волонтёрами и педагогами Благотворительного фонда «Дети Марии» собрались и провели просветительскую беседу для участников наших программ и жителей района Пресненский. Благотворительный фонд «Дети Марии» каждый г...</t>
        </is>
      </c>
    </row>
    <row r="193" ht="30" customHeight="1">
      <c r="A193" s="23" t="n">
        <v>7037</v>
      </c>
      <c r="B193" s="24" t="inlineStr">
        <is>
          <t>2025-01-14</t>
        </is>
      </c>
      <c r="C193" s="25">
        <f>HYPERLINK("https://vk.com/wall-1825701_7037", "Открыть пост")</f>
        <v/>
      </c>
      <c r="D193" s="26" t="inlineStr">
        <is>
          <t>Выставки, экскурсии и культурные выходы</t>
        </is>
      </c>
      <c r="E193" s="26" t="inlineStr">
        <is>
          <t>Выставки, экскурсии и культурные выходы; Творческие мастер-классы и художественные студии</t>
        </is>
      </c>
      <c r="F193" s="26" t="inlineStr">
        <is>
          <t>Воспитанники ЦССВ, ДДИ и детских домов-интернатов</t>
        </is>
      </c>
      <c r="G193" s="26" t="inlineStr">
        <is>
          <t>ЦССВ «Радуга»</t>
        </is>
      </c>
      <c r="H193"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Мобильность, выездное сопровождение и автоволонтёрство; Медиа, фото/видеосъёмка и культурная медиация</t>
        </is>
      </c>
      <c r="I193" s="27" t="inlineStr">
        <is>
          <t>Да (в тексте)</t>
        </is>
      </c>
      <c r="J193" s="26" t="inlineStr">
        <is>
          <t>Новогодняя поездка в гости в «Радугу» 🩵 Всю осень и весь декабрь ребята из ЦССВ «Радуга» приезжали к нам на занятия: изучали «Историю искусства», ходили в музеи и придумывали собственные миры на занятиях по «сторителлингу». Но перед Новым годом в гости к детям решили приехать мы!...</t>
        </is>
      </c>
    </row>
    <row r="194" ht="30" customHeight="1">
      <c r="A194" s="28" t="n">
        <v>7035</v>
      </c>
      <c r="B194" s="29" t="inlineStr">
        <is>
          <t>2025-01-13</t>
        </is>
      </c>
      <c r="C194" s="30">
        <f>HYPERLINK("https://vk.com/wall-1825701_7035", "Открыть пост")</f>
        <v/>
      </c>
      <c r="D194" s="31" t="inlineStr">
        <is>
          <t>Спектакли, концерты и музыкально-театральные занятия</t>
        </is>
      </c>
      <c r="E194" s="31" t="inlineStr">
        <is>
          <t>Спектакли, концерты и музыкально-театральные занятия</t>
        </is>
      </c>
      <c r="F194" s="31" t="inlineStr">
        <is>
          <t>Выпускники интернатов и детских домов (молодые взрослые)</t>
        </is>
      </c>
      <c r="G194" s="31" t="inlineStr">
        <is>
          <t>Студия фонда / выездная площадка</t>
        </is>
      </c>
      <c r="H194" s="31" t="inlineStr">
        <is>
          <t>Коммуникативные навыки, эмпатия и тьюторское сопровождение; Артистические, музыкальные и спортивно-игровые навыки; Медиа, фото/видеосъёмка и культурная медиация</t>
        </is>
      </c>
      <c r="I194" s="32" t="inlineStr">
        <is>
          <t>По формату занятия</t>
        </is>
      </c>
      <c r="J194" s="31" t="inlineStr">
        <is>
          <t>Старый Новый год — лучшее время вспомнить наши новогодние «ёлки», тем более, что их было несколько, и каждая запомнилась своей атмосферой! 🎄 Начнём с исполнения мечты: дети наших выпускников побывали на Новогодней ёлке в Кремлёвском дворце! Яркое новогоднее представление, захваты...</t>
        </is>
      </c>
    </row>
    <row r="195" ht="30" customHeight="1">
      <c r="A195" s="23" t="n">
        <v>7034</v>
      </c>
      <c r="B195" s="24" t="inlineStr">
        <is>
          <t>2025-01-06</t>
        </is>
      </c>
      <c r="C195" s="25">
        <f>HYPERLINK("https://vk.com/wall-1825701_7034", "Открыть пост")</f>
        <v/>
      </c>
      <c r="D195" s="26" t="inlineStr">
        <is>
          <t>Ярмарки, фестивали и благотворительные базары</t>
        </is>
      </c>
      <c r="E195" s="26" t="inlineStr">
        <is>
          <t>Ярмарки, фестивали и благотворительные базары</t>
        </is>
      </c>
      <c r="F195" s="26" t="inlineStr">
        <is>
          <t>Подопечные фонда «Дети Марии» (общая группа детей и подростков)</t>
        </is>
      </c>
      <c r="G195" s="26" t="inlineStr">
        <is>
          <t>Студия фонда / выездная площадка</t>
        </is>
      </c>
      <c r="H195" s="26" t="inlineStr">
        <is>
          <t>Организационные, ивент- и ярмарочные навыки</t>
        </is>
      </c>
      <c r="I195" s="27" t="inlineStr">
        <is>
          <t>По формату занятия</t>
        </is>
      </c>
      <c r="J195" s="26" t="inlineStr">
        <is>
          <t>Друзья, в эти предрождественские дни приезжайте погулять на Воробьевы горы и заодно — приходите навестить нас на фестивале «Зима на Воробьевых»! ❄•☃• Это — одно из лучших мест для зимнего досуга всей семьей: вас ждут катание в упряжках с хаски, экоферма с оленями и ламами, беспла...</t>
        </is>
      </c>
    </row>
    <row r="196" ht="30" customHeight="1">
      <c r="A196" s="28" t="n">
        <v>7022</v>
      </c>
      <c r="B196" s="29" t="inlineStr">
        <is>
          <t>2024-12-19</t>
        </is>
      </c>
      <c r="C196" s="30">
        <f>HYPERLINK("https://vk.com/wall-1825701_7022", "Открыть пост")</f>
        <v/>
      </c>
      <c r="D196" s="31" t="inlineStr">
        <is>
          <t>Праздники, дни рождения и клубные встречи</t>
        </is>
      </c>
      <c r="E196" s="31" t="inlineStr">
        <is>
          <t>Праздники, дни рождения и клубные встречи</t>
        </is>
      </c>
      <c r="F196" s="31" t="inlineStr">
        <is>
          <t>Воспитанники ЦССВ, ДДИ и детских домов-интернатов; Широкая аудитория, гости и благотворители (открытые события)</t>
        </is>
      </c>
      <c r="G196" s="31" t="inlineStr">
        <is>
          <t>Студия фонда / выездная площадка</t>
        </is>
      </c>
      <c r="H196" s="31" t="inlineStr">
        <is>
          <t>Художественно-прикладные и ремесленные навыки; Артистические, музыкальные и спортивно-игровые навыки; Медиа, фото/видеосъёмка и культурная медиация</t>
        </is>
      </c>
      <c r="I196" s="32" t="inlineStr">
        <is>
          <t>По формату занятия</t>
        </is>
      </c>
      <c r="J196" s="31" t="inlineStr">
        <is>
          <t>🎄В нашей студии на Дмитровке зажглись огоньки новогодней елки! Вы уже нарядили свою? На этой неделе вместе с ребятами из Центра содействия семейному воспитанию "Радуга" мы собрались на необычное занятие. Или наоборот — ожидаемое в конце декабря? В общем, мы собрались, чтобы своим...</t>
        </is>
      </c>
    </row>
    <row r="197" ht="30" customHeight="1">
      <c r="A197" s="23" t="n">
        <v>7018</v>
      </c>
      <c r="B197" s="24" t="inlineStr">
        <is>
          <t>2024-12-12</t>
        </is>
      </c>
      <c r="C197" s="25">
        <f>HYPERLINK("https://vk.com/wall-1825701_7018", "Открыть пост")</f>
        <v/>
      </c>
      <c r="D197" s="26" t="inlineStr">
        <is>
          <t>Творческие мастер-классы и художественные студии</t>
        </is>
      </c>
      <c r="E197" s="26" t="inlineStr">
        <is>
          <t>Творческие мастер-классы и художественные студии</t>
        </is>
      </c>
      <c r="F197" s="26" t="inlineStr">
        <is>
          <t>Широкая аудитория, гости и благотворители (открытые события)</t>
        </is>
      </c>
      <c r="G197" s="26" t="inlineStr">
        <is>
          <t>Студия фонда / выездная площадка</t>
        </is>
      </c>
      <c r="H197" s="26" t="inlineStr">
        <is>
          <t>Художественно-прикладные и ремесленные навыки</t>
        </is>
      </c>
      <c r="I197" s="27" t="inlineStr">
        <is>
          <t>По формату занятия</t>
        </is>
      </c>
      <c r="J197" s="26" t="inlineStr">
        <is>
          <t>🧤 Открытый мастер-класс по керамике и валянию ждет участников! Встречаемся завтра на Новинском — будем обсуждать интересные новогодние традиции в истории России и примерять их на себя и свое творчество 🌲 И даже если вы никогда не пробовали заниматься керамикой или валянием — увер...</t>
        </is>
      </c>
    </row>
    <row r="198" ht="30" customHeight="1">
      <c r="A198" s="28" t="n">
        <v>7016</v>
      </c>
      <c r="B198" s="29" t="inlineStr">
        <is>
          <t>2024-12-12</t>
        </is>
      </c>
      <c r="C198" s="30">
        <f>HYPERLINK("https://vk.com/wall-1825701_7016", "Открыть пост")</f>
        <v/>
      </c>
      <c r="D198" s="31" t="inlineStr">
        <is>
          <t>Ярмарки, фестивали и благотворительные базары</t>
        </is>
      </c>
      <c r="E198" s="31" t="inlineStr">
        <is>
          <t>Ярмарки, фестивали и благотворительные базары; Спектакли, концерты и музыкально-театральные занятия; Творческие мастер-классы и художественные студии</t>
        </is>
      </c>
      <c r="F198" s="31" t="inlineStr">
        <is>
          <t>Широкая аудитория, гости и благотворители (открытые события)</t>
        </is>
      </c>
      <c r="G198" s="31" t="inlineStr">
        <is>
          <t>Студия фонда / выездная площадка</t>
        </is>
      </c>
      <c r="H198" s="31" t="inlineStr">
        <is>
          <t>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t>
        </is>
      </c>
      <c r="I198" s="32" t="inlineStr">
        <is>
          <t>По формату занятия</t>
        </is>
      </c>
      <c r="J198" s="31" t="inlineStr">
        <is>
          <t>🌲Ждем вас в выходные на праздничной ярмарке! В эту субботу и воскресенье пройдет благотворительная ярмарка в поддержку инклюзивных мастерских «Новый год. Предвкушение» от Открытой кухни. Проект помогает москвичам с особенностями здоровья найти себя на рынке труда. В программе ярм...</t>
        </is>
      </c>
    </row>
    <row r="199" ht="30" customHeight="1">
      <c r="A199" s="23" t="n">
        <v>7014</v>
      </c>
      <c r="B199" s="24" t="inlineStr">
        <is>
          <t>2024-12-10</t>
        </is>
      </c>
      <c r="C199" s="25">
        <f>HYPERLINK("https://vk.com/wall-1825701_7014", "Открыть пост")</f>
        <v/>
      </c>
      <c r="D199" s="26" t="inlineStr">
        <is>
          <t>Творческие мастер-классы и художественные студии</t>
        </is>
      </c>
      <c r="E199" s="26" t="inlineStr">
        <is>
          <t>Творческие мастер-классы и художественные студии</t>
        </is>
      </c>
      <c r="F199" s="26" t="inlineStr">
        <is>
          <t>Подопечные фонда «Дети Марии» (общая группа детей и подростков)</t>
        </is>
      </c>
      <c r="G199" s="26" t="inlineStr">
        <is>
          <t>Студия фонда / выездная площадка</t>
        </is>
      </c>
      <c r="H199" s="26" t="inlineStr">
        <is>
          <t>Художественно-прикладные и ремесленные навыки; Коммуникативные навыки, эмпатия и тьюторское сопровождение</t>
        </is>
      </c>
      <c r="I199" s="27" t="inlineStr">
        <is>
          <t>По формату занятия</t>
        </is>
      </c>
      <c r="J199" s="26" t="inlineStr">
        <is>
          <t>✨Самое время запасаться календарями на 2025 ... и у нас все готово, чтобы порадовать вас и ваших близких! В магазине уже появился наш традиционный настенный календарь с картинами участников арт-занятий. 🎨 На этих картинах столько деталей, что можно каждый день находить что-то нов...</t>
        </is>
      </c>
    </row>
    <row r="200" ht="30" customHeight="1">
      <c r="A200" s="28" t="n">
        <v>7011</v>
      </c>
      <c r="B200" s="29" t="inlineStr">
        <is>
          <t>2024-12-06</t>
        </is>
      </c>
      <c r="C200" s="30">
        <f>HYPERLINK("https://vk.com/wall-1825701_7011", "Открыть пост")</f>
        <v/>
      </c>
      <c r="D200" s="31" t="inlineStr">
        <is>
          <t>Выставки, экскурсии и культурные выходы</t>
        </is>
      </c>
      <c r="E200" s="31" t="inlineStr">
        <is>
          <t>Выставки, экскурсии и культурные выходы; Ярмарки, фестивали и благотворительные базары; Кулинарные, образовательные и социально-бытовые занятия</t>
        </is>
      </c>
      <c r="F200" s="31" t="inlineStr">
        <is>
          <t>Широкая аудитория, гости и благотворители (открытые события)</t>
        </is>
      </c>
      <c r="G200" s="31" t="inlineStr">
        <is>
          <t>Студия фонда / выездная площадка</t>
        </is>
      </c>
      <c r="H200" s="31" t="inlineStr">
        <is>
          <t>Коммуникативные навыки, эмпатия и тьюторское сопровождение; Организационные, ивент- и ярмарочные навыки; Мобильность, выездное сопровождение и автоволонтёрство</t>
        </is>
      </c>
      <c r="I200" s="32" t="inlineStr">
        <is>
          <t>По формату занятия</t>
        </is>
      </c>
      <c r="J200" s="31" t="inlineStr">
        <is>
          <t>🎪Уже завтра! Приглашаем вас на рождественскую ярмарку в Англиканскую церковь св. Андрея в эту субботу. ❄Чего ожидать (помимо настоящего духа Рождества в интернациональной атмосфере): - вы сможете попробовать индийскую, индонезийскую, французскую еду и традиционную британскую выпе...</t>
        </is>
      </c>
    </row>
    <row r="201" ht="30" customHeight="1">
      <c r="A201" s="23" t="n">
        <v>7009</v>
      </c>
      <c r="B201" s="24" t="inlineStr">
        <is>
          <t>2024-12-06</t>
        </is>
      </c>
      <c r="C201" s="25">
        <f>HYPERLINK("https://vk.com/wall-1825701_7009", "Открыть пост")</f>
        <v/>
      </c>
      <c r="D201" s="26" t="inlineStr">
        <is>
          <t>Кулинарные, образовательные и социально-бытовые занятия</t>
        </is>
      </c>
      <c r="E201" s="26" t="inlineStr">
        <is>
          <t>Кулинарные, образовательные и социально-бытовые занятия; Праздники, дни рождения и клубные встречи</t>
        </is>
      </c>
      <c r="F201" s="26" t="inlineStr">
        <is>
          <t>Широкая аудитория, гости и благотворители (открытые события)</t>
        </is>
      </c>
      <c r="G201" s="26" t="inlineStr">
        <is>
          <t>Студия фонда / выездная площадка</t>
        </is>
      </c>
      <c r="H201" s="26" t="inlineStr">
        <is>
          <t>Коммуникативные навыки, эмпатия и тьюторское сопровождение</t>
        </is>
      </c>
      <c r="I201" s="27" t="inlineStr">
        <is>
          <t>По формату занятия</t>
        </is>
      </c>
      <c r="J201" s="26" t="inlineStr">
        <is>
          <t>🧤 Открытый киноклуб на Дмитровке ждет вас в это воскресенье! Мы подготовили праздничную программу — будем создавать новогоднее настроение, узнавать об интересных традициях и примерять их на себя! Приглашаем вас на совместный кинопросмотр — причем, предлагаем не только тематически...</t>
        </is>
      </c>
    </row>
    <row r="202" ht="30" customHeight="1">
      <c r="A202" s="28" t="n">
        <v>7008</v>
      </c>
      <c r="B202" s="29" t="inlineStr">
        <is>
          <t>2024-12-03</t>
        </is>
      </c>
      <c r="C202" s="30">
        <f>HYPERLINK("https://vk.com/wall-1825701_7008", "Открыть пост")</f>
        <v/>
      </c>
      <c r="D202" s="31" t="inlineStr">
        <is>
          <t>Ярмарки, фестивали и благотворительные базары</t>
        </is>
      </c>
      <c r="E202" s="31" t="inlineStr">
        <is>
          <t>Ярмарки, фестивали и благотворительные базары; Выставки, экскурсии и культурные выходы</t>
        </is>
      </c>
      <c r="F202" s="31" t="inlineStr">
        <is>
          <t>Подопечные фонда «Дети Марии» (общая группа детей и подростков)</t>
        </is>
      </c>
      <c r="G202" s="31" t="inlineStr">
        <is>
          <t>Студия фонда / выездная площадка</t>
        </is>
      </c>
      <c r="H202" s="31" t="inlineStr">
        <is>
          <t>Коммуникативные навыки, эмпатия и тьюторское сопровождение; Организационные, ивент- и ярмарочные навыки</t>
        </is>
      </c>
      <c r="I202" s="32" t="inlineStr">
        <is>
          <t>По формату занятия</t>
        </is>
      </c>
      <c r="J202" s="31" t="inlineStr">
        <is>
          <t>Уже сегодня в Музей Москвы открывается благотворительная ярмарка, на которой мы будем с гордостью представлены! Она пройдет в рамках IX научно-практической конференции «Музей в городе — город в музее» и приурочена к #ЩедромуВторнику. Здесь можно будет познакомиться с продукцией р...</t>
        </is>
      </c>
    </row>
    <row r="203" ht="30" customHeight="1">
      <c r="A203" s="23" t="n">
        <v>7006</v>
      </c>
      <c r="B203" s="24" t="inlineStr">
        <is>
          <t>2024-11-29</t>
        </is>
      </c>
      <c r="C203" s="25">
        <f>HYPERLINK("https://vk.com/wall-1825701_7006", "Открыть пост")</f>
        <v/>
      </c>
      <c r="D203" s="26" t="inlineStr">
        <is>
          <t>Творческие мастер-классы и художественные студии</t>
        </is>
      </c>
      <c r="E203" s="26" t="inlineStr">
        <is>
          <t>Творческие мастер-классы и художественные студии</t>
        </is>
      </c>
      <c r="F203" s="26" t="inlineStr">
        <is>
          <t>Воспитанники ЦССВ, ДДИ и детских домов-интернатов</t>
        </is>
      </c>
      <c r="G203" s="26" t="inlineStr">
        <is>
          <t>ЦССВ «Сколковский«</t>
        </is>
      </c>
      <c r="H203"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t>
        </is>
      </c>
      <c r="I203" s="27" t="inlineStr">
        <is>
          <t>По формату занятия</t>
        </is>
      </c>
      <c r="J203" s="26" t="inlineStr">
        <is>
          <t>Вдохновляем вас на творчество, причем — творчество теплое и уютное! Ведь впереди зимние месяцы. ❄ Найдите то, что дарит вам возможность выразить себя или провести время с близкими: рисуйте, лепите, прядите или пустите поток энергии в валяние, как участники наших программ из ЦССВ ...</t>
        </is>
      </c>
    </row>
    <row r="204" ht="30" customHeight="1">
      <c r="A204" s="28" t="n">
        <v>7004</v>
      </c>
      <c r="B204" s="29" t="inlineStr">
        <is>
          <t>2024-11-27</t>
        </is>
      </c>
      <c r="C204" s="30">
        <f>HYPERLINK("https://vk.com/wall-1825701_7004", "Открыть пост")</f>
        <v/>
      </c>
      <c r="D204" s="31" t="inlineStr">
        <is>
          <t>Творческие мастер-классы и художественные студии</t>
        </is>
      </c>
      <c r="E204" s="31" t="inlineStr">
        <is>
          <t>Творческие мастер-классы и художественные студии; Кулинарные, образовательные и социально-бытовые занятия</t>
        </is>
      </c>
      <c r="F204" s="31" t="inlineStr">
        <is>
          <t>Широкая аудитория, гости и благотворители (открытые события)</t>
        </is>
      </c>
      <c r="G204" s="31" t="inlineStr">
        <is>
          <t>Студия фонда / выездная площадка</t>
        </is>
      </c>
      <c r="H204" s="31" t="inlineStr">
        <is>
          <t>Педагогические и наставнические навыки (кулинария, быт, учёба); Мобильность, выездное сопровождение и автоволонтёрство; Медиа, фото/видеосъёмка и культурная медиация</t>
        </is>
      </c>
      <c r="I204" s="32" t="inlineStr">
        <is>
          <t>По формату занятия</t>
        </is>
      </c>
      <c r="J204" s="31" t="inlineStr">
        <is>
          <t>🚘 Разобраться в правилах безопасности в транспорте с интересом и главное — все запомнить! Такую цель мы ставили, когда раздумывали над открытым Мастер-классом ноября. Так появилось на свет наше занятие "Транспорт Москвы"! 🚌 Мы решили, что транспорт — это не только удобство, но и ...</t>
        </is>
      </c>
    </row>
    <row r="205" ht="30" customHeight="1">
      <c r="A205" s="23" t="n">
        <v>7003</v>
      </c>
      <c r="B205" s="24" t="inlineStr">
        <is>
          <t>2024-11-22</t>
        </is>
      </c>
      <c r="C205" s="25">
        <f>HYPERLINK("https://vk.com/wall-1825701_7003", "Открыть пост")</f>
        <v/>
      </c>
      <c r="D205" s="26" t="inlineStr">
        <is>
          <t>Выставки, экскурсии и культурные выходы</t>
        </is>
      </c>
      <c r="E205" s="26" t="inlineStr">
        <is>
          <t>Выставки, экскурсии и культурные выходы; Творческие мастер-классы и художественные студии</t>
        </is>
      </c>
      <c r="F205" s="26" t="inlineStr">
        <is>
          <t>Воспитанники ЦССВ, ДДИ и детских домов-интернатов</t>
        </is>
      </c>
      <c r="G205" s="26" t="inlineStr">
        <is>
          <t>Студия фонда / выездная площадка</t>
        </is>
      </c>
      <c r="H205"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Мобильность, выездное сопровождение и автоволонтёрство; Медиа, фото/видеосъёмка и культурная медиация</t>
        </is>
      </c>
      <c r="I205" s="27" t="inlineStr">
        <is>
          <t>По формату занятия</t>
        </is>
      </c>
      <c r="J205" s="26" t="inlineStr">
        <is>
          <t>Как закрепить знания, полученные на занятиях в нашей Арт-лаборатории? Мы знаем верный способ — нужно идти в Пушкинский музей! 🏛 Помните в прошлом учебном году мы уже делились с вами рассказом об очень запоминающейся экскурсии? Так вот в этот раз мы отправились в музей, чтобы свои...</t>
        </is>
      </c>
    </row>
    <row r="206" ht="30" customHeight="1">
      <c r="A206" s="28" t="n">
        <v>6999</v>
      </c>
      <c r="B206" s="29" t="inlineStr">
        <is>
          <t>2024-11-15</t>
        </is>
      </c>
      <c r="C206" s="30">
        <f>HYPERLINK("https://vk.com/wall-1825701_6999", "Открыть пост")</f>
        <v/>
      </c>
      <c r="D206" s="31" t="inlineStr">
        <is>
          <t>Творческие мастер-классы и художественные студии</t>
        </is>
      </c>
      <c r="E206" s="31" t="inlineStr">
        <is>
          <t>Творческие мастер-классы и художественные студии; Выездные лагеря, дача и сезонные программы</t>
        </is>
      </c>
      <c r="F206" s="31" t="inlineStr">
        <is>
          <t>Подопечные фонда «Дети Марии» (общая группа детей и подростков)</t>
        </is>
      </c>
      <c r="G206" s="31" t="inlineStr">
        <is>
          <t>Студия фонда / выездная площадка</t>
        </is>
      </c>
      <c r="H206" s="31"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 Медиа, фото/видеосъёмка и культурная медиация</t>
        </is>
      </c>
      <c r="I206" s="32" t="inlineStr">
        <is>
          <t>По формату занятия</t>
        </is>
      </c>
      <c r="J206" s="31" t="inlineStr">
        <is>
          <t>Завтра суббота! Для нас — долгожданная творческая встреча на даче. Арт-суббота! 🎨 Что можно делать на такой субботе, и почему она называется "арт"? Рассказываем. Оставим за скобками то, что ребят ждет домашняя атмосфера, любимые друзья, вкусности (и возможность их самим выбрать и...</t>
        </is>
      </c>
    </row>
    <row r="207" ht="30" customHeight="1">
      <c r="A207" s="23" t="n">
        <v>6996</v>
      </c>
      <c r="B207" s="24" t="inlineStr">
        <is>
          <t>2024-11-09</t>
        </is>
      </c>
      <c r="C207" s="25">
        <f>HYPERLINK("https://vk.com/wall-1825701_6996", "Открыть пост")</f>
        <v/>
      </c>
      <c r="D207" s="26" t="inlineStr">
        <is>
          <t>Кулинарные, образовательные и социально-бытовые занятия</t>
        </is>
      </c>
      <c r="E207" s="26" t="inlineStr">
        <is>
          <t>Кулинарные, образовательные и социально-бытовые занятия</t>
        </is>
      </c>
      <c r="F207" s="26" t="inlineStr">
        <is>
          <t>Широкая аудитория, гости и благотворители (открытые события)</t>
        </is>
      </c>
      <c r="G207" s="26" t="inlineStr">
        <is>
          <t>Студия фонда / выездная площадка</t>
        </is>
      </c>
      <c r="H207" s="26" t="inlineStr">
        <is>
          <t>Коммуникативные навыки, эмпатия и тьюторское сопровождение</t>
        </is>
      </c>
      <c r="I207" s="27" t="inlineStr">
        <is>
          <t>По формату занятия</t>
        </is>
      </c>
      <c r="J207" s="26" t="inlineStr">
        <is>
          <t>🍿 Открытый киноклуб — уже завтра на Дмитровке! Приглашаем вас на совместный кинопросмотр — причем, предлагаем не только тематический фильм, но и интересную беседу о конфликтах и способах их разрешения. 🎥 Когда: 10 ноября (воскресенье) с 15:00 до 17:00 🎬Где: Дмитровский переулок 4...</t>
        </is>
      </c>
    </row>
    <row r="208" ht="30" customHeight="1">
      <c r="A208" s="28" t="n">
        <v>6992</v>
      </c>
      <c r="B208" s="29" t="inlineStr">
        <is>
          <t>2024-11-06</t>
        </is>
      </c>
      <c r="C208" s="30">
        <f>HYPERLINK("https://vk.com/wall-1825701_6992", "Открыть пост")</f>
        <v/>
      </c>
      <c r="D208" s="31" t="inlineStr">
        <is>
          <t>Творческие мастер-классы и художественные студии</t>
        </is>
      </c>
      <c r="E208" s="31" t="inlineStr">
        <is>
          <t>Творческие мастер-классы и художественные студии</t>
        </is>
      </c>
      <c r="F208" s="31" t="inlineStr">
        <is>
          <t>Широкая аудитория, гости и благотворители (открытые события)</t>
        </is>
      </c>
      <c r="G208" s="31" t="inlineStr">
        <is>
          <t>Студия фонда / выездная площадка</t>
        </is>
      </c>
      <c r="H208" s="31" t="inlineStr">
        <is>
          <t>Художественно-прикладные и ремесленные навыки</t>
        </is>
      </c>
      <c r="I208" s="32" t="inlineStr">
        <is>
          <t>По формату занятия</t>
        </is>
      </c>
      <c r="J208" s="31" t="inlineStr">
        <is>
          <t>Новый открытый мастер класс — уже на этой неделе! Приглашаем вас на мастер-класс по керамике и валянию из шерсти. В этот раз привнесем в наши изделия традиционные орнаменты и узоры народов России 🪆 🗓Когда: 08 ноября (пятница) с 17.00 до 19.00 🏠Где: Новинский бульвар, д.25, корпус...</t>
        </is>
      </c>
    </row>
    <row r="209" ht="30" customHeight="1">
      <c r="A209" s="23" t="n">
        <v>6991</v>
      </c>
      <c r="B209" s="24" t="inlineStr">
        <is>
          <t>2024-11-01</t>
        </is>
      </c>
      <c r="C209" s="25">
        <f>HYPERLINK("https://vk.com/wall-1825701_6991", "Открыть пост")</f>
        <v/>
      </c>
      <c r="D209" s="26" t="inlineStr">
        <is>
          <t>Творческие мастер-классы и художественные студии</t>
        </is>
      </c>
      <c r="E209" s="26" t="inlineStr">
        <is>
          <t>Творческие мастер-классы и художественные студии</t>
        </is>
      </c>
      <c r="F209" s="26" t="inlineStr">
        <is>
          <t>Широкая аудитория, гости и благотворители (открытые события)</t>
        </is>
      </c>
      <c r="G209" s="26" t="inlineStr">
        <is>
          <t>Студия фонда / выездная площадка</t>
        </is>
      </c>
      <c r="H209" s="26" t="inlineStr">
        <is>
          <t>Коммуникативные навыки, эмпатия и тьюторское сопровождение; Мобильность, выездное сопровождение и автоволонтёрство</t>
        </is>
      </c>
      <c r="I209" s="27" t="inlineStr">
        <is>
          <t>По формату занятия</t>
        </is>
      </c>
      <c r="J209" s="26" t="inlineStr">
        <is>
          <t>Мало кто знает, что в календаре есть особый день — День бабушек и дедушек, 28 октября. Мы решили, что это отличный повод еще раз признаться им в любви, и лучше всего — при помощи творчества! Например, создав открытки ручной работы. 🎨 Оказалось (очень ожидаемо), что бабушки и деду...</t>
        </is>
      </c>
    </row>
    <row r="210" ht="30" customHeight="1">
      <c r="A210" s="28" t="n">
        <v>6980</v>
      </c>
      <c r="B210" s="29" t="inlineStr">
        <is>
          <t>2024-10-25</t>
        </is>
      </c>
      <c r="C210" s="30">
        <f>HYPERLINK("https://vk.com/wall-1825701_6980", "Открыть пост")</f>
        <v/>
      </c>
      <c r="D210" s="31" t="inlineStr">
        <is>
          <t>Кулинарные, образовательные и социально-бытовые занятия</t>
        </is>
      </c>
      <c r="E210" s="31" t="inlineStr">
        <is>
          <t>Кулинарные, образовательные и социально-бытовые занятия</t>
        </is>
      </c>
      <c r="F210" s="31" t="inlineStr">
        <is>
          <t>Воспитанники ЦССВ, ДДИ и детских домов-интернатов; Выпускники интернатов и детских домов (молодые взрослые)</t>
        </is>
      </c>
      <c r="G210" s="31" t="inlineStr">
        <is>
          <t>Студия фонда / выездная площадка</t>
        </is>
      </c>
      <c r="H210" s="31" t="inlineStr">
        <is>
          <t>Коммуникативные навыки, эмпатия и тьюторское сопровождение; Артистические, музыкальные и спортивно-игровые навыки; Мобильность, выездное сопровождение и автоволонтёрство</t>
        </is>
      </c>
      <c r="I210" s="32" t="inlineStr">
        <is>
          <t>Да (в тексте)</t>
        </is>
      </c>
      <c r="J210" s="31" t="inlineStr">
        <is>
          <t>Сопровождение участников программ фонда на протяжении длительного периода — один из наших приоритетов. Мы не теряем связь с выпускниками детских домов, продолжаем их поддерживать и, конечно, стараемся встречаться как можно чаще. К счастью, это желание взаимно и на наши встречи на...</t>
        </is>
      </c>
    </row>
    <row r="211" ht="30" customHeight="1">
      <c r="A211" s="23" t="n">
        <v>6974</v>
      </c>
      <c r="B211" s="24" t="inlineStr">
        <is>
          <t>2024-10-12</t>
        </is>
      </c>
      <c r="C211" s="25">
        <f>HYPERLINK("https://vk.com/wall-1825701_6974", "Открыть пост")</f>
        <v/>
      </c>
      <c r="D211" s="26" t="inlineStr">
        <is>
          <t>Творческие мастер-классы и художественные студии</t>
        </is>
      </c>
      <c r="E211" s="26" t="inlineStr">
        <is>
          <t>Творческие мастер-классы и художественные студии; Праздники, дни рождения и клубные встречи</t>
        </is>
      </c>
      <c r="F211" s="26" t="inlineStr">
        <is>
          <t>Воспитанники ЦССВ, ДДИ и детских домов-интернатов</t>
        </is>
      </c>
      <c r="G211" s="26" t="inlineStr">
        <is>
          <t>ЦССВ «Сколковский«</t>
        </is>
      </c>
      <c r="H211" s="26"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 Организационные, ивент- и ярмарочные навыки</t>
        </is>
      </c>
      <c r="I211" s="27" t="inlineStr">
        <is>
          <t>Да (в тексте)</t>
        </is>
      </c>
      <c r="J211" s="26" t="inlineStr">
        <is>
          <t>Что важнее всего в наших встречах в "Арт-лаборатории"? Честно говоря, не знаем, потому что каждая деталь занятий продумана. Вот смотрите. 👀 Ребята из ЦССВ "Сколковский" приезжают в нашу студию на Новинском бульваре раз в неделю. Занимаются они керамикой с Исломом, а с Марьей Иван...</t>
        </is>
      </c>
    </row>
    <row r="212" ht="30" customHeight="1">
      <c r="A212" s="28" t="n">
        <v>6972</v>
      </c>
      <c r="B212" s="29" t="inlineStr">
        <is>
          <t>2024-10-09</t>
        </is>
      </c>
      <c r="C212" s="30">
        <f>HYPERLINK("https://vk.com/wall-1825701_6972", "Открыть пост")</f>
        <v/>
      </c>
      <c r="D212" s="31" t="inlineStr">
        <is>
          <t>Творческие мастер-классы и художественные студии</t>
        </is>
      </c>
      <c r="E212" s="31" t="inlineStr">
        <is>
          <t>Творческие мастер-классы и художественные студии</t>
        </is>
      </c>
      <c r="F212" s="31" t="inlineStr">
        <is>
          <t>Широкая аудитория, гости и благотворители (открытые события)</t>
        </is>
      </c>
      <c r="G212" s="31" t="inlineStr">
        <is>
          <t>Студия фонда / выездная площадка</t>
        </is>
      </c>
      <c r="H212" s="31" t="inlineStr">
        <is>
          <t>Художественно-прикладные и ремесленные навыки</t>
        </is>
      </c>
      <c r="I212" s="32" t="inlineStr">
        <is>
          <t>По формату занятия</t>
        </is>
      </c>
      <c r="J212" s="31" t="inlineStr">
        <is>
          <t>🍁В эту пятницу, 11 октября, встречаемся на открытом мастер-классе на Новинском. Будем делать осенний букет! Как обычно, на Новинском у нас идут два параллельных мастер-класса: валяние и керамика. Так что выбирайте, что вам по душе в этот раз, и записывайтесь по этой ссылке: https...</t>
        </is>
      </c>
    </row>
    <row r="213" ht="30" customHeight="1">
      <c r="A213" s="23" t="n">
        <v>6970</v>
      </c>
      <c r="B213" s="24" t="inlineStr">
        <is>
          <t>2024-10-07</t>
        </is>
      </c>
      <c r="C213" s="25">
        <f>HYPERLINK("https://vk.com/wall-1825701_6970", "Открыть пост")</f>
        <v/>
      </c>
      <c r="D213" s="26" t="inlineStr">
        <is>
          <t>Творческие мастер-классы и художественные студии</t>
        </is>
      </c>
      <c r="E213" s="26" t="inlineStr">
        <is>
          <t>Творческие мастер-классы и художественные студии; Кулинарные, образовательные и социально-бытовые занятия; Выставки, экскурсии и культурные выходы</t>
        </is>
      </c>
      <c r="F213" s="26" t="inlineStr">
        <is>
          <t>Подростки и взрослые с ментальными особенностями и ОВЗ (ПНИ / Социальные дома); Воспитанники ЦССВ, ДДИ и детских домов-интернатов</t>
        </is>
      </c>
      <c r="G213" s="26" t="inlineStr">
        <is>
          <t>ЦССВ «Сколковский»</t>
        </is>
      </c>
      <c r="H213" s="26"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t>
        </is>
      </c>
      <c r="I213" s="27" t="inlineStr">
        <is>
          <t>Да (в тексте)</t>
        </is>
      </c>
      <c r="J213" s="26" t="inlineStr">
        <is>
          <t>🍁 Первая суббота октября позади — самое время рассказать о том, что с каникул вышел наш любимый проект "Арт-субботы"! 👉🏻Новость номер 1: у нас новый состав участников! Теперь в субботу к нам постоянно будут приезжать участники из трех учреждений: Соцдом «Нагатино-Садовники», Соцд...</t>
        </is>
      </c>
    </row>
    <row r="214" ht="30" customHeight="1">
      <c r="A214" s="28" t="n">
        <v>6966</v>
      </c>
      <c r="B214" s="29" t="inlineStr">
        <is>
          <t>2024-10-03</t>
        </is>
      </c>
      <c r="C214" s="30">
        <f>HYPERLINK("https://vk.com/wall-1825701_6966", "Открыть пост")</f>
        <v/>
      </c>
      <c r="D214" s="31" t="inlineStr">
        <is>
          <t>Ярмарки, фестивали и благотворительные базары</t>
        </is>
      </c>
      <c r="E214" s="31" t="inlineStr">
        <is>
          <t>Ярмарки, фестивали и благотворительные базары; Выставки, экскурсии и культурные выходы; Творческие мастер-классы и художественные студии</t>
        </is>
      </c>
      <c r="F214" s="31" t="inlineStr">
        <is>
          <t>Подопечные фонда «Дети Марии» (общая группа детей и подростков)</t>
        </is>
      </c>
      <c r="G214" s="31" t="inlineStr">
        <is>
          <t>Студия фонда / выездная площадка</t>
        </is>
      </c>
      <c r="H214" s="31" t="inlineStr">
        <is>
          <t>Художественно-прикладные и ремесленные навыки; Артистические, музыкальные и спортивно-игровые навыки; Организационные, ивент- и ярмарочные навыки</t>
        </is>
      </c>
      <c r="I214" s="32" t="inlineStr">
        <is>
          <t>По формату занятия</t>
        </is>
      </c>
      <c r="J214" s="31" t="inlineStr">
        <is>
          <t>Друзья, делимся с вами важным репортажем от ВМЕСТЕ-ТВ! Помните, мы рассказывали вам о ярмарке в Городе подарков PRESENTICA? Мы собрали наши игрушки, керамику и многое другое для тех, кто ищет особенные сувениры для друзей своего бизнеса. Так вот команда ВМЕСТЕ-ТВ приехала на ярма...</t>
        </is>
      </c>
    </row>
    <row r="215" ht="30" customHeight="1">
      <c r="A215" s="23" t="n">
        <v>6964</v>
      </c>
      <c r="B215" s="24" t="inlineStr">
        <is>
          <t>2024-10-01</t>
        </is>
      </c>
      <c r="C215" s="25">
        <f>HYPERLINK("https://vk.com/wall-1825701_6964", "Открыть пост")</f>
        <v/>
      </c>
      <c r="D215" s="26" t="inlineStr">
        <is>
          <t>Творческие мастер-классы и художественные студии</t>
        </is>
      </c>
      <c r="E215" s="26" t="inlineStr">
        <is>
          <t>Творческие мастер-классы и художественные студии; Выставки, экскурсии и культурные выходы; Кулинарные, образовательные и социально-бытовые занятия; Праздники, дни рождения и клубные встречи</t>
        </is>
      </c>
      <c r="F215" s="26" t="inlineStr">
        <is>
          <t>Широкая аудитория, гости и благотворители (открытые события)</t>
        </is>
      </c>
      <c r="G215" s="26" t="inlineStr">
        <is>
          <t>Студия фонда / выездная площадка</t>
        </is>
      </c>
      <c r="H215" s="26" t="inlineStr">
        <is>
          <t>Педагогические и наставнические навыки (кулинария, быт, учёба); Организационные, ивент- и ярмарочные навыки; Медиа, фото/видеосъёмка и культурная медиация</t>
        </is>
      </c>
      <c r="I215" s="27" t="inlineStr">
        <is>
          <t>По формату занятия</t>
        </is>
      </c>
      <c r="J215" s="26" t="inlineStr">
        <is>
          <t>Наши открытые мастер-классы — это не только творческие занятия, выставки по их итогам и чаепития. Это еще и очень важные знания и навыки. Например, совсем недавно на нашем открытом занятии мы решили поднять темы, говорить о которых непросто. Тему межнациональных отношений, терпим...</t>
        </is>
      </c>
    </row>
    <row r="216" ht="30" customHeight="1">
      <c r="A216" s="28" t="n">
        <v>6963</v>
      </c>
      <c r="B216" s="29" t="inlineStr">
        <is>
          <t>2024-09-27</t>
        </is>
      </c>
      <c r="C216" s="30">
        <f>HYPERLINK("https://vk.com/wall-1825701_6963", "Открыть пост")</f>
        <v/>
      </c>
      <c r="D216" s="31" t="inlineStr">
        <is>
          <t>Творческие мастер-классы и художественные студии</t>
        </is>
      </c>
      <c r="E216" s="31" t="inlineStr">
        <is>
          <t>Творческие мастер-классы и художественные студии</t>
        </is>
      </c>
      <c r="F216" s="31" t="inlineStr">
        <is>
          <t>Широкая аудитория, гости и благотворители (открытые события)</t>
        </is>
      </c>
      <c r="G216" s="31" t="inlineStr">
        <is>
          <t>Студия фонда / выездная площадка</t>
        </is>
      </c>
      <c r="H216" s="31" t="inlineStr">
        <is>
          <t>Художественно-прикладные и ремесленные навыки; Коммуникативные навыки, эмпатия и тьюторское сопровождение; Медиа, фото/видеосъёмка и культурная медиация</t>
        </is>
      </c>
      <c r="I216" s="32" t="inlineStr">
        <is>
          <t>По формату занятия</t>
        </is>
      </c>
      <c r="J216" s="31" t="inlineStr">
        <is>
          <t>Буквально на днях в студии на Дмитровке прошел наш открытый мастер-класс, посвященный искусству коллажа. Коллаж — это возможность не только создать что-то очень красивое, но и понять себя. Ведь автору предстоит подбирать сочетания цветов, материалов и фактур. Искать красивые форм...</t>
        </is>
      </c>
    </row>
    <row r="217" ht="30" customHeight="1">
      <c r="A217" s="23" t="n">
        <v>6961</v>
      </c>
      <c r="B217" s="24" t="inlineStr">
        <is>
          <t>2024-09-26</t>
        </is>
      </c>
      <c r="C217" s="25">
        <f>HYPERLINK("https://vk.com/wall-1825701_6961", "Открыть пост")</f>
        <v/>
      </c>
      <c r="D217" s="26" t="inlineStr">
        <is>
          <t>Выставки, экскурсии и культурные выходы</t>
        </is>
      </c>
      <c r="E217" s="26" t="inlineStr">
        <is>
          <t>Выставки, экскурсии и культурные выходы; Творческие мастер-классы и художественные студии; Праздники, дни рождения и клубные встречи; Кулинарные, образовательные и социально-бытовые занятия</t>
        </is>
      </c>
      <c r="F217" s="26" t="inlineStr">
        <is>
          <t>Воспитанники ЦССВ, ДДИ и детских домов-интернатов</t>
        </is>
      </c>
      <c r="G217" s="26" t="inlineStr">
        <is>
          <t>ЦССВ «Сколковский«, ЦССВ «Радуга«</t>
        </is>
      </c>
      <c r="H217" s="26"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 Организационные, ивент- и ярмарочные навыки; Мобильность, выездное сопровождение и автоволонтёрство</t>
        </is>
      </c>
      <c r="I217" s="27" t="inlineStr">
        <is>
          <t>По формату занятия</t>
        </is>
      </c>
      <c r="J217" s="26" t="inlineStr">
        <is>
          <t>Новый творческий сезон открыт 🎊 занятия возобновились, а значит, возобновились и связанные с ними приятные мелочи. Но сначала — новости из "Арт-лаборатории"! В этом проекте творчеством занимаются ребята, которые проживают в Центрах содействия семейному воспитанию (ЦССВ). Помните,...</t>
        </is>
      </c>
    </row>
    <row r="218" ht="30" customHeight="1">
      <c r="A218" s="28" t="n">
        <v>6959</v>
      </c>
      <c r="B218" s="29" t="inlineStr">
        <is>
          <t>2024-09-21</t>
        </is>
      </c>
      <c r="C218" s="30">
        <f>HYPERLINK("https://vk.com/wall-1825701_6959", "Открыть пост")</f>
        <v/>
      </c>
      <c r="D218" s="31" t="inlineStr">
        <is>
          <t>Творческие мастер-классы и художественные студии</t>
        </is>
      </c>
      <c r="E218" s="31" t="inlineStr">
        <is>
          <t>Творческие мастер-классы и художественные студии</t>
        </is>
      </c>
      <c r="F218" s="31" t="inlineStr">
        <is>
          <t>Широкая аудитория, гости и благотворители (открытые события)</t>
        </is>
      </c>
      <c r="G218" s="31" t="inlineStr">
        <is>
          <t>Студия фонда / выездная площадка</t>
        </is>
      </c>
      <c r="H218" s="31"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t>
        </is>
      </c>
      <c r="I218" s="32" t="inlineStr">
        <is>
          <t>По формату занятия</t>
        </is>
      </c>
      <c r="J218" s="31" t="inlineStr">
        <is>
          <t>🍁Уже во вторник встречаемся на открытом мастер-классе, посвященном мастерству коллажа. Будем учиться создавать композицию, выверять цвета и составляющие будущего коллажа. А еще будем заводить новых друзей, общаться и узнавать что-то о самих себе (а точнее, о своей творческой сост...</t>
        </is>
      </c>
    </row>
    <row r="219" ht="30" customHeight="1">
      <c r="A219" s="23" t="n">
        <v>6957</v>
      </c>
      <c r="B219" s="24" t="inlineStr">
        <is>
          <t>2024-09-18</t>
        </is>
      </c>
      <c r="C219" s="25">
        <f>HYPERLINK("https://vk.com/wall-1825701_6957", "Открыть пост")</f>
        <v/>
      </c>
      <c r="D219" s="26" t="inlineStr">
        <is>
          <t>Выставки, экскурсии и культурные выходы</t>
        </is>
      </c>
      <c r="E219" s="26" t="inlineStr">
        <is>
          <t>Выставки, экскурсии и культурные выходы; Творческие мастер-классы и художественные студии</t>
        </is>
      </c>
      <c r="F219" s="26" t="inlineStr">
        <is>
          <t>Подростки и взрослые с ментальными особенностями и ОВЗ (ПНИ / Социальные дома); Широкая аудитория, гости и благотворители (открытые события)</t>
        </is>
      </c>
      <c r="G219" s="26" t="inlineStr">
        <is>
          <t>Студия фонда / выездная площадка</t>
        </is>
      </c>
      <c r="H219"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t>
        </is>
      </c>
      <c r="I219" s="27" t="inlineStr">
        <is>
          <t>По формату занятия</t>
        </is>
      </c>
      <c r="J219" s="26" t="inlineStr">
        <is>
          <t>🎁В четверг, пятницу и субботу (с 19 по 21 сентября) ждем вас в Гостином дворе, чтобы вместе выбрать лучшие бизнес-подарки. Если вы уже задумались (а вы наверняка задумались), чем порадовать своих партнеров и друзей вашего бизнеса, мы готовы помочь. Вместе рассмотрим все сувениры,...</t>
        </is>
      </c>
    </row>
    <row r="220" ht="30" customHeight="1">
      <c r="A220" s="28" t="n">
        <v>6955</v>
      </c>
      <c r="B220" s="29" t="inlineStr">
        <is>
          <t>2024-09-17</t>
        </is>
      </c>
      <c r="C220" s="30">
        <f>HYPERLINK("https://vk.com/wall-1825701_6955", "Открыть пост")</f>
        <v/>
      </c>
      <c r="D220" s="31" t="inlineStr">
        <is>
          <t>Творческие мастер-классы и художественные студии</t>
        </is>
      </c>
      <c r="E220" s="31" t="inlineStr">
        <is>
          <t>Творческие мастер-классы и художественные студии</t>
        </is>
      </c>
      <c r="F220" s="31" t="inlineStr">
        <is>
          <t>Широкая аудитория, гости и благотворители (открытые события)</t>
        </is>
      </c>
      <c r="G220" s="31" t="inlineStr">
        <is>
          <t>Студия фонда / выездная площадка</t>
        </is>
      </c>
      <c r="H220" s="31" t="inlineStr">
        <is>
          <t>Художественно-прикладные и ремесленные навыки</t>
        </is>
      </c>
      <c r="I220" s="32" t="inlineStr">
        <is>
          <t>По формату занятия</t>
        </is>
      </c>
      <c r="J220" s="31" t="inlineStr">
        <is>
          <t>🍁Открытые мастер-классы сентября ждут участников уже на следующей неделе! Вечера посвятим керамике и валянию из шерсти. А еще — мастерству коллажа. Начнем с осеннего коллажа — создавать его будем на Дмитровке в следующий вторник. 👉🏻Приглашаем, как всегда, всех желающих, и просим ...</t>
        </is>
      </c>
    </row>
    <row r="221" ht="30" customHeight="1">
      <c r="A221" s="23" t="n">
        <v>6948</v>
      </c>
      <c r="B221" s="24" t="inlineStr">
        <is>
          <t>2024-09-10</t>
        </is>
      </c>
      <c r="C221" s="25">
        <f>HYPERLINK("https://vk.com/wall-1825701_6948", "Открыть пост")</f>
        <v/>
      </c>
      <c r="D221" s="26" t="inlineStr">
        <is>
          <t>Творческие мастер-классы и художественные студии</t>
        </is>
      </c>
      <c r="E221" s="26" t="inlineStr">
        <is>
          <t>Творческие мастер-классы и художественные студии</t>
        </is>
      </c>
      <c r="F221" s="26" t="inlineStr">
        <is>
          <t>Подопечные фонда «Дети Марии» (общая группа детей и подростков)</t>
        </is>
      </c>
      <c r="G221" s="26" t="inlineStr">
        <is>
          <t>ТВЕРСКАЯ 15</t>
        </is>
      </c>
      <c r="H221" s="26" t="inlineStr">
        <is>
          <t>Коммуникативные навыки, эмпатия и тьюторское сопровождение; Организационные, ивент- и ярмарочные навыки</t>
        </is>
      </c>
      <c r="I221" s="27" t="inlineStr">
        <is>
          <t>Да (в тексте)</t>
        </is>
      </c>
      <c r="J221" s="26" t="inlineStr">
        <is>
          <t>📣Новости нового учебного года — важные, интересные и вдохновляющие! В этом году часть программ Инклюзивный культурный центр «ТВЕРСКАЯ 15» переходит в Благотворительный фонд «Дети Марии»! Все эти годы мы с «ТВЕРСКОЙ 15» были друзьями и партнерами, работали на основе общих ценносте...</t>
        </is>
      </c>
    </row>
    <row r="222" ht="30" customHeight="1">
      <c r="A222" s="28" t="n">
        <v>6941</v>
      </c>
      <c r="B222" s="29" t="inlineStr">
        <is>
          <t>2024-08-27</t>
        </is>
      </c>
      <c r="C222" s="30">
        <f>HYPERLINK("https://vk.com/wall-1825701_6941", "Открыть пост")</f>
        <v/>
      </c>
      <c r="D222" s="31" t="inlineStr">
        <is>
          <t>Выездные лагеря, дача и сезонные программы</t>
        </is>
      </c>
      <c r="E222" s="31" t="inlineStr">
        <is>
          <t>Выездные лагеря, дача и сезонные программы; Творческие мастер-классы и художественные студии; Выставки, экскурсии и культурные выходы</t>
        </is>
      </c>
      <c r="F222" s="31" t="inlineStr">
        <is>
          <t>Широкая аудитория, гости и благотворители (открытые события)</t>
        </is>
      </c>
      <c r="G222" s="31" t="inlineStr">
        <is>
          <t>Студия фонда / выездная площадка</t>
        </is>
      </c>
      <c r="H222" s="31" t="inlineStr">
        <is>
          <t>Мобильность, выездное сопровождение и автоволонтёрство</t>
        </is>
      </c>
      <c r="I222" s="32" t="inlineStr">
        <is>
          <t>По формату занятия</t>
        </is>
      </c>
      <c r="J222" s="31" t="inlineStr">
        <is>
          <t>Если бы вас попросили придумать ваш личный флаг этого лета — что бы на нем было? 🤔 Может речка на даче? Или ваше любимое мороженое? Может вы заполнили бы его одним цветом — цветом полевых трав? 🌹 На нашем открытом мастер-классе, посвященном Дню Государственного флага, мы с ребята...</t>
        </is>
      </c>
    </row>
    <row r="223" ht="30" customHeight="1">
      <c r="A223" s="23" t="n">
        <v>6937</v>
      </c>
      <c r="B223" s="24" t="inlineStr">
        <is>
          <t>2024-08-20</t>
        </is>
      </c>
      <c r="C223" s="25">
        <f>HYPERLINK("https://vk.com/wall-1825701_6937", "Открыть пост")</f>
        <v/>
      </c>
      <c r="D223" s="26" t="inlineStr">
        <is>
          <t>Творческие мастер-классы и художественные студии</t>
        </is>
      </c>
      <c r="E223" s="26" t="inlineStr">
        <is>
          <t>Творческие мастер-классы и художественные студии</t>
        </is>
      </c>
      <c r="F223" s="26" t="inlineStr">
        <is>
          <t>Подопечные фонда «Дети Марии» (общая группа детей и подростков)</t>
        </is>
      </c>
      <c r="G223" s="26" t="inlineStr">
        <is>
          <t>Студия фонда / выездная площадка</t>
        </is>
      </c>
      <c r="H223" s="26" t="inlineStr">
        <is>
          <t>Мобильность, выездное сопровождение и автоволонтёрство; Медиа, фото/видеосъёмка и культурная медиация</t>
        </is>
      </c>
      <c r="I223" s="27" t="inlineStr">
        <is>
          <t>По формату занятия</t>
        </is>
      </c>
      <c r="J223" s="26" t="inlineStr">
        <is>
          <t>Сезон мастер-классов открыт, и перед вами кадры с первого открытого занятия. 📸 Как и обещали, мы пригласили всех гостей события на фотопрогулку по району вокруг нашей студии. Многие здания, подворья и переулки могут рассказать интересные истории, помнят невероятных людей и несут ...</t>
        </is>
      </c>
    </row>
    <row r="224" ht="30" customHeight="1">
      <c r="A224" s="28" t="n">
        <v>6935</v>
      </c>
      <c r="B224" s="29" t="inlineStr">
        <is>
          <t>2024-08-16</t>
        </is>
      </c>
      <c r="C224" s="30">
        <f>HYPERLINK("https://vk.com/wall-1825701_6935", "Открыть пост")</f>
        <v/>
      </c>
      <c r="D224" s="31" t="inlineStr">
        <is>
          <t>Ярмарки, фестивали и благотворительные базары</t>
        </is>
      </c>
      <c r="E224" s="31" t="inlineStr">
        <is>
          <t>Ярмарки, фестивали и благотворительные базары; Творческие мастер-классы и художественные студии; Спектакли, концерты и музыкально-театральные занятия</t>
        </is>
      </c>
      <c r="F224" s="31" t="inlineStr">
        <is>
          <t>Широкая аудитория, гости и благотворители (открытые события)</t>
        </is>
      </c>
      <c r="G224" s="31" t="inlineStr">
        <is>
          <t>Студия фонда / выездная площадка</t>
        </is>
      </c>
      <c r="H224" s="31" t="inlineStr">
        <is>
          <t>Артистические, музыкальные и спортивно-игровые навыки; Организационные, ивент- и ярмарочные навыки</t>
        </is>
      </c>
      <c r="I224" s="32" t="inlineStr">
        <is>
          <t>По формату занятия</t>
        </is>
      </c>
      <c r="J224" s="31" t="inlineStr">
        <is>
          <t>🎉 25 августа (в следующее воскресенье) мы пойдем на день рождения ТВОРЧЕСКОЕ ОБЪЕДИНЕНИЕ "КРУГ" — на КРУГлый фестиваль! И, конечно, приглашаем вас. Что будет на фестивале: 🎨Творческие мастер-классы 💃Круговые танцы (да!) 🎻Выступления гостей 🪩Создание общего арт-объекта 🎪И ярмарка ...</t>
        </is>
      </c>
    </row>
    <row r="225" ht="30" customHeight="1">
      <c r="A225" s="23" t="n">
        <v>6933</v>
      </c>
      <c r="B225" s="24" t="inlineStr">
        <is>
          <t>2024-08-14</t>
        </is>
      </c>
      <c r="C225" s="25">
        <f>HYPERLINK("https://vk.com/wall-1825701_6933", "Открыть пост")</f>
        <v/>
      </c>
      <c r="D225" s="26" t="inlineStr">
        <is>
          <t>Творческие мастер-классы и художественные студии</t>
        </is>
      </c>
      <c r="E225" s="26" t="inlineStr">
        <is>
          <t>Творческие мастер-классы и художественные студии</t>
        </is>
      </c>
      <c r="F225" s="26" t="inlineStr">
        <is>
          <t>Широкая аудитория, гости и благотворители (открытые события)</t>
        </is>
      </c>
      <c r="G225" s="26" t="inlineStr">
        <is>
          <t>Студия фонда / выездная площадка</t>
        </is>
      </c>
      <c r="H225" s="26" t="inlineStr">
        <is>
          <t>Мобильность, выездное сопровождение и автоволонтёрство; Медиа, фото/видеосъёмка и культурная медиация</t>
        </is>
      </c>
      <c r="I225" s="27" t="inlineStr">
        <is>
          <t>По формату занятия</t>
        </is>
      </c>
      <c r="J225" s="26" t="inlineStr">
        <is>
          <t>Открытые мастер-классы возвращаются... уже в понедельник! 📸Ко Дню фотографии мы подготовили для всех желающих тематическую прогулку / мастер-класс. Будем искать красоту в том, что окружает нас каждый день. Увидим детали, которые не замечали, и главное — научимся сохранять их в ка...</t>
        </is>
      </c>
    </row>
    <row r="226" ht="30" customHeight="1">
      <c r="A226" s="28" t="n">
        <v>6927</v>
      </c>
      <c r="B226" s="29" t="inlineStr">
        <is>
          <t>2024-07-31</t>
        </is>
      </c>
      <c r="C226" s="30">
        <f>HYPERLINK("https://vk.com/wall-1825701_6927", "Открыть пост")</f>
        <v/>
      </c>
      <c r="D226" s="31" t="inlineStr">
        <is>
          <t>Кулинарные, образовательные и социально-бытовые занятия</t>
        </is>
      </c>
      <c r="E226" s="31" t="inlineStr">
        <is>
          <t>Кулинарные, образовательные и социально-бытовые занятия</t>
        </is>
      </c>
      <c r="F226" s="31" t="inlineStr">
        <is>
          <t>Подопечные фонда «Дети Марии» (общая группа детей и подростков)</t>
        </is>
      </c>
      <c r="G226" s="31" t="inlineStr">
        <is>
          <t>Студия фонда / выездная площадка</t>
        </is>
      </c>
      <c r="H226" s="31" t="inlineStr">
        <is>
          <t>Коммуникативные навыки, эмпатия и тьюторское сопровождение; Педагогические и наставнические навыки (кулинария, быт, учёба)</t>
        </is>
      </c>
      <c r="I226" s="32" t="inlineStr">
        <is>
          <t>По формату занятия</t>
        </is>
      </c>
      <c r="J226" s="31" t="inlineStr">
        <is>
          <t>Как говорить с детьми об очень серьезных проблемах? Мы решили, что лучше всего — через искусство 🎥 так что недавно в наших студиях состоялся просмотр фильма о наркозависимости. "Кино показывает ситуацию изнутри, пронзительно раскрывая чувства героя и пропасть, в которую его утяги...</t>
        </is>
      </c>
    </row>
    <row r="227" ht="30" customHeight="1">
      <c r="A227" s="23" t="n">
        <v>6925</v>
      </c>
      <c r="B227" s="24" t="inlineStr">
        <is>
          <t>2024-07-23</t>
        </is>
      </c>
      <c r="C227" s="25">
        <f>HYPERLINK("https://vk.com/wall-1825701_6925", "Открыть пост")</f>
        <v/>
      </c>
      <c r="D227" s="26" t="inlineStr">
        <is>
          <t>Творческие мастер-классы и художественные студии</t>
        </is>
      </c>
      <c r="E227" s="26" t="inlineStr">
        <is>
          <t>Творческие мастер-классы и художественные студии</t>
        </is>
      </c>
      <c r="F227" s="26" t="inlineStr">
        <is>
          <t>Широкая аудитория, гости и благотворители (открытые события)</t>
        </is>
      </c>
      <c r="G227" s="26" t="inlineStr">
        <is>
          <t>Студия фонда / выездная площадка</t>
        </is>
      </c>
      <c r="H227" s="26" t="inlineStr">
        <is>
          <t>Педагогические и наставнические навыки (кулинария, быт, учёба)</t>
        </is>
      </c>
      <c r="I227" s="27" t="inlineStr">
        <is>
          <t>По формату занятия</t>
        </is>
      </c>
      <c r="J227" s="26" t="inlineStr">
        <is>
          <t>🎨 Уже в августе возобновляем открытые мастер-классы, и заранее делимся расписанием. Планируйте, вдохновляйтесь, приглашайте близких, но главное — приходите сами. Ждем вас, чтобы вместе видеть в каждом событии повод для творчества. Чтобы учиться воплощать идеи в жизнь и замечать к...</t>
        </is>
      </c>
    </row>
    <row r="228" ht="30" customHeight="1">
      <c r="A228" s="28" t="n">
        <v>6923</v>
      </c>
      <c r="B228" s="29" t="inlineStr">
        <is>
          <t>2024-07-17</t>
        </is>
      </c>
      <c r="C228" s="30">
        <f>HYPERLINK("https://vk.com/wall-1825701_6923", "Открыть пост")</f>
        <v/>
      </c>
      <c r="D228" s="31" t="inlineStr">
        <is>
          <t>Творческие мастер-классы и художественные студии</t>
        </is>
      </c>
      <c r="E228" s="31" t="inlineStr">
        <is>
          <t>Творческие мастер-классы и художественные студии; Выставки, экскурсии и культурные выходы; Кулинарные, образовательные и социально-бытовые занятия; Праздники, дни рождения и клубные встречи</t>
        </is>
      </c>
      <c r="F228" s="31" t="inlineStr">
        <is>
          <t>Широкая аудитория, гости и благотворители (открытые события)</t>
        </is>
      </c>
      <c r="G228" s="31" t="inlineStr">
        <is>
          <t>Студия фонда / выездная площадка</t>
        </is>
      </c>
      <c r="H228" s="31" t="inlineStr">
        <is>
          <t>Коммуникативные навыки, эмпатия и тьюторское сопровождение; Педагогические и наставнические навыки (кулинария, быт, учёба); Организационные, ивент- и ярмарочные навыки; Медиа, фото/видеосъёмка и культурная медиация</t>
        </is>
      </c>
      <c r="I228" s="32" t="inlineStr">
        <is>
          <t>По формату занятия</t>
        </is>
      </c>
      <c r="J228" s="31" t="inlineStr">
        <is>
          <t>Наши открытые мастер-классы — это не только творческие занятия, выставки по их итогам и чаепития. Это еще и очень важные знания и навыки ☝ Например, совсем недавно на нашем открытом занятии мы решили поднять тему, говорить о которой непросто. Тему осторожности, самозащиты и внима...</t>
        </is>
      </c>
    </row>
    <row r="229" ht="30" customHeight="1">
      <c r="A229" s="23" t="n">
        <v>6918</v>
      </c>
      <c r="B229" s="24" t="inlineStr">
        <is>
          <t>2024-07-11</t>
        </is>
      </c>
      <c r="C229" s="25">
        <f>HYPERLINK("https://vk.com/wall-1825701_6918", "Открыть пост")</f>
        <v/>
      </c>
      <c r="D229" s="26" t="inlineStr">
        <is>
          <t>Творческие мастер-классы и художественные студии</t>
        </is>
      </c>
      <c r="E229" s="26" t="inlineStr">
        <is>
          <t>Творческие мастер-классы и художественные студии</t>
        </is>
      </c>
      <c r="F229" s="26" t="inlineStr">
        <is>
          <t>Подростки и взрослые с ментальными особенностями и ОВЗ (ПНИ / Социальные дома)</t>
        </is>
      </c>
      <c r="G229" s="26" t="inlineStr">
        <is>
          <t>Студия фонда / выездная площадка</t>
        </is>
      </c>
      <c r="H229" s="26" t="inlineStr">
        <is>
          <t>Художественно-прикладные и ремесленные навыки; Коммуникативные навыки, эмпатия и тьюторское сопровождение</t>
        </is>
      </c>
      <c r="I229" s="27" t="inlineStr">
        <is>
          <t>По формату занятия</t>
        </is>
      </c>
      <c r="J229" s="26" t="inlineStr">
        <is>
          <t>Перед вами результаты одного из необычных творческих занятий. На нем участники наших программ из Социальных домов лепили подсвечники и тарелочки с оттисками растений. 🌿 Эти растения они собрали сами. Тщательно рассортировали, составили композиции и оставалось самое малое. То есть...</t>
        </is>
      </c>
    </row>
    <row r="230" ht="30" customHeight="1">
      <c r="A230" s="28" t="n">
        <v>6916</v>
      </c>
      <c r="B230" s="29" t="inlineStr">
        <is>
          <t>2024-07-09</t>
        </is>
      </c>
      <c r="C230" s="30">
        <f>HYPERLINK("https://vk.com/wall-1825701_6916", "Открыть пост")</f>
        <v/>
      </c>
      <c r="D230" s="31" t="inlineStr">
        <is>
          <t>Творческие мастер-классы и художественные студии</t>
        </is>
      </c>
      <c r="E230" s="31" t="inlineStr">
        <is>
          <t>Творческие мастер-классы и художественные студии</t>
        </is>
      </c>
      <c r="F230" s="31" t="inlineStr">
        <is>
          <t>Широкая аудитория, гости и благотворители (открытые события)</t>
        </is>
      </c>
      <c r="G230" s="31" t="inlineStr">
        <is>
          <t>Студия фонда / выездная площадка</t>
        </is>
      </c>
      <c r="H230" s="31" t="inlineStr">
        <is>
          <t>Коммуникативные навыки, эмпатия и тьюторское сопровождение</t>
        </is>
      </c>
      <c r="I230" s="32" t="inlineStr">
        <is>
          <t>По формату занятия</t>
        </is>
      </c>
      <c r="J230" s="31" t="inlineStr">
        <is>
          <t>Совсем недавно в наших студиях прошел открытый мастер-класс по семейному портрету. Звучит очень серьезно, но главным элементом занятия стало воображение! Скажем, задумывались ли вы, с какими животными могли бы сравнить себя и членов своей семьи? А может быть, ваша семья похожа на...</t>
        </is>
      </c>
    </row>
    <row r="231" ht="30" customHeight="1">
      <c r="A231" s="23" t="n">
        <v>6909</v>
      </c>
      <c r="B231" s="24" t="inlineStr">
        <is>
          <t>2024-07-02</t>
        </is>
      </c>
      <c r="C231" s="25">
        <f>HYPERLINK("https://vk.com/wall-1825701_6909", "Открыть пост")</f>
        <v/>
      </c>
      <c r="D231" s="26" t="inlineStr">
        <is>
          <t>Творческие мастер-классы и художественные студии</t>
        </is>
      </c>
      <c r="E231" s="26" t="inlineStr">
        <is>
          <t>Творческие мастер-классы и художественные студии; Ярмарки, фестивали и благотворительные базары</t>
        </is>
      </c>
      <c r="F231" s="26" t="inlineStr">
        <is>
          <t>Подопечные фонда «Дети Марии» (общая группа детей и подростков)</t>
        </is>
      </c>
      <c r="G231" s="26" t="inlineStr">
        <is>
          <t>Студия фонда / выездная площадка</t>
        </is>
      </c>
      <c r="H231"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 Медиа, фото/видеосъёмка и культурная медиация</t>
        </is>
      </c>
      <c r="I231" s="27" t="inlineStr">
        <is>
          <t>По формату занятия</t>
        </is>
      </c>
      <c r="J231" s="26" t="inlineStr">
        <is>
          <t>Помните недавно мы рассказывали вам о нашем первом мастер-классе по валянию на фестивале "Лето в Москве"? 🔆 Так вот во второй раз наша программа стала куда шире! В следующий приезд мы подготовили для гостей фестиваля еще и рисование в технике Эбру, а с самыми активными играли в н...</t>
        </is>
      </c>
    </row>
    <row r="232" ht="30" customHeight="1">
      <c r="A232" s="28" t="n">
        <v>6907</v>
      </c>
      <c r="B232" s="29" t="inlineStr">
        <is>
          <t>2024-06-28</t>
        </is>
      </c>
      <c r="C232" s="30">
        <f>HYPERLINK("https://vk.com/wall-1825701_6907", "Открыть пост")</f>
        <v/>
      </c>
      <c r="D232" s="31" t="inlineStr">
        <is>
          <t>Творческие мастер-классы и художественные студии</t>
        </is>
      </c>
      <c r="E232" s="31" t="inlineStr">
        <is>
          <t>Творческие мастер-классы и художественные студии; Выставки, экскурсии и культурные выходы</t>
        </is>
      </c>
      <c r="F232" s="31" t="inlineStr">
        <is>
          <t>Широкая аудитория, гости и благотворители (открытые события)</t>
        </is>
      </c>
      <c r="G232" s="31" t="inlineStr">
        <is>
          <t>Студия фонда / выездная площадка</t>
        </is>
      </c>
      <c r="H232" s="31" t="inlineStr">
        <is>
          <t>Коммуникативные навыки, эмпатия и тьюторское сопровождение</t>
        </is>
      </c>
      <c r="I232" s="32" t="inlineStr">
        <is>
          <t>По формату занятия</t>
        </is>
      </c>
      <c r="J232" s="31" t="inlineStr">
        <is>
          <t>Открытые мастер-классы в июле ждут! Команда благотворительного фонда "Дети Марии" приглашает вас встретиться на открытом мастер-классе в честь Дня любви, семьи и верности. Мы часто не задумываемся о том, как мы любим на самом деле своих родных, и в этот день мы приглашаем вас рас...</t>
        </is>
      </c>
    </row>
    <row r="233" ht="30" customHeight="1">
      <c r="A233" s="23" t="n">
        <v>6905</v>
      </c>
      <c r="B233" s="24" t="inlineStr">
        <is>
          <t>2024-06-25</t>
        </is>
      </c>
      <c r="C233" s="25">
        <f>HYPERLINK("https://vk.com/wall-1825701_6905", "Открыть пост")</f>
        <v/>
      </c>
      <c r="D233" s="26" t="inlineStr">
        <is>
          <t>Творческие мастер-классы и художественные студии</t>
        </is>
      </c>
      <c r="E233" s="26" t="inlineStr">
        <is>
          <t>Творческие мастер-классы и художественные студии</t>
        </is>
      </c>
      <c r="F233" s="26" t="inlineStr">
        <is>
          <t>Широкая аудитория, гости и благотворители (открытые события)</t>
        </is>
      </c>
      <c r="G233" s="26" t="inlineStr">
        <is>
          <t>Студия фонда / выездная площадка</t>
        </is>
      </c>
      <c r="H233" s="26" t="inlineStr">
        <is>
          <t>Художественно-прикладные и ремесленные навыки</t>
        </is>
      </c>
      <c r="I233" s="27" t="inlineStr">
        <is>
          <t>По формату занятия</t>
        </is>
      </c>
      <c r="J233" s="26" t="inlineStr">
        <is>
          <t>Еще один июньский мастер-класс и еще одна история о том, как каждый может научиться творить. Главное — найти дело по душе. ❤ Когда мы приглашаем вас на открытые мастер-классы, мы всегда задаем тему. Но это не значит, что простор для фантазии закрыт. Скажем, в середине июня мы вст...</t>
        </is>
      </c>
    </row>
    <row r="234" ht="30" customHeight="1">
      <c r="A234" s="28" t="n">
        <v>6899</v>
      </c>
      <c r="B234" s="29" t="inlineStr">
        <is>
          <t>2024-06-19</t>
        </is>
      </c>
      <c r="C234" s="30">
        <f>HYPERLINK("https://vk.com/wall-1825701_6899", "Открыть пост")</f>
        <v/>
      </c>
      <c r="D234" s="31" t="inlineStr">
        <is>
          <t>Спектакли, концерты и музыкально-театральные занятия</t>
        </is>
      </c>
      <c r="E234" s="31" t="inlineStr">
        <is>
          <t>Спектакли, концерты и музыкально-театральные занятия</t>
        </is>
      </c>
      <c r="F234" s="31" t="inlineStr">
        <is>
          <t>Подопечные фонда «Дети Марии» (общая группа детей и подростков)</t>
        </is>
      </c>
      <c r="G234" s="31" t="inlineStr">
        <is>
          <t>Студия фонда / выездная площадка</t>
        </is>
      </c>
      <c r="H234" s="31" t="inlineStr">
        <is>
          <t>Артистические, музыкальные и спортивно-игровые навыки; Организационные, ивент- и ярмарочные навыки</t>
        </is>
      </c>
      <c r="I234" s="32" t="inlineStr">
        <is>
          <t>Да (в тексте)</t>
        </is>
      </c>
      <c r="J234" s="31" t="inlineStr">
        <is>
          <t>Наша команда театралов закрыла сезон 2023-2024! 🎭 Участники программ фонда побывали на спектакле "Плоды просвещения" по комедии Льва Толстого. Кстати, изначально эта пьеса создавалась для домашнего спектакля, в котором играли дети великого писателя и их друзья. Строки переписывал...</t>
        </is>
      </c>
    </row>
    <row r="235" ht="30" customHeight="1">
      <c r="A235" s="23" t="n">
        <v>6898</v>
      </c>
      <c r="B235" s="24" t="inlineStr">
        <is>
          <t>2024-06-17</t>
        </is>
      </c>
      <c r="C235" s="25">
        <f>HYPERLINK("https://vk.com/wall-1825701_6898", "Открыть пост")</f>
        <v/>
      </c>
      <c r="D235" s="26" t="inlineStr">
        <is>
          <t>Творческие мастер-классы и художественные студии</t>
        </is>
      </c>
      <c r="E235" s="26" t="inlineStr">
        <is>
          <t>Творческие мастер-классы и художественные студии</t>
        </is>
      </c>
      <c r="F235" s="26" t="inlineStr">
        <is>
          <t>Широкая аудитория, гости и благотворители (открытые события)</t>
        </is>
      </c>
      <c r="G235" s="26" t="inlineStr">
        <is>
          <t>Студия фонда / выездная площадка</t>
        </is>
      </c>
      <c r="H235" s="26" t="inlineStr">
        <is>
          <t>Коммуникативные навыки, эмпатия и тьюторское сопровождение</t>
        </is>
      </c>
      <c r="I235" s="27" t="inlineStr">
        <is>
          <t>По формату занятия</t>
        </is>
      </c>
      <c r="J235" s="26" t="inlineStr">
        <is>
          <t>Есть ли у вас какое-то ежедневное напоминание о море? 🌊 Например, ракушка, которую можно в любой момент приложить к уху, и услышать плеск волн? 🐚 Или гладкие, отполированные прибоем камушки в аквариуме? Или брелок с напоминанием, что где-то совсем недалеко кричат чайки и пахнет с...</t>
        </is>
      </c>
    </row>
    <row r="236" ht="30" customHeight="1">
      <c r="A236" s="28" t="n">
        <v>6894</v>
      </c>
      <c r="B236" s="29" t="inlineStr">
        <is>
          <t>2024-06-13</t>
        </is>
      </c>
      <c r="C236" s="30">
        <f>HYPERLINK("https://vk.com/wall-1825701_6894", "Открыть пост")</f>
        <v/>
      </c>
      <c r="D236" s="31" t="inlineStr">
        <is>
          <t>Творческие мастер-классы и художественные студии</t>
        </is>
      </c>
      <c r="E236" s="31" t="inlineStr">
        <is>
          <t>Творческие мастер-классы и художественные студии; Выставки, экскурсии и культурные выходы</t>
        </is>
      </c>
      <c r="F236" s="31" t="inlineStr">
        <is>
          <t>Воспитанники ЦССВ, ДДИ и детских домов-интернатов</t>
        </is>
      </c>
      <c r="G236" s="31" t="inlineStr">
        <is>
          <t>ЦССВ «Радуга«</t>
        </is>
      </c>
      <c r="H236"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 Мобильность, выездное сопровождение и автоволонтёрство</t>
        </is>
      </c>
      <c r="I236" s="32" t="inlineStr">
        <is>
          <t>По формату занятия</t>
        </is>
      </c>
      <c r="J236" s="31" t="inlineStr">
        <is>
          <t>Летние каникулы наступили не только у школьников, но и у участников наших программ. Буквально на днях последние занятия в студиях состоялись для ребят из ЦССВ "Радуга" и "Сколковский". В этом сезоне мы подошли к разработке творческой программы по-новому — опираясь на запросы учас...</t>
        </is>
      </c>
    </row>
    <row r="237" ht="30" customHeight="1">
      <c r="A237" s="23" t="n">
        <v>6890</v>
      </c>
      <c r="B237" s="24" t="inlineStr">
        <is>
          <t>2024-06-06</t>
        </is>
      </c>
      <c r="C237" s="25">
        <f>HYPERLINK("https://vk.com/wall-1825701_6890", "Открыть пост")</f>
        <v/>
      </c>
      <c r="D237" s="26" t="inlineStr">
        <is>
          <t>Ярмарки, фестивали и благотворительные базары</t>
        </is>
      </c>
      <c r="E237" s="26" t="inlineStr">
        <is>
          <t>Ярмарки, фестивали и благотворительные базары; Творческие мастер-классы и художественные студии</t>
        </is>
      </c>
      <c r="F237" s="26" t="inlineStr">
        <is>
          <t>Подопечные фонда «Дети Марии» (общая группа детей и подростков)</t>
        </is>
      </c>
      <c r="G237" s="26" t="inlineStr">
        <is>
          <t>Студия фонда / выездная площадка</t>
        </is>
      </c>
      <c r="H237" s="26" t="inlineStr">
        <is>
          <t>Художественно-прикладные и ремесленные навыки; Организационные, ивент- и ярмарочные навыки</t>
        </is>
      </c>
      <c r="I237" s="27" t="inlineStr">
        <is>
          <t>По формату занятия</t>
        </is>
      </c>
      <c r="J237" s="26" t="inlineStr">
        <is>
          <t>За окном буря — самое время поделиться летним настроением и отправить вам лучики солнца с нашего мастер-класса. 🔆 Эти кадры были сделаны 1го июня на фестивале "Лето в Москве". КЦ Новослободский пригласил нас участвовать в празднике по случаю Всемирного дня защиты детей, и мы реши...</t>
        </is>
      </c>
    </row>
    <row r="238" ht="30" customHeight="1">
      <c r="A238" s="28" t="n">
        <v>6888</v>
      </c>
      <c r="B238" s="29" t="inlineStr">
        <is>
          <t>2024-06-04</t>
        </is>
      </c>
      <c r="C238" s="30">
        <f>HYPERLINK("https://vk.com/wall-1825701_6888", "Открыть пост")</f>
        <v/>
      </c>
      <c r="D238" s="31" t="inlineStr">
        <is>
          <t>Творческие мастер-классы и художественные студии</t>
        </is>
      </c>
      <c r="E238" s="31" t="inlineStr">
        <is>
          <t>Творческие мастер-классы и художественные студии</t>
        </is>
      </c>
      <c r="F238" s="31" t="inlineStr">
        <is>
          <t>Подопечные фонда «Дети Марии» (общая группа детей и подростков)</t>
        </is>
      </c>
      <c r="G238" s="31" t="inlineStr">
        <is>
          <t>Студия фонда / выездная площадка</t>
        </is>
      </c>
      <c r="H238" s="31" t="inlineStr">
        <is>
          <t>Художественно-прикладные и ремесленные навыки</t>
        </is>
      </c>
      <c r="I238" s="32" t="inlineStr">
        <is>
          <t>Да (в тексте)</t>
        </is>
      </c>
      <c r="J238" s="31" t="inlineStr">
        <is>
          <t>На наших творческих занятиях возможно все — в том числе спрятаться «в домике», пригласить туда друзей и творить вместе. На недавних занятиях по валянию произошло именно это. Наши волонтеры, педагоги и участники программ вместе отправились в путешествие к центру Земли, и создавали...</t>
        </is>
      </c>
    </row>
    <row r="239" ht="30" customHeight="1">
      <c r="A239" s="23" t="n">
        <v>6887</v>
      </c>
      <c r="B239" s="24" t="inlineStr">
        <is>
          <t>2024-06-01</t>
        </is>
      </c>
      <c r="C239" s="25">
        <f>HYPERLINK("https://vk.com/wall-1825701_6887", "Открыть пост")</f>
        <v/>
      </c>
      <c r="D239" s="26" t="inlineStr">
        <is>
          <t>Творческие мастер-классы и художественные студии</t>
        </is>
      </c>
      <c r="E239" s="26" t="inlineStr">
        <is>
          <t>Творческие мастер-классы и художественные студии; Выставки, экскурсии и культурные выходы</t>
        </is>
      </c>
      <c r="F239" s="26" t="inlineStr">
        <is>
          <t>Широкая аудитория, гости и благотворители (открытые события)</t>
        </is>
      </c>
      <c r="G239" s="26" t="inlineStr">
        <is>
          <t>Студия фонда / выездная площадка</t>
        </is>
      </c>
      <c r="H239" s="26" t="inlineStr">
        <is>
          <t>Коммуникативные навыки, эмпатия и тьюторское сопровождение</t>
        </is>
      </c>
      <c r="I239" s="27" t="inlineStr">
        <is>
          <t>По формату занятия</t>
        </is>
      </c>
      <c r="J239" s="26" t="inlineStr">
        <is>
          <t>Дорогие друзья! 🌊 Команда благотворительного фонда "Дети Марии" приглашает вас встретиться на открытом мастер-классе в честь Дня океанов. Встречаемся 4 и 5 июня в 18:00! 🐡4 июня по адресу Дмитровский переулок, дом 4, стр.1 (Метро Охотный ряд) 🦐5 июня по адресу Новинский бульвар, ...</t>
        </is>
      </c>
    </row>
    <row r="240" ht="30" customHeight="1">
      <c r="A240" s="28" t="n">
        <v>6886</v>
      </c>
      <c r="B240" s="29" t="inlineStr">
        <is>
          <t>2024-05-31</t>
        </is>
      </c>
      <c r="C240" s="30">
        <f>HYPERLINK("https://vk.com/wall-1825701_6886", "Открыть пост")</f>
        <v/>
      </c>
      <c r="D240" s="31" t="inlineStr">
        <is>
          <t>Творческие мастер-классы и художественные студии</t>
        </is>
      </c>
      <c r="E240" s="31" t="inlineStr">
        <is>
          <t>Творческие мастер-классы и художественные студии</t>
        </is>
      </c>
      <c r="F240" s="31" t="inlineStr">
        <is>
          <t>Широкая аудитория, гости и благотворители (открытые события)</t>
        </is>
      </c>
      <c r="G240" s="31" t="inlineStr">
        <is>
          <t>Студия фонда / выездная площадка</t>
        </is>
      </c>
      <c r="H240" s="31" t="inlineStr">
        <is>
          <t>Педагогические и наставнические навыки (кулинария, быт, учёба)</t>
        </is>
      </c>
      <c r="I240" s="32" t="inlineStr">
        <is>
          <t>По формату занятия</t>
        </is>
      </c>
      <c r="J240" s="31" t="inlineStr">
        <is>
          <t>Помните в начальной школе мы учились писать по прописям. Прилежно выводили сначала палочки, потом крючечки, а потом и буквы с наклоном. И как мы гордились первыми написанными словами! Именно этот повод для гордости стал вдохновением открытого мастер-класса ко Дню славянской письм...</t>
        </is>
      </c>
    </row>
    <row r="241" ht="30" customHeight="1">
      <c r="A241" s="23" t="n">
        <v>6883</v>
      </c>
      <c r="B241" s="24" t="inlineStr">
        <is>
          <t>2024-05-29</t>
        </is>
      </c>
      <c r="C241" s="25">
        <f>HYPERLINK("https://vk.com/wall-1825701_6883", "Открыть пост")</f>
        <v/>
      </c>
      <c r="D241" s="26" t="inlineStr">
        <is>
          <t>Выставки, экскурсии и культурные выходы</t>
        </is>
      </c>
      <c r="E241" s="26" t="inlineStr">
        <is>
          <t>Выставки, экскурсии и культурные выходы; Творческие мастер-классы и художественные студии</t>
        </is>
      </c>
      <c r="F241" s="26" t="inlineStr">
        <is>
          <t>Воспитанники ЦССВ, ДДИ и детских домов-интернатов</t>
        </is>
      </c>
      <c r="G241" s="26" t="inlineStr">
        <is>
          <t>ЦССВ «Радуга»</t>
        </is>
      </c>
      <c r="H241" s="26" t="inlineStr">
        <is>
          <t>Художественно-прикладные и ремесленные навыки; Педагогические и наставнические навыки (кулинария, быт, учёба); Организационные, ивент- и ярмарочные навыки; Мобильность, выездное сопровождение и автоволонтёрство; Медиа, фото/видеосъёмка и культурная медиация</t>
        </is>
      </c>
      <c r="I241" s="27" t="inlineStr">
        <is>
          <t>По формату занятия</t>
        </is>
      </c>
      <c r="J241" s="26" t="inlineStr">
        <is>
          <t>Поход в Пушкинский музей состоялся! 🎊 Недавно вместе с ребятами из ЦССВ «Радуга» мы отправились смотреть искусство древнего мира. Наши ребята — мастера подкованные. У них за плечами уже курс по стрит-арту, а теперь еще и практические занятия по наскальной живописи и искусство дре...</t>
        </is>
      </c>
    </row>
    <row r="242" ht="30" customHeight="1">
      <c r="A242" s="28" t="n">
        <v>6879</v>
      </c>
      <c r="B242" s="29" t="inlineStr">
        <is>
          <t>2024-05-28</t>
        </is>
      </c>
      <c r="C242" s="30">
        <f>HYPERLINK("https://vk.com/wall-1825701_6879", "Открыть пост")</f>
        <v/>
      </c>
      <c r="D242" s="31" t="inlineStr">
        <is>
          <t>Выставки, экскурсии и культурные выходы</t>
        </is>
      </c>
      <c r="E242" s="31" t="inlineStr">
        <is>
          <t>Выставки, экскурсии и культурные выходы; Творческие мастер-классы и художественные студии; Кулинарные, образовательные и социально-бытовые занятия</t>
        </is>
      </c>
      <c r="F242" s="31" t="inlineStr">
        <is>
          <t>Воспитанники ЦССВ, ДДИ и детских домов-интернатов</t>
        </is>
      </c>
      <c r="G242" s="31" t="inlineStr">
        <is>
          <t>Студия фонда / выездная площадка</t>
        </is>
      </c>
      <c r="H242" s="31" t="inlineStr">
        <is>
          <t>Художественно-прикладные и ремесленные навыки; Коммуникативные навыки, эмпатия и тьюторское сопровождение; Мобильность, выездное сопровождение и автоволонтёрство</t>
        </is>
      </c>
      <c r="I242" s="32" t="inlineStr">
        <is>
          <t>По формату занятия</t>
        </is>
      </c>
      <c r="J242" s="31" t="inlineStr">
        <is>
          <t>Наш супер-популярный курс по истории уличного искусства должен был продолжиться чем-то не менее хитовым, правда? 🎨 Мы долго обсуждали тему, которая с одной стороны подхватит (и поможет закрепить) настроение и полученные знания, а с другой — вдохновит ребят на глубокое погружение ...</t>
        </is>
      </c>
    </row>
    <row r="243" ht="30" customHeight="1">
      <c r="A243" s="23" t="n">
        <v>6877</v>
      </c>
      <c r="B243" s="24" t="inlineStr">
        <is>
          <t>2024-05-27</t>
        </is>
      </c>
      <c r="C243" s="25">
        <f>HYPERLINK("https://vk.com/wall-1825701_6877", "Открыть пост")</f>
        <v/>
      </c>
      <c r="D243" s="26" t="inlineStr">
        <is>
          <t>Праздники, дни рождения и клубные встречи</t>
        </is>
      </c>
      <c r="E243" s="26" t="inlineStr">
        <is>
          <t>Праздники, дни рождения и клубные встречи; Спортивные и активные мероприятия; Кулинарные, образовательные и социально-бытовые занятия</t>
        </is>
      </c>
      <c r="F243" s="26" t="inlineStr">
        <is>
          <t>Выпускники интернатов и детских домов (молодые взрослые)</t>
        </is>
      </c>
      <c r="G243" s="26" t="inlineStr">
        <is>
          <t>Студия фонда / выездная площадка</t>
        </is>
      </c>
      <c r="H243" s="26" t="inlineStr">
        <is>
          <t>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t>
        </is>
      </c>
      <c r="I243" s="27" t="inlineStr">
        <is>
          <t>Да (в тексте)</t>
        </is>
      </c>
      <c r="J243" s="26" t="inlineStr">
        <is>
          <t>🎂 Помните, как в детстве День рождения иногда казался праздником для взрослых. Приходило много друзей родителей, родственников (всех не сразу вспомнишь) и других "знакомых кролика". Все рассаживались за столом... а как же волшебный детский праздник? 🥳 Мы вот хорошо помним, поэтом...</t>
        </is>
      </c>
    </row>
    <row r="244" ht="30" customHeight="1">
      <c r="A244" s="28" t="n">
        <v>6873</v>
      </c>
      <c r="B244" s="29" t="inlineStr">
        <is>
          <t>2024-05-20</t>
        </is>
      </c>
      <c r="C244" s="30">
        <f>HYPERLINK("https://vk.com/wall-1825701_6873", "Открыть пост")</f>
        <v/>
      </c>
      <c r="D244" s="31" t="inlineStr">
        <is>
          <t>Творческие мастер-классы и художественные студии</t>
        </is>
      </c>
      <c r="E244" s="31" t="inlineStr">
        <is>
          <t>Творческие мастер-классы и художественные студии</t>
        </is>
      </c>
      <c r="F244" s="31" t="inlineStr">
        <is>
          <t>Подопечные фонда «Дети Марии» (общая группа детей и подростков)</t>
        </is>
      </c>
      <c r="G244" s="31" t="inlineStr">
        <is>
          <t>Студия фонда / выездная площадка</t>
        </is>
      </c>
      <c r="H244" s="31" t="inlineStr">
        <is>
          <t>Художественно-прикладные и ремесленные навыки; Коммуникативные навыки, эмпатия и тьюторское сопровождение; Медиа, фото/видеосъёмка и культурная медиация</t>
        </is>
      </c>
      <c r="I244" s="32" t="inlineStr">
        <is>
          <t>По формату занятия</t>
        </is>
      </c>
      <c r="J244" s="31" t="inlineStr">
        <is>
          <t>Одна из важных частей наших занятий и встреч с ребятами участниками программ — пи-ро-ги! Возможно ребята вообще начнут с этого, если вы их спросите. 🍕Во-первых, любому творцу после работы над полотном, мозаикой или шедевров стрит-арта нужно подкрепиться. 🍕Во-вторых, пироги очень ...</t>
        </is>
      </c>
    </row>
    <row r="245" ht="30" customHeight="1">
      <c r="A245" s="23" t="n">
        <v>6866</v>
      </c>
      <c r="B245" s="24" t="inlineStr">
        <is>
          <t>2024-05-18</t>
        </is>
      </c>
      <c r="C245" s="25">
        <f>HYPERLINK("https://vk.com/wall-1825701_6866", "Открыть пост")</f>
        <v/>
      </c>
      <c r="D245" s="26" t="inlineStr">
        <is>
          <t>Творческие мастер-классы и художественные студии</t>
        </is>
      </c>
      <c r="E245" s="26" t="inlineStr">
        <is>
          <t>Творческие мастер-классы и художественные студии</t>
        </is>
      </c>
      <c r="F245" s="26" t="inlineStr">
        <is>
          <t>Подростки и взрослые с ментальными особенностями и ОВЗ (ПНИ / Социальные дома); Воспитанники ЦССВ, ДДИ и детских домов-интернатов</t>
        </is>
      </c>
      <c r="G245" s="26" t="inlineStr">
        <is>
          <t>Студия фонда / выездная площадка</t>
        </is>
      </c>
      <c r="H245"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 Мобильность, выездное сопровождение и автоволонтёрство</t>
        </is>
      </c>
      <c r="I245" s="27" t="inlineStr">
        <is>
          <t>Да (в тексте)</t>
        </is>
      </c>
      <c r="J245" s="26" t="inlineStr">
        <is>
          <t>На что похожа ваша суббота? Может, вы любите проводить ее в тишине? Может, встречаетесь с друзьями или ходите на интересные события? В любом случае этот день наверняка связан с радостью, любимыми людьми, безопасностью, теплом, отдыхом... в общем, с домом. Мы делаем все, чтобы для...</t>
        </is>
      </c>
    </row>
    <row r="246" ht="30" customHeight="1">
      <c r="A246" s="28" t="n">
        <v>6865</v>
      </c>
      <c r="B246" s="29" t="inlineStr">
        <is>
          <t>2024-05-15</t>
        </is>
      </c>
      <c r="C246" s="30">
        <f>HYPERLINK("https://vk.com/wall-1825701_6865", "Открыть пост")</f>
        <v/>
      </c>
      <c r="D246" s="31" t="inlineStr">
        <is>
          <t>Творческие мастер-классы и художественные студии</t>
        </is>
      </c>
      <c r="E246" s="31" t="inlineStr">
        <is>
          <t>Творческие мастер-классы и художественные студии; Выставки, экскурсии и культурные выходы</t>
        </is>
      </c>
      <c r="F246" s="31" t="inlineStr">
        <is>
          <t>Широкая аудитория, гости и благотворители (открытые события)</t>
        </is>
      </c>
      <c r="G246" s="31" t="inlineStr">
        <is>
          <t>Студия фонда / выездная площадка</t>
        </is>
      </c>
      <c r="H246" s="31" t="inlineStr">
        <is>
          <t>Коммуникативные навыки, эмпатия и тьюторское сопровождение</t>
        </is>
      </c>
      <c r="I246" s="32" t="inlineStr">
        <is>
          <t>По формату занятия</t>
        </is>
      </c>
      <c r="J246" s="31" t="inlineStr">
        <is>
          <t>Дорогие друзья! Команда благотворительного фонда "Дети Марии" приглашает вас встретиться на открытом мастер-классе в честь Дня славянской письменности и культуры. Мастер-классов будет 2: в студии на Дмитровке и на Новинском. 🗓 Даты: 👉🏻21 мая в 18:00 встречаемся по адресу Дмитровс...</t>
        </is>
      </c>
    </row>
    <row r="247" ht="30" customHeight="1">
      <c r="A247" s="23" t="n">
        <v>6861</v>
      </c>
      <c r="B247" s="24" t="inlineStr">
        <is>
          <t>2024-05-08</t>
        </is>
      </c>
      <c r="C247" s="25">
        <f>HYPERLINK("https://vk.com/wall-1825701_6861", "Открыть пост")</f>
        <v/>
      </c>
      <c r="D247" s="26" t="inlineStr">
        <is>
          <t>Творческие мастер-классы и художественные студии</t>
        </is>
      </c>
      <c r="E247" s="26" t="inlineStr">
        <is>
          <t>Творческие мастер-классы и художественные студии; Выставки, экскурсии и культурные выходы</t>
        </is>
      </c>
      <c r="F247" s="26" t="inlineStr">
        <is>
          <t>Широкая аудитория, гости и благотворители (открытые события)</t>
        </is>
      </c>
      <c r="G247" s="26" t="inlineStr">
        <is>
          <t>Студия фонда / выездная площадка</t>
        </is>
      </c>
      <c r="H247" s="26"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 Организационные, ивент- и ярмарочные навыки</t>
        </is>
      </c>
      <c r="I247" s="27" t="inlineStr">
        <is>
          <t>По формату занятия</t>
        </is>
      </c>
      <c r="J247" s="26" t="inlineStr">
        <is>
          <t>На выходных, вместе с участниками наших открытых мастер-классов на Дмитровке, мы готовились к Пасхе и главное — отмечали ее вместе! 🪺 Один из главных (и очень красивых) этапов подготовки к Пасхе — роспись яиц. С одной стороны кажется это легко — пространство ведь совсем маленькое...</t>
        </is>
      </c>
    </row>
    <row r="248" ht="30" customHeight="1">
      <c r="A248" s="28" t="n">
        <v>6860</v>
      </c>
      <c r="B248" s="29" t="inlineStr">
        <is>
          <t>2024-05-06</t>
        </is>
      </c>
      <c r="C248" s="30">
        <f>HYPERLINK("https://vk.com/wall-1825701_6860", "Открыть пост")</f>
        <v/>
      </c>
      <c r="D248" s="31" t="inlineStr">
        <is>
          <t>Творческие мастер-классы и художественные студии</t>
        </is>
      </c>
      <c r="E248" s="31" t="inlineStr">
        <is>
          <t>Творческие мастер-классы и художественные студии; Кулинарные, образовательные и социально-бытовые занятия; Выездные лагеря, дача и сезонные программы; Выставки, экскурсии и культурные выходы; Спортивные и активные мероприятия</t>
        </is>
      </c>
      <c r="F248" s="31" t="inlineStr">
        <is>
          <t>Воспитанники ЦССВ, ДДИ и детских домов-интернатов; Дети и семьи (в т.ч. приёмные семьи и программа в Беслане)</t>
        </is>
      </c>
      <c r="G248" s="31" t="inlineStr">
        <is>
          <t>Беслан, интернат «Надежда«</t>
        </is>
      </c>
      <c r="H248"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Мобильность, выездное сопровождение и автоволонтёрство</t>
        </is>
      </c>
      <c r="I248" s="32" t="inlineStr">
        <is>
          <t>По формату занятия</t>
        </is>
      </c>
      <c r="J248" s="31" t="inlineStr">
        <is>
          <t>🚂 Мы вернулись из ежегодной (и от этого еще более долгожданной!) поездки в Беслан. И теперь спешим поделиться с вами впечатлениями, эмоциями, любовью, объятиями и творчеством, конечно! За неделю в Беслане мы вместе с ребятами прошли путь творческих занятий, образовательных, кулин...</t>
        </is>
      </c>
    </row>
    <row r="249" ht="30" customHeight="1">
      <c r="A249" s="23" t="n">
        <v>6856</v>
      </c>
      <c r="B249" s="24" t="inlineStr">
        <is>
          <t>2024-04-29</t>
        </is>
      </c>
      <c r="C249" s="25">
        <f>HYPERLINK("https://vk.com/wall-1825701_6856", "Открыть пост")</f>
        <v/>
      </c>
      <c r="D249" s="26" t="inlineStr">
        <is>
          <t>Творческие мастер-классы и художественные студии</t>
        </is>
      </c>
      <c r="E249" s="26" t="inlineStr">
        <is>
          <t>Творческие мастер-классы и художественные студии; Выставки, экскурсии и культурные выходы</t>
        </is>
      </c>
      <c r="F249" s="26" t="inlineStr">
        <is>
          <t>Воспитанники ЦССВ, ДДИ и детских домов-интернатов</t>
        </is>
      </c>
      <c r="G249" s="26" t="inlineStr">
        <is>
          <t>Студия фонда / выездная площадка</t>
        </is>
      </c>
      <c r="H249" s="26" t="inlineStr">
        <is>
          <t>Педагогические и наставнические навыки (кулинария, быт, учёба); Медиа, фото/видеосъёмка и культурная медиация</t>
        </is>
      </c>
      <c r="I249" s="27" t="inlineStr">
        <is>
          <t>По формату занятия</t>
        </is>
      </c>
      <c r="J249" s="26" t="inlineStr">
        <is>
          <t>⭐Наши звёздочки стрит-арта из ЦССВ (Центр содействия семейному воспитанию) "Радуга" расписали стену на Артплее! Событие года состоялось 21 апреля, руководил процессом (стихией) уличный художник Sneksy 😍 Стрит-арт — это много подготовки, практики, эскизов, вдохновения... и еще бол...</t>
        </is>
      </c>
    </row>
    <row r="250" ht="30" customHeight="1">
      <c r="A250" s="28" t="n">
        <v>6854</v>
      </c>
      <c r="B250" s="29" t="inlineStr">
        <is>
          <t>2024-04-27</t>
        </is>
      </c>
      <c r="C250" s="30">
        <f>HYPERLINK("https://vk.com/wall-1825701_6854", "Открыть пост")</f>
        <v/>
      </c>
      <c r="D250" s="31" t="inlineStr">
        <is>
          <t>Ярмарки, фестивали и благотворительные базары</t>
        </is>
      </c>
      <c r="E250" s="31" t="inlineStr">
        <is>
          <t>Ярмарки, фестивали и благотворительные базары</t>
        </is>
      </c>
      <c r="F250" s="31" t="inlineStr">
        <is>
          <t>Широкая аудитория, гости и благотворители (открытые события)</t>
        </is>
      </c>
      <c r="G250" s="31" t="inlineStr">
        <is>
          <t>Студия фонда / выездная площадка</t>
        </is>
      </c>
      <c r="H250" s="31" t="inlineStr">
        <is>
          <t>Коммуникативные навыки, эмпатия и тьюторское сопровождение</t>
        </is>
      </c>
      <c r="I250" s="32" t="inlineStr">
        <is>
          <t>По формату занятия</t>
        </is>
      </c>
      <c r="J250" s="31" t="inlineStr">
        <is>
          <t>🔥 На грядущих долгих выходных ... приглашаем за покупками со смыслом! С 28 апреля по 5 мая ждем вас на благотворительном фестивале «Пасхальный дар» в Москве. Приходите за изделиями ручной работы, за подарками себе и близким, за красивыми мелочами (и не мелочами), и, конечно, за п...</t>
        </is>
      </c>
    </row>
    <row r="251" ht="30" customHeight="1">
      <c r="A251" s="23" t="n">
        <v>6853</v>
      </c>
      <c r="B251" s="24" t="inlineStr">
        <is>
          <t>2024-04-26</t>
        </is>
      </c>
      <c r="C251" s="25">
        <f>HYPERLINK("https://vk.com/wall-1825701_6853", "Открыть пост")</f>
        <v/>
      </c>
      <c r="D251" s="26" t="inlineStr">
        <is>
          <t>Кулинарные, образовательные и социально-бытовые занятия</t>
        </is>
      </c>
      <c r="E251" s="26" t="inlineStr">
        <is>
          <t>Кулинарные, образовательные и социально-бытовые занятия</t>
        </is>
      </c>
      <c r="F251" s="26" t="inlineStr">
        <is>
          <t>Широкая аудитория, гости и благотворители (открытые события)</t>
        </is>
      </c>
      <c r="G251" s="26" t="inlineStr">
        <is>
          <t>Студия фонда / выездная площадка</t>
        </is>
      </c>
      <c r="H251" s="26" t="inlineStr">
        <is>
          <t>Коммуникативные навыки, эмпатия и тьюторское сопровождение; Педагогические и наставнические навыки (кулинария, быт, учёба); Мобильность, выездное сопровождение и автоволонтёрство</t>
        </is>
      </c>
      <c r="I251" s="27" t="inlineStr">
        <is>
          <t>По формату занятия</t>
        </is>
      </c>
      <c r="J251" s="26" t="inlineStr">
        <is>
          <t>📚Когда мы рассказываем об индивидуальных занятиях с участниками программ фонда, все обычно думают о занятиях по школьным предметам. Подтянуть математику, отработать ошибки в русском... Конечно, такие занятия у нас тоже есть. Но что если мы скажем, что наши ребята порой приходят к...</t>
        </is>
      </c>
    </row>
    <row r="252" ht="30" customHeight="1">
      <c r="A252" s="28" t="n">
        <v>6851</v>
      </c>
      <c r="B252" s="29" t="inlineStr">
        <is>
          <t>2024-04-25</t>
        </is>
      </c>
      <c r="C252" s="30">
        <f>HYPERLINK("https://vk.com/wall-1825701_6851", "Открыть пост")</f>
        <v/>
      </c>
      <c r="D252" s="31" t="inlineStr">
        <is>
          <t>Кулинарные, образовательные и социально-бытовые занятия</t>
        </is>
      </c>
      <c r="E252" s="31" t="inlineStr">
        <is>
          <t>Кулинарные, образовательные и социально-бытовые занятия</t>
        </is>
      </c>
      <c r="F252" s="31" t="inlineStr">
        <is>
          <t>Воспитанники ЦССВ, ДДИ и детских домов-интернатов; Выпускники интернатов и детских домов (молодые взрослые)</t>
        </is>
      </c>
      <c r="G252" s="31" t="inlineStr">
        <is>
          <t>Студия фонда / выездная площадка</t>
        </is>
      </c>
      <c r="H252" s="31" t="inlineStr">
        <is>
          <t>Коммуникативные навыки, эмпатия и тьюторское сопровождение; Педагогические и наставнические навыки (кулинария, быт, учёба)</t>
        </is>
      </c>
      <c r="I252" s="32" t="inlineStr">
        <is>
          <t>По формату занятия</t>
        </is>
      </c>
      <c r="J252" s="31" t="inlineStr">
        <is>
          <t>📚 В минувшую субботу у нас в фонде прошла важнейшая лекция. Вместе с участниками проекта "Тренировочная квартира" мы говорили о правовой грамотности. Сейчас, когда ребята готовятся к выпуску, лучшее время, чтобы говорить о правах, обязанностях и ответственности. Рассказать роб эт...</t>
        </is>
      </c>
    </row>
    <row r="253" ht="30" customHeight="1">
      <c r="A253" s="23" t="n">
        <v>6849</v>
      </c>
      <c r="B253" s="24" t="inlineStr">
        <is>
          <t>2024-04-23</t>
        </is>
      </c>
      <c r="C253" s="25">
        <f>HYPERLINK("https://vk.com/wall-1825701_6849", "Открыть пост")</f>
        <v/>
      </c>
      <c r="D253" s="26" t="inlineStr">
        <is>
          <t>Спектакли, концерты и музыкально-театральные занятия</t>
        </is>
      </c>
      <c r="E253" s="26" t="inlineStr">
        <is>
          <t>Спектакли, концерты и музыкально-театральные занятия</t>
        </is>
      </c>
      <c r="F253" s="26" t="inlineStr">
        <is>
          <t>Подопечные фонда «Дети Марии» (общая группа детей и подростков)</t>
        </is>
      </c>
      <c r="G253" s="26" t="inlineStr">
        <is>
          <t>ТВЕРСКАЯ 15</t>
        </is>
      </c>
      <c r="H253" s="26" t="inlineStr">
        <is>
          <t>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 Мобильность, выездное сопровождение и автоволонтёрство; Медиа, фото/видеосъёмка и культурная медиация</t>
        </is>
      </c>
      <c r="I253" s="27" t="inlineStr">
        <is>
          <t>Да (в тексте)</t>
        </is>
      </c>
      <c r="J253" s="26" t="inlineStr">
        <is>
          <t>17 апреля в честь дня рождения фонда «Дети Марии» в «Волшебном весеннем лесу» прошел благотворительный концерт и сбор средств в пользу фондов «Дети Марии» и Инклюзивный культурный центр «ТВЕРСКАЯ 15» 🎉 Благодаря нашим гостям мы собрали 310 600 рублей! Все собранные средства пойду...</t>
        </is>
      </c>
    </row>
    <row r="254" ht="30" customHeight="1">
      <c r="A254" s="28" t="n">
        <v>6846</v>
      </c>
      <c r="B254" s="29" t="inlineStr">
        <is>
          <t>2024-04-18</t>
        </is>
      </c>
      <c r="C254" s="30">
        <f>HYPERLINK("https://vk.com/wall-1825701_6846", "Открыть пост")</f>
        <v/>
      </c>
      <c r="D254" s="31" t="inlineStr">
        <is>
          <t>Творческие мастер-классы и художественные студии</t>
        </is>
      </c>
      <c r="E254" s="31" t="inlineStr">
        <is>
          <t>Творческие мастер-классы и художественные студии</t>
        </is>
      </c>
      <c r="F254" s="31" t="inlineStr">
        <is>
          <t>Воспитанники ЦССВ, ДДИ и детских домов-интернатов</t>
        </is>
      </c>
      <c r="G254" s="31" t="inlineStr">
        <is>
          <t>Студия фонда / выездная площадка</t>
        </is>
      </c>
      <c r="H254" s="31" t="inlineStr">
        <is>
          <t>Художественно-прикладные и ремесленные навыки; Коммуникативные навыки, эмпатия и тьюторское сопровождение</t>
        </is>
      </c>
      <c r="I254" s="32" t="inlineStr">
        <is>
          <t>По формату занятия</t>
        </is>
      </c>
      <c r="J254" s="31" t="inlineStr">
        <is>
          <t>Буквально через 3 дня ребята из ЦССВ (Центр содействия семейному воспитанию) "Радуга" отправятся на мастер-класс по росписи стен! Под руководством популярного художника стрит-артиста они научатся расписывать стену аэрозольными красками. Смогут разместить свои высказывания в город...</t>
        </is>
      </c>
    </row>
    <row r="255" ht="30" customHeight="1">
      <c r="A255" s="23" t="n">
        <v>6841</v>
      </c>
      <c r="B255" s="24" t="inlineStr">
        <is>
          <t>2024-04-17</t>
        </is>
      </c>
      <c r="C255" s="25">
        <f>HYPERLINK("https://vk.com/wall-1825701_6841", "Открыть пост")</f>
        <v/>
      </c>
      <c r="D255" s="26" t="inlineStr">
        <is>
          <t>Творческие мастер-классы и художественные студии</t>
        </is>
      </c>
      <c r="E255" s="26" t="inlineStr">
        <is>
          <t>Творческие мастер-классы и художественные студии</t>
        </is>
      </c>
      <c r="F255" s="26" t="inlineStr">
        <is>
          <t>Воспитанники ЦССВ, ДДИ и детских домов-интернатов</t>
        </is>
      </c>
      <c r="G255" s="26" t="inlineStr">
        <is>
          <t>интерната №103</t>
        </is>
      </c>
      <c r="H255"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 Мобильность, выездное сопровождение и автоволонтёрство</t>
        </is>
      </c>
      <c r="I255" s="27" t="inlineStr">
        <is>
          <t>По формату занятия</t>
        </is>
      </c>
      <c r="J255" s="26" t="inlineStr">
        <is>
          <t>🍰 Сегодня у нас день рождения – 27 лет! Знаете же как это бывает – буквально момент, и ты уже взрослый. Мы ощущаем себя именно так. Кажется, буквально вчера мы были маленькой художественной студией, в которой занимались 12 ребят из московского интерната №103. Буквально только что...</t>
        </is>
      </c>
    </row>
    <row r="256" ht="30" customHeight="1">
      <c r="A256" s="28" t="n">
        <v>6839</v>
      </c>
      <c r="B256" s="29" t="inlineStr">
        <is>
          <t>2024-04-16</t>
        </is>
      </c>
      <c r="C256" s="30">
        <f>HYPERLINK("https://vk.com/wall-1825701_6839", "Открыть пост")</f>
        <v/>
      </c>
      <c r="D256" s="31" t="inlineStr">
        <is>
          <t>Творческие мастер-классы и художественные студии</t>
        </is>
      </c>
      <c r="E256" s="31" t="inlineStr">
        <is>
          <t>Творческие мастер-классы и художественные студии; Выставки, экскурсии и культурные выходы</t>
        </is>
      </c>
      <c r="F256" s="31" t="inlineStr">
        <is>
          <t>Воспитанники ЦССВ, ДДИ и детских домов-интернатов</t>
        </is>
      </c>
      <c r="G256" s="31" t="inlineStr">
        <is>
          <t>Студия фонда / выездная площадка</t>
        </is>
      </c>
      <c r="H256" s="31"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t>
        </is>
      </c>
      <c r="I256" s="32" t="inlineStr">
        <is>
          <t>По формату занятия</t>
        </is>
      </c>
      <c r="J256" s="31" t="inlineStr">
        <is>
          <t>Обещали рассказать вам, как стрит-арт пробрался на наши творческие занятия, стал их полноправным участником и в конце концов оказался в центре внимания. 🎨 Все это — заслуга как ведущих, так и участников программ фонда «Дети Марии». О стрит-арте мы впервые заговорили с ребятами из...</t>
        </is>
      </c>
    </row>
    <row r="257" ht="30" customHeight="1">
      <c r="A257" s="23" t="n">
        <v>6837</v>
      </c>
      <c r="B257" s="24" t="inlineStr">
        <is>
          <t>2024-04-12</t>
        </is>
      </c>
      <c r="C257" s="25">
        <f>HYPERLINK("https://vk.com/wall-1825701_6837", "Открыть пост")</f>
        <v/>
      </c>
      <c r="D257" s="26" t="inlineStr">
        <is>
          <t>Творческие мастер-классы и художественные студии</t>
        </is>
      </c>
      <c r="E257" s="26" t="inlineStr">
        <is>
          <t>Творческие мастер-классы и художественные студии</t>
        </is>
      </c>
      <c r="F257" s="26" t="inlineStr">
        <is>
          <t>Широкая аудитория, гости и благотворители (открытые события)</t>
        </is>
      </c>
      <c r="G257" s="26" t="inlineStr">
        <is>
          <t>Студия фонда / выездная площадка</t>
        </is>
      </c>
      <c r="H257" s="26" t="inlineStr">
        <is>
          <t>Коммуникативные навыки, эмпатия и тьюторское сопровождение</t>
        </is>
      </c>
      <c r="I257" s="27" t="inlineStr">
        <is>
          <t>По формату занятия</t>
        </is>
      </c>
      <c r="J257" s="26" t="inlineStr">
        <is>
          <t>🚀С Днём космонавтики, с днем мечты, ставшей реальностью! Важный день мы с гостями открытых мастер-классов отметили, составив карту звездного неба. 💫 Сначала мы познакомились с созвездием Большой Медведицы, нашли на небе Северный Крест и многие другие группы звезд. А потом приступ...</t>
        </is>
      </c>
    </row>
    <row r="258" ht="30" customHeight="1">
      <c r="A258" s="28" t="n">
        <v>6836</v>
      </c>
      <c r="B258" s="29" t="inlineStr">
        <is>
          <t>2024-04-11</t>
        </is>
      </c>
      <c r="C258" s="30">
        <f>HYPERLINK("https://vk.com/wall-1825701_6836", "Открыть пост")</f>
        <v/>
      </c>
      <c r="D258" s="31" t="inlineStr">
        <is>
          <t>Ярмарки, фестивали и благотворительные базары</t>
        </is>
      </c>
      <c r="E258" s="31" t="inlineStr">
        <is>
          <t>Ярмарки, фестивали и благотворительные базары</t>
        </is>
      </c>
      <c r="F258" s="31" t="inlineStr">
        <is>
          <t>Широкая аудитория, гости и благотворители (открытые события)</t>
        </is>
      </c>
      <c r="G258" s="31" t="inlineStr">
        <is>
          <t>Студия фонда / выездная площадка</t>
        </is>
      </c>
      <c r="H258" s="31" t="inlineStr">
        <is>
          <t>Коммуникативные навыки, эмпатия и тьюторское сопровождение; Организационные, ивент- и ярмарочные навыки</t>
        </is>
      </c>
      <c r="I258" s="32" t="inlineStr">
        <is>
          <t>По формату занятия</t>
        </is>
      </c>
      <c r="J258" s="31" t="inlineStr">
        <is>
          <t>🎉Всегда ждем личные встречи с вами... и вот одна из них, да еще так скоро — в эти выходные! Итак, 13 и 14 апреля мы ждем вас на весеннем маркете «На полке: весна!»❤ Это инклюзивный маркет, который пройдет на Брикете Фуд-корт «Брикет Маркет» в Торговом центре Цветной (Москва). Это...</t>
        </is>
      </c>
    </row>
    <row r="259" ht="30" customHeight="1">
      <c r="A259" s="23" t="n">
        <v>6834</v>
      </c>
      <c r="B259" s="24" t="inlineStr">
        <is>
          <t>2024-04-09</t>
        </is>
      </c>
      <c r="C259" s="25">
        <f>HYPERLINK("https://vk.com/wall-1825701_6834", "Открыть пост")</f>
        <v/>
      </c>
      <c r="D259" s="26" t="inlineStr">
        <is>
          <t>Выставки, экскурсии и культурные выходы</t>
        </is>
      </c>
      <c r="E259" s="26" t="inlineStr">
        <is>
          <t>Выставки, экскурсии и культурные выходы</t>
        </is>
      </c>
      <c r="F259" s="26" t="inlineStr">
        <is>
          <t>Выпускники интернатов и детских домов (молодые взрослые)</t>
        </is>
      </c>
      <c r="G259" s="26" t="inlineStr">
        <is>
          <t>Студия фонда / выездная площадка</t>
        </is>
      </c>
      <c r="H259" s="26" t="inlineStr">
        <is>
          <t>Коммуникативные навыки, эмпатия и тьюторское сопровождение; Мобильность, выездное сопровождение и автоволонтёрство</t>
        </is>
      </c>
      <c r="I259" s="27" t="inlineStr">
        <is>
          <t>По формату занятия</t>
        </is>
      </c>
      <c r="J259" s="26" t="inlineStr">
        <is>
          <t>В эти выходные мы с ребятами побывали на выставке «Найти Бэнкси» на ВДНХ! 🎈 Если вы не знаете, кто такой Бэнкси, то нет, вы точно знаете! Бэнкси — самый знаменитый уличный художник в мире. Человек, оставляющий на стенах разных городов граффити восхитительной красоты и глубокого с...</t>
        </is>
      </c>
    </row>
    <row r="260" ht="30" customHeight="1">
      <c r="A260" s="28" t="n">
        <v>6830</v>
      </c>
      <c r="B260" s="29" t="inlineStr">
        <is>
          <t>2024-04-04</t>
        </is>
      </c>
      <c r="C260" s="30">
        <f>HYPERLINK("https://vk.com/wall-1825701_6830", "Открыть пост")</f>
        <v/>
      </c>
      <c r="D260" s="31" t="inlineStr">
        <is>
          <t>Творческие мастер-классы и художественные студии</t>
        </is>
      </c>
      <c r="E260" s="31" t="inlineStr">
        <is>
          <t>Творческие мастер-классы и художественные студии; Выставки, экскурсии и культурные выходы</t>
        </is>
      </c>
      <c r="F260" s="31" t="inlineStr">
        <is>
          <t>Подопечные фонда «Дети Марии» (общая группа детей и подростков)</t>
        </is>
      </c>
      <c r="G260" s="31" t="inlineStr">
        <is>
          <t>Студия фонда / выездная площадка</t>
        </is>
      </c>
      <c r="H260" s="31" t="inlineStr">
        <is>
          <t>Коммуникативные навыки, эмпатия и тьюторское сопровождение</t>
        </is>
      </c>
      <c r="I260" s="32" t="inlineStr">
        <is>
          <t>По формату занятия</t>
        </is>
      </c>
      <c r="J260" s="31" t="inlineStr">
        <is>
          <t>Дорогие друзья! Команда благотворительного фонда «Дети Марии» приглашает вас встретиться на космическом мастер-классе, приуроченном ко Дню космонавтики. 📍Где: встречаемся по адресу Новинский бульвар, д25к10 (метро Баррикадная или Краснопресненская). 🗓Когда: 10 апреля (среда) в 18...</t>
        </is>
      </c>
    </row>
    <row r="261" ht="30" customHeight="1">
      <c r="A261" s="23" t="n">
        <v>6827</v>
      </c>
      <c r="B261" s="24" t="inlineStr">
        <is>
          <t>2024-04-03</t>
        </is>
      </c>
      <c r="C261" s="25">
        <f>HYPERLINK("https://vk.com/wall-1825701_6827", "Открыть пост")</f>
        <v/>
      </c>
      <c r="D261" s="26" t="inlineStr">
        <is>
          <t>Творческие мастер-классы и художественные студии</t>
        </is>
      </c>
      <c r="E261" s="26" t="inlineStr">
        <is>
          <t>Творческие мастер-классы и художественные студии; Выставки, экскурсии и культурные выходы</t>
        </is>
      </c>
      <c r="F261" s="26" t="inlineStr">
        <is>
          <t>Подопечные фонда «Дети Марии» (общая группа детей и подростков)</t>
        </is>
      </c>
      <c r="G261" s="26" t="inlineStr">
        <is>
          <t>Студия фонда / выездная площадка</t>
        </is>
      </c>
      <c r="H261" s="26" t="inlineStr">
        <is>
          <t>Коммуникативные навыки, эмпатия и тьюторское сопровождение</t>
        </is>
      </c>
      <c r="I261" s="27" t="inlineStr">
        <is>
          <t>По формату занятия</t>
        </is>
      </c>
      <c r="J261" s="26" t="inlineStr">
        <is>
          <t>Дорогие друзья! Команда благотворительного фонда «Дети Марии» приглашает вас встретиться на космическом мастер-классе, приуроченном ко Дню космонавтики 🌏. 📍Где: встречаемся по адресу Дмитровский переулок, дом 4, стр.1 (Метро Охотный ряд) 🗓• Когда: 9 апреля (вторник) в 18:00! Буде...</t>
        </is>
      </c>
    </row>
    <row r="262" ht="30" customHeight="1">
      <c r="A262" s="28" t="n">
        <v>6822</v>
      </c>
      <c r="B262" s="29" t="inlineStr">
        <is>
          <t>2024-03-28</t>
        </is>
      </c>
      <c r="C262" s="30">
        <f>HYPERLINK("https://vk.com/wall-1825701_6822", "Открыть пост")</f>
        <v/>
      </c>
      <c r="D262" s="31" t="inlineStr">
        <is>
          <t>Праздники, дни рождения и клубные встречи</t>
        </is>
      </c>
      <c r="E262" s="31" t="inlineStr">
        <is>
          <t>Праздники, дни рождения и клубные встречи; Кулинарные, образовательные и социально-бытовые занятия</t>
        </is>
      </c>
      <c r="F262" s="31" t="inlineStr">
        <is>
          <t>Подопечные фонда «Дети Марии» (общая группа детей и подростков)</t>
        </is>
      </c>
      <c r="G262" s="31" t="inlineStr">
        <is>
          <t>Студия фонда / выездная площадка</t>
        </is>
      </c>
      <c r="H262" s="31" t="inlineStr">
        <is>
          <t>Педагогические и наставнические навыки (кулинария, быт, учёба); Мобильность, выездное сопровождение и автоволонтёрство; Медиа, фото/видеосъёмка и культурная медиация</t>
        </is>
      </c>
      <c r="I262" s="32" t="inlineStr">
        <is>
          <t>По формату занятия</t>
        </is>
      </c>
      <c r="J262" s="31" t="inlineStr">
        <is>
          <t>💫 Помните свои детские мечты? Может вы хотели купить много конфет и все их съесть? Может мечтали стать капитаном речного кораблика? Участники наших программ недавно признались, что мечтали сами напечь блинов. Вот как было дело. Мы готовились к Масленице заранее: планировали занят...</t>
        </is>
      </c>
    </row>
    <row r="263" ht="30" customHeight="1">
      <c r="A263" s="23" t="n">
        <v>6820</v>
      </c>
      <c r="B263" s="24" t="inlineStr">
        <is>
          <t>2024-03-27</t>
        </is>
      </c>
      <c r="C263" s="25">
        <f>HYPERLINK("https://vk.com/wall-1825701_6820", "Открыть пост")</f>
        <v/>
      </c>
      <c r="D263" s="26" t="inlineStr">
        <is>
          <t>Творческие мастер-классы и художественные студии</t>
        </is>
      </c>
      <c r="E263" s="26" t="inlineStr">
        <is>
          <t>Творческие мастер-классы и художественные студии</t>
        </is>
      </c>
      <c r="F263" s="26" t="inlineStr">
        <is>
          <t>Подопечные фонда «Дети Марии» (общая группа детей и подростков)</t>
        </is>
      </c>
      <c r="G263" s="26" t="inlineStr">
        <is>
          <t>Студия фонда / выездная площадка</t>
        </is>
      </c>
      <c r="H263" s="26" t="inlineStr">
        <is>
          <t>Художественно-прикладные и ремесленные навыки</t>
        </is>
      </c>
      <c r="I263" s="27" t="inlineStr">
        <is>
          <t>По формату занятия</t>
        </is>
      </c>
      <c r="J263" s="26" t="inlineStr">
        <is>
          <t>🦋Весенняя гирлянда из бабочек была темой, целью и вдохновением наших занятий на Дмитровке и Новинском на прошлой неделе. Мы проводим открытые творческие занятия каждый месяц, и всегда радуемся новым гостям. В этот раз к группе наших друзей присоединилась 3-летняя мастерица вместе...</t>
        </is>
      </c>
    </row>
    <row r="264" ht="30" customHeight="1">
      <c r="A264" s="28" t="n">
        <v>6810</v>
      </c>
      <c r="B264" s="29" t="inlineStr">
        <is>
          <t>2024-03-13</t>
        </is>
      </c>
      <c r="C264" s="30">
        <f>HYPERLINK("https://vk.com/wall-1825701_6810", "Открыть пост")</f>
        <v/>
      </c>
      <c r="D264" s="31" t="inlineStr">
        <is>
          <t>Творческие мастер-классы и художественные студии</t>
        </is>
      </c>
      <c r="E264" s="31" t="inlineStr">
        <is>
          <t>Творческие мастер-классы и художественные студии; Выставки, экскурсии и культурные выходы</t>
        </is>
      </c>
      <c r="F264" s="31" t="inlineStr">
        <is>
          <t>Широкая аудитория, гости и благотворители (открытые события)</t>
        </is>
      </c>
      <c r="G264" s="31" t="inlineStr">
        <is>
          <t>Студия фонда / выездная площадка</t>
        </is>
      </c>
      <c r="H264" s="31" t="inlineStr">
        <is>
          <t>Коммуникативные навыки, эмпатия и тьюторское сопровождение</t>
        </is>
      </c>
      <c r="I264" s="32" t="inlineStr">
        <is>
          <t>По формату занятия</t>
        </is>
      </c>
      <c r="J264" s="31" t="inlineStr">
        <is>
          <t>Дорогие друзья! Команда благотворительного фонда "Дети Марии" приглашает вас встретиться на весеннем мастер-классе "Бабочки летят" по адресу Новинский бульвар, дом 25. корпус 10, подъезд 3 (Метро Баррикадная). Приглашаем вас на открытый мастер-класс 20 марта (среда) в 18:00! Буде...</t>
        </is>
      </c>
    </row>
    <row r="265" ht="30" customHeight="1">
      <c r="A265" s="23" t="n">
        <v>6809</v>
      </c>
      <c r="B265" s="24" t="inlineStr">
        <is>
          <t>2024-03-12</t>
        </is>
      </c>
      <c r="C265" s="25">
        <f>HYPERLINK("https://vk.com/wall-1825701_6809", "Открыть пост")</f>
        <v/>
      </c>
      <c r="D265" s="26" t="inlineStr">
        <is>
          <t>Творческие мастер-классы и художественные студии</t>
        </is>
      </c>
      <c r="E265" s="26" t="inlineStr">
        <is>
          <t>Творческие мастер-классы и художественные студии; Выставки, экскурсии и культурные выходы</t>
        </is>
      </c>
      <c r="F265" s="26" t="inlineStr">
        <is>
          <t>Широкая аудитория, гости и благотворители (открытые события)</t>
        </is>
      </c>
      <c r="G265" s="26" t="inlineStr">
        <is>
          <t>Студия фонда / выездная площадка</t>
        </is>
      </c>
      <c r="H265" s="26" t="inlineStr">
        <is>
          <t>Коммуникативные навыки, эмпатия и тьюторское сопровождение</t>
        </is>
      </c>
      <c r="I265" s="27" t="inlineStr">
        <is>
          <t>По формату занятия</t>
        </is>
      </c>
      <c r="J265" s="26" t="inlineStr">
        <is>
          <t>Дорогие друзья! Команда благотворительного фонда "Дети Марии" приглашает вас встретиться на весеннем мастер-классе "Бабочки летят" по адресу Дмитровский переулок, дом 4, стр.1 (Метро Охотный ряд). Приглашаем вас на открытый мастер-класс 19 марта (вторник) в 18:00! Будем создавать...</t>
        </is>
      </c>
    </row>
    <row r="266" ht="30" customHeight="1">
      <c r="A266" s="28" t="n">
        <v>6806</v>
      </c>
      <c r="B266" s="29" t="inlineStr">
        <is>
          <t>2024-03-11</t>
        </is>
      </c>
      <c r="C266" s="30">
        <f>HYPERLINK("https://vk.com/wall-1825701_6806", "Открыть пост")</f>
        <v/>
      </c>
      <c r="D266" s="31" t="inlineStr">
        <is>
          <t>Творческие мастер-классы и художественные студии</t>
        </is>
      </c>
      <c r="E266" s="31" t="inlineStr">
        <is>
          <t>Творческие мастер-классы и художественные студии</t>
        </is>
      </c>
      <c r="F266" s="31" t="inlineStr">
        <is>
          <t>Подопечные фонда «Дети Марии» (общая группа детей и подростков)</t>
        </is>
      </c>
      <c r="G266" s="31" t="inlineStr">
        <is>
          <t>Студия фонда / выездная площадка</t>
        </is>
      </c>
      <c r="H266" s="31" t="inlineStr">
        <is>
          <t>Художественно-прикладные и ремесленные навыки</t>
        </is>
      </c>
      <c r="I266" s="32" t="inlineStr">
        <is>
          <t>По формату занятия</t>
        </is>
      </c>
      <c r="J266" s="31" t="inlineStr">
        <is>
          <t>Лучший подарок к 8 марта — тот, в который вложены все старания и любовь. То есть тот, который родился на нашем творческом мастер-классе по валянию! 🧶 5 марта мы собрались в студии на Новинском, чтобы создать материальное выражение своих чувств — что-то нежное, воздушное, фантазий...</t>
        </is>
      </c>
    </row>
    <row r="267" ht="30" customHeight="1">
      <c r="A267" s="23" t="n">
        <v>6795</v>
      </c>
      <c r="B267" s="24" t="inlineStr">
        <is>
          <t>2024-03-04</t>
        </is>
      </c>
      <c r="C267" s="25">
        <f>HYPERLINK("https://vk.com/wall-1825701_6795", "Открыть пост")</f>
        <v/>
      </c>
      <c r="D267" s="26" t="inlineStr">
        <is>
          <t>Праздники, дни рождения и клубные встречи</t>
        </is>
      </c>
      <c r="E267" s="26" t="inlineStr">
        <is>
          <t>Праздники, дни рождения и клубные встречи; Творческие мастер-классы и художественные студии</t>
        </is>
      </c>
      <c r="F267" s="26" t="inlineStr">
        <is>
          <t>Воспитанники ЦССВ, ДДИ и детских домов-интернатов</t>
        </is>
      </c>
      <c r="G267" s="26" t="inlineStr">
        <is>
          <t>Студия фонда / выездная площадка</t>
        </is>
      </c>
      <c r="H267" s="26" t="inlineStr">
        <is>
          <t>Коммуникативные навыки, эмпатия и тьюторское сопровождение; Организационные, ивент- и ярмарочные навыки</t>
        </is>
      </c>
      <c r="I267" s="27" t="inlineStr">
        <is>
          <t>По формату занятия</t>
        </is>
      </c>
      <c r="J267" s="26" t="inlineStr">
        <is>
          <t>Каждое воскресенье на наших творческих занятиях есть три обязательные составляющие: - поиск вдохновения - процесс творчества - чаепитие с пирогами 💫 Поиск вдохновения — это задача коллективная. Ребята выбирают тему для творчества, мы вместе корректируем ее, если нужно. И вместе р...</t>
        </is>
      </c>
    </row>
    <row r="268" ht="30" customHeight="1">
      <c r="A268" s="28" t="n">
        <v>6791</v>
      </c>
      <c r="B268" s="29" t="inlineStr">
        <is>
          <t>2024-02-29</t>
        </is>
      </c>
      <c r="C268" s="30">
        <f>HYPERLINK("https://vk.com/wall-1825701_6791", "Открыть пост")</f>
        <v/>
      </c>
      <c r="D268" s="31" t="inlineStr">
        <is>
          <t>Выставки, экскурсии и культурные выходы</t>
        </is>
      </c>
      <c r="E268" s="31" t="inlineStr">
        <is>
          <t>Выставки, экскурсии и культурные выходы</t>
        </is>
      </c>
      <c r="F268" s="31" t="inlineStr">
        <is>
          <t>Подростки и взрослые с ментальными особенностями и ОВЗ (ПНИ / Социальные дома); Воспитанники ЦССВ, ДДИ и детских домов-интернатов; Выпускники интернатов и детских домов (молодые взрослые)</t>
        </is>
      </c>
      <c r="G268" s="31" t="inlineStr">
        <is>
          <t>Студия фонда / выездная площадка</t>
        </is>
      </c>
      <c r="H268" s="31" t="inlineStr">
        <is>
          <t>Коммуникативные навыки, эмпатия и тьюторское сопровождение</t>
        </is>
      </c>
      <c r="I268" s="32" t="inlineStr">
        <is>
          <t>По формату занятия</t>
        </is>
      </c>
      <c r="J268" s="31" t="inlineStr">
        <is>
          <t>📣 С сегодняшнего дня, 29 февраля, и до конца марта в Инклюзивном Кафе "Разные Зёрна" будет проходить выставка картин наших участников арт-занятий — ребят из московских и подмосковных интернатов и выпускников детских домов! 🖼 Мы назвали выставку "Разные-прекрасные" — ведь наши худ...</t>
        </is>
      </c>
    </row>
    <row r="269" ht="30" customHeight="1">
      <c r="A269" s="23" t="n">
        <v>6786</v>
      </c>
      <c r="B269" s="24" t="inlineStr">
        <is>
          <t>2024-02-27</t>
        </is>
      </c>
      <c r="C269" s="25">
        <f>HYPERLINK("https://vk.com/wall-1825701_6786", "Открыть пост")</f>
        <v/>
      </c>
      <c r="D269" s="26" t="inlineStr">
        <is>
          <t>Спектакли, концерты и музыкально-театральные занятия</t>
        </is>
      </c>
      <c r="E269" s="26" t="inlineStr">
        <is>
          <t>Спектакли, концерты и музыкально-театральные занятия</t>
        </is>
      </c>
      <c r="F269" s="26" t="inlineStr">
        <is>
          <t>Подопечные фонда «Дети Марии» (общая группа детей и подростков)</t>
        </is>
      </c>
      <c r="G269" s="26" t="inlineStr">
        <is>
          <t>Студия фонда / выездная площадка</t>
        </is>
      </c>
      <c r="H269" s="26" t="inlineStr">
        <is>
          <t>Коммуникативные навыки, эмпатия и тьюторское сопровождение; Артистические, музыкальные и спортивно-игровые навыки; Мобильность, выездное сопровождение и автоволонтёрство</t>
        </is>
      </c>
      <c r="I269" s="27" t="inlineStr">
        <is>
          <t>По формату занятия</t>
        </is>
      </c>
      <c r="J269" s="26" t="inlineStr">
        <is>
          <t>🎭 Есть три вещи, на которые можно смотреть бесконечно: огонь, вода и... театральные постановки! К такому выводу приходят наши ребята-участники проекта "Театральный клуб". Уже не первый год мы выбираем лучшие спектакли, смотрим их в зале, а потом обсуждаем вместе с актерами. В кол...</t>
        </is>
      </c>
    </row>
    <row r="270" ht="30" customHeight="1">
      <c r="A270" s="28" t="n">
        <v>6784</v>
      </c>
      <c r="B270" s="29" t="inlineStr">
        <is>
          <t>2024-02-22</t>
        </is>
      </c>
      <c r="C270" s="30">
        <f>HYPERLINK("https://vk.com/wall-1825701_6784", "Открыть пост")</f>
        <v/>
      </c>
      <c r="D270" s="31" t="inlineStr">
        <is>
          <t>Кулинарные, образовательные и социально-бытовые занятия</t>
        </is>
      </c>
      <c r="E270" s="31" t="inlineStr">
        <is>
          <t>Кулинарные, образовательные и социально-бытовые занятия</t>
        </is>
      </c>
      <c r="F270" s="31" t="inlineStr">
        <is>
          <t>Выпускники интернатов и детских домов (молодые взрослые)</t>
        </is>
      </c>
      <c r="G270" s="31" t="inlineStr">
        <is>
          <t>Студия фонда / выездная площадка</t>
        </is>
      </c>
      <c r="H270" s="31" t="inlineStr">
        <is>
          <t>Коммуникативные навыки, эмпатия и тьюторское сопровождение</t>
        </is>
      </c>
      <c r="I270" s="32" t="inlineStr">
        <is>
          <t>Да (в тексте)</t>
        </is>
      </c>
      <c r="J270" s="31" t="inlineStr">
        <is>
          <t>📚"Крошка сын к отцу пришёл, и спросила кроха: — Что такое хорошо и что такое и что такое плохо?" С такого простого и всеми узнаваемого стихотворения начался поэтический вечер в Тренировочной квартире. Дада, в нашей Тренировочной квартире проходят поэтические вечера! За круглым ст...</t>
        </is>
      </c>
    </row>
    <row r="271" ht="30" customHeight="1">
      <c r="A271" s="23" t="n">
        <v>6782</v>
      </c>
      <c r="B271" s="24" t="inlineStr">
        <is>
          <t>2024-02-20</t>
        </is>
      </c>
      <c r="C271" s="25">
        <f>HYPERLINK("https://vk.com/wall-1825701_6782", "Открыть пост")</f>
        <v/>
      </c>
      <c r="D271" s="26" t="inlineStr">
        <is>
          <t>Ярмарки, фестивали и благотворительные базары</t>
        </is>
      </c>
      <c r="E271" s="26" t="inlineStr">
        <is>
          <t>Ярмарки, фестивали и благотворительные базары; Спектакли, концерты и музыкально-театральные занятия; Праздники, дни рождения и клубные встречи; Творческие мастер-классы и художественные студии</t>
        </is>
      </c>
      <c r="F271" s="26" t="inlineStr">
        <is>
          <t>Подростки и взрослые с ментальными особенностями и ОВЗ (ПНИ / Социальные дома); Широкая аудитория, гости и благотворители (открытые события)</t>
        </is>
      </c>
      <c r="G271" s="26" t="inlineStr">
        <is>
          <t>Студия фонда / выездная площадка</t>
        </is>
      </c>
      <c r="H271"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t>
        </is>
      </c>
      <c r="I271" s="27" t="inlineStr">
        <is>
          <t>По формату занятия</t>
        </is>
      </c>
      <c r="J271" s="26" t="inlineStr">
        <is>
          <t>25 февраля мы едем в гости на празднование третьего дня рождения инклюзивных мастерских КУСТ ... и приглашаем вас! Что вас ждет: 🛍 ярмарка! Керамика, корзины, сумки из джута, мыло ручной работы, уютные броши и бусы из шерсти и все остальное, чем знамениты мастерские Куст — и мы! ...</t>
        </is>
      </c>
    </row>
    <row r="272" ht="30" customHeight="1">
      <c r="A272" s="28" t="n">
        <v>6780</v>
      </c>
      <c r="B272" s="29" t="inlineStr">
        <is>
          <t>2024-02-19</t>
        </is>
      </c>
      <c r="C272" s="30">
        <f>HYPERLINK("https://vk.com/wall-1825701_6780", "Открыть пост")</f>
        <v/>
      </c>
      <c r="D272" s="31" t="inlineStr">
        <is>
          <t>Творческие мастер-классы и художественные студии</t>
        </is>
      </c>
      <c r="E272" s="31" t="inlineStr">
        <is>
          <t>Творческие мастер-классы и художественные студии</t>
        </is>
      </c>
      <c r="F272" s="31" t="inlineStr">
        <is>
          <t>Подопечные фонда «Дети Марии» (общая группа детей и подростков)</t>
        </is>
      </c>
      <c r="G272" s="31" t="inlineStr">
        <is>
          <t>Студия фонда / выездная площадка</t>
        </is>
      </c>
      <c r="H272" s="31" t="inlineStr">
        <is>
          <t>Коммуникативные навыки, эмпатия и тьюторское сопровождение</t>
        </is>
      </c>
      <c r="I272" s="32" t="inlineStr">
        <is>
          <t>По формату занятия</t>
        </is>
      </c>
      <c r="J272" s="31" t="inlineStr">
        <is>
          <t>На прошлой неделе мы планировали встречу с жителями района Пресни и Тверской, чтобы научиться делать валентинки и провести время вместе в теплой поддерживающей атмосфере. На Дмитровке мы сотворили сердца с пайетками и признаниями в любви. Взгляните на результат нашей работы и пре...</t>
        </is>
      </c>
    </row>
    <row r="273" ht="30" customHeight="1">
      <c r="A273" s="23" t="n">
        <v>6773</v>
      </c>
      <c r="B273" s="24" t="inlineStr">
        <is>
          <t>2024-02-09</t>
        </is>
      </c>
      <c r="C273" s="25">
        <f>HYPERLINK("https://vk.com/wall-1825701_6773", "Открыть пост")</f>
        <v/>
      </c>
      <c r="D273" s="26" t="inlineStr">
        <is>
          <t>Творческие мастер-классы и художественные студии</t>
        </is>
      </c>
      <c r="E273" s="26" t="inlineStr">
        <is>
          <t>Творческие мастер-классы и художественные студии; Выставки, экскурсии и культурные выходы</t>
        </is>
      </c>
      <c r="F273" s="26" t="inlineStr">
        <is>
          <t>Широкая аудитория, гости и благотворители (открытые события)</t>
        </is>
      </c>
      <c r="G273" s="26" t="inlineStr">
        <is>
          <t>Студия фонда / выездная площадка</t>
        </is>
      </c>
      <c r="H273" s="26" t="inlineStr">
        <is>
          <t>Коммуникативные навыки, эмпатия и тьюторское сопровождение</t>
        </is>
      </c>
      <c r="I273" s="27" t="inlineStr">
        <is>
          <t>По формату занятия</t>
        </is>
      </c>
      <c r="J273" s="26" t="inlineStr">
        <is>
          <t>Дорогие друзья! Мы — команда благотворительного фонда "Дети Марии", у нас открыта творческая студия в Пресненском районе. Мы будем рады пригласить всех к нам в гости, снова встретиться со знакомыми и найти новых друзей. Приглашаем вас на открытую встречу «Мастер-класс по созданию...</t>
        </is>
      </c>
    </row>
    <row r="274" ht="30" customHeight="1">
      <c r="A274" s="28" t="n">
        <v>6771</v>
      </c>
      <c r="B274" s="29" t="inlineStr">
        <is>
          <t>2024-02-08</t>
        </is>
      </c>
      <c r="C274" s="30">
        <f>HYPERLINK("https://vk.com/wall-1825701_6771", "Открыть пост")</f>
        <v/>
      </c>
      <c r="D274" s="31" t="inlineStr">
        <is>
          <t>Ярмарки, фестивали и благотворительные базары</t>
        </is>
      </c>
      <c r="E274" s="31" t="inlineStr">
        <is>
          <t>Ярмарки, фестивали и благотворительные базары</t>
        </is>
      </c>
      <c r="F274" s="31" t="inlineStr">
        <is>
          <t>Подопечные фонда «Дети Марии» (общая группа детей и подростков)</t>
        </is>
      </c>
      <c r="G274" s="31" t="inlineStr">
        <is>
          <t>ТВЕРСКАЯ 15</t>
        </is>
      </c>
      <c r="H274"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 Мобильность, выездное сопровождение и автоволонтёрство; Медиа, фото/видеосъёмка и культурная медиация</t>
        </is>
      </c>
      <c r="I274" s="32" t="inlineStr">
        <is>
          <t>Да (в тексте)</t>
        </is>
      </c>
      <c r="J274" s="31" t="inlineStr">
        <is>
          <t>2 февраля пространство Тверской 15 преобразилось: залы для творчества превратились в самый настоящий волшебный лес, где среди заснеженных деревьев звучала живая музыка, мерцали свечи и был накрыт стол… В свои владения гостей пригласила хозяйка сказочного леса — Мария Елисеева, ос...</t>
        </is>
      </c>
    </row>
    <row r="275" ht="30" customHeight="1">
      <c r="A275" s="23" t="n">
        <v>6747</v>
      </c>
      <c r="B275" s="24" t="inlineStr">
        <is>
          <t>2024-01-30</t>
        </is>
      </c>
      <c r="C275" s="25">
        <f>HYPERLINK("https://vk.com/wall-1825701_6747", "Открыть пост")</f>
        <v/>
      </c>
      <c r="D275" s="26" t="inlineStr">
        <is>
          <t>Выездные лагеря, дача и сезонные программы</t>
        </is>
      </c>
      <c r="E275" s="26" t="inlineStr">
        <is>
          <t>Выездные лагеря, дача и сезонные программы; Спектакли, концерты и музыкально-театральные занятия; Спортивные и активные мероприятия; Творческие мастер-классы и художественные студии</t>
        </is>
      </c>
      <c r="F275" s="26" t="inlineStr">
        <is>
          <t>Подростки и взрослые с ментальными особенностями и ОВЗ (ПНИ / Социальные дома); Воспитанники ЦССВ, ДДИ и детских домов-интернатов; Выпускники интернатов и детских домов (молодые взрослые)</t>
        </is>
      </c>
      <c r="G275" s="26" t="inlineStr">
        <is>
          <t>Сорочанах, Социальный дом «Филимонки»</t>
        </is>
      </c>
      <c r="H275" s="26" t="inlineStr">
        <is>
          <t>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Мобильность, выездное сопровождение и автоволонтёрство</t>
        </is>
      </c>
      <c r="I275" s="27" t="inlineStr">
        <is>
          <t>Да (в тексте)</t>
        </is>
      </c>
      <c r="J275" s="26" t="inlineStr">
        <is>
          <t>❄ Вы (конечно) верно угадали, и все те прекрасные зимние кадры, которыми мы делились на прошлой неделе, были сделаны в Сорочанах! Наша ежегодная поездка-интенсив, поездка-преодоление, поездка-счастье. Для ребят (да и для нас) это как одновременно и закрепление навыков, и поиск то...</t>
        </is>
      </c>
    </row>
    <row r="276" ht="30" customHeight="1">
      <c r="A276" s="28" t="n">
        <v>6744</v>
      </c>
      <c r="B276" s="29" t="inlineStr">
        <is>
          <t>2024-01-26</t>
        </is>
      </c>
      <c r="C276" s="30">
        <f>HYPERLINK("https://vk.com/wall-1825701_6744", "Открыть пост")</f>
        <v/>
      </c>
      <c r="D276" s="31" t="inlineStr">
        <is>
          <t>Творческие мастер-классы и художественные студии</t>
        </is>
      </c>
      <c r="E276" s="31" t="inlineStr">
        <is>
          <t>Творческие мастер-классы и художественные студии; Выставки, экскурсии и культурные выходы</t>
        </is>
      </c>
      <c r="F276" s="31" t="inlineStr">
        <is>
          <t>Широкая аудитория, гости и благотворители (открытые события)</t>
        </is>
      </c>
      <c r="G276" s="31" t="inlineStr">
        <is>
          <t>Студия фонда / выездная площадка</t>
        </is>
      </c>
      <c r="H276" s="31" t="inlineStr">
        <is>
          <t>Коммуникативные навыки, эмпатия и тьюторское сопровождение</t>
        </is>
      </c>
      <c r="I276" s="32" t="inlineStr">
        <is>
          <t>По формату занятия</t>
        </is>
      </c>
      <c r="J276" s="31" t="inlineStr">
        <is>
          <t>Если вы приходили на наш январский открытый мастер-класс, то эта фото-выставка для вас! Если еще не успели присоединиться к открытым занятиям — это должно возбудить ваш творческий аппетит 🐲 Вот таких дракончиков сделали гости мастер-класса вместе с нашими педагогами. И если вы вг...</t>
        </is>
      </c>
    </row>
    <row r="277" ht="30" customHeight="1">
      <c r="A277" s="23" t="n">
        <v>6742</v>
      </c>
      <c r="B277" s="24" t="inlineStr">
        <is>
          <t>2024-01-24</t>
        </is>
      </c>
      <c r="C277" s="25">
        <f>HYPERLINK("https://vk.com/wall-1825701_6742", "Открыть пост")</f>
        <v/>
      </c>
      <c r="D277" s="26" t="inlineStr">
        <is>
          <t>Спектакли, концерты и музыкально-театральные занятия</t>
        </is>
      </c>
      <c r="E277" s="26" t="inlineStr">
        <is>
          <t>Спектакли, концерты и музыкально-театральные занятия; Спортивные и активные мероприятия</t>
        </is>
      </c>
      <c r="F277" s="26" t="inlineStr">
        <is>
          <t>Воспитанники ЦССВ, ДДИ и детских домов-интернатов</t>
        </is>
      </c>
      <c r="G277" s="26" t="inlineStr">
        <is>
          <t>Студия фонда / выездная площадка</t>
        </is>
      </c>
      <c r="H277" s="26" t="inlineStr">
        <is>
          <t>Артистические, музыкальные и спортивно-игровые навыки</t>
        </is>
      </c>
      <c r="I277" s="27" t="inlineStr">
        <is>
          <t>По формату занятия</t>
        </is>
      </c>
      <c r="J277" s="26" t="inlineStr">
        <is>
          <t>Теорию и историю искусства планируют осваивать в новом году наши ребята из ЦССВ (Центр содействия семейному воспитанию) «Радуга». Для этого мы уже запланировали много ходить по музеям, чтобы изучать теорию. Ну, а практиковаться мы стали все чаще. Причем, не только в изобразительн...</t>
        </is>
      </c>
    </row>
    <row r="278" ht="30" customHeight="1">
      <c r="A278" s="28" t="n">
        <v>6738</v>
      </c>
      <c r="B278" s="29" t="inlineStr">
        <is>
          <t>2024-01-16</t>
        </is>
      </c>
      <c r="C278" s="30">
        <f>HYPERLINK("https://vk.com/wall-1825701_6738", "Открыть пост")</f>
        <v/>
      </c>
      <c r="D278" s="31" t="inlineStr">
        <is>
          <t>Творческие мастер-классы и художественные студии</t>
        </is>
      </c>
      <c r="E278" s="31" t="inlineStr">
        <is>
          <t>Творческие мастер-классы и художественные студии; Спортивные и активные мероприятия</t>
        </is>
      </c>
      <c r="F278" s="31" t="inlineStr">
        <is>
          <t>Подопечные фонда «Дети Марии» (общая группа детей и подростков)</t>
        </is>
      </c>
      <c r="G278" s="31" t="inlineStr">
        <is>
          <t>Студия фонда / выездная площадка</t>
        </is>
      </c>
      <c r="H278" s="31" t="inlineStr">
        <is>
          <t>Художественно-прикладные и ремесленные навыки; Артистические, музыкальные и спортивно-игровые навыки</t>
        </is>
      </c>
      <c r="I278" s="32" t="inlineStr">
        <is>
          <t>По формату занятия</t>
        </is>
      </c>
      <c r="J278" s="31" t="inlineStr">
        <is>
          <t>🎉 Сезон открыт, занятия начались, мастер-классы тоже вот-вот подоспеют... в общем, наш творческий путь возобновился. В качестве доказательства покажем вам, как в студии на Новинском уже вовсю лепят из глины, валяют из шерсти и пьют чай с пирогами 😉 Но если вы думаете, что этим мы...</t>
        </is>
      </c>
    </row>
    <row r="279" ht="30" customHeight="1">
      <c r="A279" s="23" t="n">
        <v>6735</v>
      </c>
      <c r="B279" s="24" t="inlineStr">
        <is>
          <t>2024-01-13</t>
        </is>
      </c>
      <c r="C279" s="25">
        <f>HYPERLINK("https://vk.com/wall-1825701_6735", "Открыть пост")</f>
        <v/>
      </c>
      <c r="D279" s="26" t="inlineStr">
        <is>
          <t>Праздники, дни рождения и клубные встречи</t>
        </is>
      </c>
      <c r="E279" s="26" t="inlineStr">
        <is>
          <t>Праздники, дни рождения и клубные встречи; Кулинарные, образовательные и социально-бытовые занятия</t>
        </is>
      </c>
      <c r="F279" s="26" t="inlineStr">
        <is>
          <t>Подопечные фонда «Дети Марии» (общая группа детей и подростков)</t>
        </is>
      </c>
      <c r="G279" s="26" t="inlineStr">
        <is>
          <t>Студия фонда / выездная площадка</t>
        </is>
      </c>
      <c r="H279" s="26" t="inlineStr">
        <is>
          <t>Коммуникативные навыки, эмпатия и тьюторское сопровождение; Педагогические и наставнические навыки (кулинария, быт, учёба); Организационные, ивент- и ярмарочные навыки</t>
        </is>
      </c>
      <c r="I279" s="27" t="inlineStr">
        <is>
          <t>По формату занятия</t>
        </is>
      </c>
      <c r="J279" s="26" t="inlineStr">
        <is>
          <t>🎁 Накануне Старого Нового года самое время поблагодарить тех, без кого ёлки для подопечных фонда "Дети Марии" не были бы такими яркими, запоминающимися, веселыми и вкусными. Вообще новогодние праздники для нас — возможность еще раз обнять ребят, узнать их новости, вместе порадова...</t>
        </is>
      </c>
    </row>
    <row r="280" ht="30" customHeight="1">
      <c r="A280" s="28" t="n">
        <v>6731</v>
      </c>
      <c r="B280" s="29" t="inlineStr">
        <is>
          <t>2024-01-10</t>
        </is>
      </c>
      <c r="C280" s="30">
        <f>HYPERLINK("https://vk.com/wall-1825701_6731", "Открыть пост")</f>
        <v/>
      </c>
      <c r="D280" s="31" t="inlineStr">
        <is>
          <t>Творческие мастер-классы и художественные студии</t>
        </is>
      </c>
      <c r="E280" s="31" t="inlineStr">
        <is>
          <t>Творческие мастер-классы и художественные студии; Выставки, экскурсии и культурные выходы</t>
        </is>
      </c>
      <c r="F280" s="31" t="inlineStr">
        <is>
          <t>Широкая аудитория, гости и благотворители (открытые события)</t>
        </is>
      </c>
      <c r="G280" s="31" t="inlineStr">
        <is>
          <t>Студия фонда / выездная площадка</t>
        </is>
      </c>
      <c r="H280" s="31" t="inlineStr">
        <is>
          <t>Коммуникативные навыки, эмпатия и тьюторское сопровождение</t>
        </is>
      </c>
      <c r="I280" s="32" t="inlineStr">
        <is>
          <t>По формату занятия</t>
        </is>
      </c>
      <c r="J280" s="31" t="inlineStr">
        <is>
          <t>Дорогие наши друзья! Мы — команда благотворительного фонда «Дети Марии», и недавно у нас открылась новая творческая студия в Тверском районе. Мы будем рады пригласить всех к нам в гости, снова встретиться со знакомыми и найти новых друзей. Приглашаем вас на открытую встречу «Новы...</t>
        </is>
      </c>
    </row>
    <row r="281" ht="30" customHeight="1">
      <c r="A281" s="23" t="n">
        <v>6727</v>
      </c>
      <c r="B281" s="24" t="inlineStr">
        <is>
          <t>2023-12-28</t>
        </is>
      </c>
      <c r="C281" s="25">
        <f>HYPERLINK("https://vk.com/wall-1825701_6727", "Открыть пост")</f>
        <v/>
      </c>
      <c r="D281" s="26" t="inlineStr">
        <is>
          <t>Ярмарки, фестивали и благотворительные базары</t>
        </is>
      </c>
      <c r="E281" s="26" t="inlineStr">
        <is>
          <t>Ярмарки, фестивали и благотворительные базары; Выездные лагеря, дача и сезонные программы; Спортивные и активные мероприятия</t>
        </is>
      </c>
      <c r="F281" s="26" t="inlineStr">
        <is>
          <t>Воспитанники ЦССВ, ДДИ и детских домов-интернатов</t>
        </is>
      </c>
      <c r="G281" s="26" t="inlineStr">
        <is>
          <t>ТВЕРСКАЯ 15, Переделкино</t>
        </is>
      </c>
      <c r="H281" s="26" t="inlineStr">
        <is>
          <t>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t>
        </is>
      </c>
      <c r="I281" s="27" t="inlineStr">
        <is>
          <t>По формату занятия</t>
        </is>
      </c>
      <c r="J281" s="26" t="inlineStr">
        <is>
          <t>Весь ноябрь и декабрь мы провели на ярмарках ✨ Для нас это всегда долгожданные встречи с вами, знакомства с новыми друзьями и возможность похвастаться талантами ребят. Ну и, конечно, куча подготовки, бережной упаковки, выбора красоты и удивления (сколько потрясающих вещей создают...</t>
        </is>
      </c>
    </row>
    <row r="282" ht="30" customHeight="1">
      <c r="A282" s="28" t="n">
        <v>6706</v>
      </c>
      <c r="B282" s="29" t="inlineStr">
        <is>
          <t>2023-12-21</t>
        </is>
      </c>
      <c r="C282" s="30">
        <f>HYPERLINK("https://vk.com/wall-1825701_6706", "Открыть пост")</f>
        <v/>
      </c>
      <c r="D282" s="31" t="inlineStr">
        <is>
          <t>Творческие мастер-классы и художественные студии</t>
        </is>
      </c>
      <c r="E282" s="31" t="inlineStr">
        <is>
          <t>Творческие мастер-классы и художественные студии; Ярмарки, фестивали и благотворительные базары; Выездные лагеря, дача и сезонные программы</t>
        </is>
      </c>
      <c r="F282" s="31" t="inlineStr">
        <is>
          <t>Широкая аудитория, гости и благотворители (открытые события)</t>
        </is>
      </c>
      <c r="G282" s="31" t="inlineStr">
        <is>
          <t>Переделкино, ТВЕРСКАЯ 15</t>
        </is>
      </c>
      <c r="H282"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t>
        </is>
      </c>
      <c r="I282" s="32" t="inlineStr">
        <is>
          <t>По формату занятия</t>
        </is>
      </c>
      <c r="J282" s="31" t="inlineStr">
        <is>
          <t>Встречаемся в выходные? Приходите на наш Инклюзивный базар #PROремесло! 📍В этом году он пройдет в красивейшем месте: Доме творчества Переделкино. 🗓Дата: 23 и 24 декабря И это будет большая новогодняя благотворительная ярмарка мечты! 👀Что ждет гостей? На ярмарке можно будет найти ...</t>
        </is>
      </c>
    </row>
    <row r="283" ht="30" customHeight="1">
      <c r="A283" s="23" t="n">
        <v>6703</v>
      </c>
      <c r="B283" s="24" t="inlineStr">
        <is>
          <t>2023-12-14</t>
        </is>
      </c>
      <c r="C283" s="25">
        <f>HYPERLINK("https://vk.com/wall-1825701_6703", "Открыть пост")</f>
        <v/>
      </c>
      <c r="D283" s="26" t="inlineStr">
        <is>
          <t>Выставки, экскурсии и культурные выходы</t>
        </is>
      </c>
      <c r="E283" s="26" t="inlineStr">
        <is>
          <t>Выставки, экскурсии и культурные выходы; Творческие мастер-классы и художественные студии</t>
        </is>
      </c>
      <c r="F283" s="26" t="inlineStr">
        <is>
          <t>Подопечные фонда «Дети Марии» (общая группа детей и подростков)</t>
        </is>
      </c>
      <c r="G283" s="26" t="inlineStr">
        <is>
          <t>Студия фонда / выездная площадка</t>
        </is>
      </c>
      <c r="H283" s="26" t="inlineStr">
        <is>
          <t>Коммуникативные навыки, эмпатия и тьюторское сопровождение</t>
        </is>
      </c>
      <c r="I283" s="27" t="inlineStr">
        <is>
          <t>По формату занятия</t>
        </is>
      </c>
      <c r="J283" s="26" t="inlineStr">
        <is>
          <t>Если вы пропустили наш вчерашний мастер-класс по новогодним венкам в студии на Новинском — трепещите! Перед вами фото-отчет наших мастеров и выставка работ. ❄• В воздухе витало творчество, пахло чаем и апельсинами, а уж сколько было ленточек и шишек… Обязательно приходите на след...</t>
        </is>
      </c>
    </row>
    <row r="284" ht="30" customHeight="1">
      <c r="A284" s="28" t="n">
        <v>6702</v>
      </c>
      <c r="B284" s="29" t="inlineStr">
        <is>
          <t>2023-12-12</t>
        </is>
      </c>
      <c r="C284" s="30">
        <f>HYPERLINK("https://vk.com/wall-1825701_6702", "Открыть пост")</f>
        <v/>
      </c>
      <c r="D284" s="31" t="inlineStr">
        <is>
          <t>Творческие мастер-классы и художественные студии</t>
        </is>
      </c>
      <c r="E284" s="31" t="inlineStr">
        <is>
          <t>Творческие мастер-классы и художественные студии; Выставки, экскурсии и культурные выходы</t>
        </is>
      </c>
      <c r="F284" s="31" t="inlineStr">
        <is>
          <t>Широкая аудитория, гости и благотворители (открытые события)</t>
        </is>
      </c>
      <c r="G284" s="31" t="inlineStr">
        <is>
          <t>Студия фонда / выездная площадка</t>
        </is>
      </c>
      <c r="H284" s="31" t="inlineStr">
        <is>
          <t>Педагогические и наставнические навыки (кулинария, быт, учёба)</t>
        </is>
      </c>
      <c r="I284" s="32" t="inlineStr">
        <is>
          <t>По формату занятия</t>
        </is>
      </c>
      <c r="J284" s="31" t="inlineStr">
        <is>
          <t>Дорогие друзья! Мы — команда благотворительного фонда "Дети Марии", наша студия расположена в Пресненском районе, и мы будем рады познакомиться с нашими соседями по району и найти новых друзей. Приглашаем вас на открытую встречу и мастер-класс по созданию Новогодних венков 13 дек...</t>
        </is>
      </c>
    </row>
    <row r="285" ht="30" customHeight="1">
      <c r="A285" s="23" t="n">
        <v>6701</v>
      </c>
      <c r="B285" s="24" t="inlineStr">
        <is>
          <t>2023-12-07</t>
        </is>
      </c>
      <c r="C285" s="25">
        <f>HYPERLINK("https://vk.com/wall-1825701_6701", "Открыть пост")</f>
        <v/>
      </c>
      <c r="D285" s="26" t="inlineStr">
        <is>
          <t>Спектакли, концерты и музыкально-театральные занятия</t>
        </is>
      </c>
      <c r="E285" s="26" t="inlineStr">
        <is>
          <t>Спектакли, концерты и музыкально-театральные занятия</t>
        </is>
      </c>
      <c r="F285" s="26" t="inlineStr">
        <is>
          <t>Воспитанники ЦССВ, ДДИ и детских домов-интернатов</t>
        </is>
      </c>
      <c r="G285" s="26" t="inlineStr">
        <is>
          <t>Студия фонда / выездная площадка</t>
        </is>
      </c>
      <c r="H285" s="26" t="inlineStr">
        <is>
          <t>Артистические, музыкальные и спортивно-игровые навыки</t>
        </is>
      </c>
      <c r="I285" s="27" t="inlineStr">
        <is>
          <t>Да (в тексте)</t>
        </is>
      </c>
      <c r="J285" s="26" t="inlineStr">
        <is>
          <t>🎄Наши занятия с ходом декабря обретают все больше празднично-новогоднего настроения. Появляются детали — например, панно с мандаринами на стене студии на Новинском. Свои истории и легенды — например, письма Деду Морозу, которые наши ребята писали на днях. Важные художественные де...</t>
        </is>
      </c>
    </row>
    <row r="286" ht="30" customHeight="1">
      <c r="A286" s="28" t="n">
        <v>6700</v>
      </c>
      <c r="B286" s="29" t="inlineStr">
        <is>
          <t>2023-12-05</t>
        </is>
      </c>
      <c r="C286" s="30">
        <f>HYPERLINK("https://vk.com/wall-1825701_6700", "Открыть пост")</f>
        <v/>
      </c>
      <c r="D286" s="31" t="inlineStr">
        <is>
          <t>Ярмарки, фестивали и благотворительные базары</t>
        </is>
      </c>
      <c r="E286" s="31" t="inlineStr">
        <is>
          <t>Ярмарки, фестивали и благотворительные базары</t>
        </is>
      </c>
      <c r="F286" s="31" t="inlineStr">
        <is>
          <t>Широкая аудитория, гости и благотворители (открытые события)</t>
        </is>
      </c>
      <c r="G286" s="31" t="inlineStr">
        <is>
          <t>Студия фонда / выездная площадка</t>
        </is>
      </c>
      <c r="H286" s="31" t="inlineStr">
        <is>
          <t>Артистические, музыкальные и спортивно-игровые навыки; Организационные, ивент- и ярмарочные навыки</t>
        </is>
      </c>
      <c r="I286" s="32" t="inlineStr">
        <is>
          <t>По формату занятия</t>
        </is>
      </c>
      <c r="J286" s="31" t="inlineStr">
        <is>
          <t>🔥 Встречаемся в это воскресенье! Приглашаем вас 10 декабря, в это воскресенье, на ярмарку в Центр лечебной педагогики «Особое детство». 👀 Что вас ждет? Сувениры от мастерских и артелей Москвы. Работы наших ребят и мастеров. Лучшие подарки на Новый год. 🎁 Бонус: фуд-корт и танцы! ...</t>
        </is>
      </c>
    </row>
    <row r="287" ht="30" customHeight="1">
      <c r="A287" s="23" t="n">
        <v>6695</v>
      </c>
      <c r="B287" s="24" t="inlineStr">
        <is>
          <t>2023-12-01</t>
        </is>
      </c>
      <c r="C287" s="25">
        <f>HYPERLINK("https://vk.com/wall-1825701_6695", "Открыть пост")</f>
        <v/>
      </c>
      <c r="D287" s="26" t="inlineStr">
        <is>
          <t>Кулинарные, образовательные и социально-бытовые занятия</t>
        </is>
      </c>
      <c r="E287" s="26" t="inlineStr">
        <is>
          <t>Кулинарные, образовательные и социально-бытовые занятия</t>
        </is>
      </c>
      <c r="F287" s="26" t="inlineStr">
        <is>
          <t>Воспитанники ЦССВ, ДДИ и детских домов-интернатов</t>
        </is>
      </c>
      <c r="G287" s="26" t="inlineStr">
        <is>
          <t>ЦССВ «Радуга»</t>
        </is>
      </c>
      <c r="H287" s="26" t="inlineStr">
        <is>
          <t>Художественно-прикладные и ремесленные навыки; Коммуникативные навыки, эмпатия и тьюторское сопровождение</t>
        </is>
      </c>
      <c r="I287" s="27" t="inlineStr">
        <is>
          <t>По формату занятия</t>
        </is>
      </c>
      <c r="J287" s="26" t="inlineStr">
        <is>
          <t>❤ Любите ли вы осетинские пироги так, как любят их в фонде «Дети Марии?». Мы обожаем осетинские пироги, Осетию (нас связывает давняя и очень важная дружба). А еще мы знаем, какие красивые национальные традиции положены в основу традиционного вкуса. Восхищаемся тем, как мастерицы ...</t>
        </is>
      </c>
    </row>
    <row r="288" ht="30" customHeight="1">
      <c r="A288" s="28" t="n">
        <v>6694</v>
      </c>
      <c r="B288" s="29" t="inlineStr">
        <is>
          <t>2023-11-30</t>
        </is>
      </c>
      <c r="C288" s="30">
        <f>HYPERLINK("https://vk.com/wall-1825701_6694", "Открыть пост")</f>
        <v/>
      </c>
      <c r="D288" s="31" t="inlineStr">
        <is>
          <t>Творческие мастер-классы и художественные студии</t>
        </is>
      </c>
      <c r="E288" s="31" t="inlineStr">
        <is>
          <t>Творческие мастер-классы и художественные студии; Выставки, экскурсии и культурные выходы</t>
        </is>
      </c>
      <c r="F288" s="31" t="inlineStr">
        <is>
          <t>Широкая аудитория, гости и благотворители (открытые события)</t>
        </is>
      </c>
      <c r="G288" s="31" t="inlineStr">
        <is>
          <t>Студия фонда / выездная площадка</t>
        </is>
      </c>
      <c r="H288" s="31" t="inlineStr">
        <is>
          <t>Коммуникативные навыки, эмпатия и тьюторское сопровождение</t>
        </is>
      </c>
      <c r="I288" s="32" t="inlineStr">
        <is>
          <t>По формату занятия</t>
        </is>
      </c>
      <c r="J288" s="31" t="inlineStr">
        <is>
          <t>Дорогие друзья! Мы — команда благотворительного фонда "Дети Марии", и недавно у нас открылась новая творческая студия в Тверском районе. Мы будем рады пригласить всех к нам в гости, снова встретиться со знакомыми и найти новых друзей. 💡Приглашаем вас на открытую встречу «Вечер фо...</t>
        </is>
      </c>
    </row>
    <row r="289" ht="30" customHeight="1">
      <c r="A289" s="23" t="n">
        <v>6686</v>
      </c>
      <c r="B289" s="24" t="inlineStr">
        <is>
          <t>2023-11-23</t>
        </is>
      </c>
      <c r="C289" s="25">
        <f>HYPERLINK("https://vk.com/wall-1825701_6686", "Открыть пост")</f>
        <v/>
      </c>
      <c r="D289" s="26" t="inlineStr">
        <is>
          <t>Кулинарные, образовательные и социально-бытовые занятия</t>
        </is>
      </c>
      <c r="E289" s="26" t="inlineStr">
        <is>
          <t>Кулинарные, образовательные и социально-бытовые занятия</t>
        </is>
      </c>
      <c r="F289" s="26" t="inlineStr">
        <is>
          <t>Выпускники интернатов и детских домов (молодые взрослые)</t>
        </is>
      </c>
      <c r="G289" s="26" t="inlineStr">
        <is>
          <t>Студия фонда / выездная площадка</t>
        </is>
      </c>
      <c r="H289" s="26" t="inlineStr">
        <is>
          <t>Коммуникативные навыки, эмпатия и тьюторское сопровождение; Артистические, музыкальные и спортивно-игровые навыки</t>
        </is>
      </c>
      <c r="I289" s="27" t="inlineStr">
        <is>
          <t>Да (в тексте)</t>
        </is>
      </c>
      <c r="J289" s="26" t="inlineStr">
        <is>
          <t>Представьте: ваш партнер читает переписку в вашем телефоне. Вам неприятно, но запретить любимому человеку неудобно. Или: ваш босс просит вас задержаться после работы сделать ещё кое-что. У вас есть свои планы, но отказать начальнику невозможно. А вот ещё пример: вас пригласили на...</t>
        </is>
      </c>
    </row>
    <row r="290" ht="30" customHeight="1">
      <c r="A290" s="28" t="n">
        <v>6680</v>
      </c>
      <c r="B290" s="29" t="inlineStr">
        <is>
          <t>2023-11-21</t>
        </is>
      </c>
      <c r="C290" s="30">
        <f>HYPERLINK("https://vk.com/wall-1825701_6680", "Открыть пост")</f>
        <v/>
      </c>
      <c r="D290" s="31" t="inlineStr">
        <is>
          <t>Творческие мастер-классы и художественные студии</t>
        </is>
      </c>
      <c r="E290" s="31" t="inlineStr">
        <is>
          <t>Творческие мастер-классы и художественные студии</t>
        </is>
      </c>
      <c r="F290" s="31" t="inlineStr">
        <is>
          <t>Воспитанники ЦССВ, ДДИ и детских домов-интернатов</t>
        </is>
      </c>
      <c r="G290" s="31" t="inlineStr">
        <is>
          <t>ЦССВ «Сколковский»</t>
        </is>
      </c>
      <c r="H290"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t>
        </is>
      </c>
      <c r="I290" s="32" t="inlineStr">
        <is>
          <t>По формату занятия</t>
        </is>
      </c>
      <c r="J290" s="31" t="inlineStr">
        <is>
          <t>💫 Заглянем одним глазком на наши творческие занятия на Новинском и увидим… новогодние чудеса! Чуть больше месяца осталось до любимого зимнего праздника, и мы вместе с ребятами из ЦССВ «Сколковский» уже оттачиваем мастерство изготовления ёлочек. 🎄 Наши юные мастера умеют работать ...</t>
        </is>
      </c>
    </row>
    <row r="291" ht="30" customHeight="1">
      <c r="A291" s="23" t="n">
        <v>6679</v>
      </c>
      <c r="B291" s="24" t="inlineStr">
        <is>
          <t>2023-11-16</t>
        </is>
      </c>
      <c r="C291" s="25">
        <f>HYPERLINK("https://vk.com/wall-1825701_6679", "Открыть пост")</f>
        <v/>
      </c>
      <c r="D291" s="26" t="inlineStr">
        <is>
          <t>Кулинарные, образовательные и социально-бытовые занятия</t>
        </is>
      </c>
      <c r="E291" s="26" t="inlineStr">
        <is>
          <t>Кулинарные, образовательные и социально-бытовые занятия</t>
        </is>
      </c>
      <c r="F291" s="26" t="inlineStr">
        <is>
          <t>Подопечные фонда «Дети Марии» (общая группа детей и подростков)</t>
        </is>
      </c>
      <c r="G291" s="26" t="inlineStr">
        <is>
          <t>Студия фонда / выездная площадка</t>
        </is>
      </c>
      <c r="H291" s="26" t="inlineStr">
        <is>
          <t>Художественно-прикладные и ремесленные навыки; Артистические, музыкальные и спортивно-игровые навыки; Мобильность, выездное сопровождение и автоволонтёрство</t>
        </is>
      </c>
      <c r="I291" s="27" t="inlineStr">
        <is>
          <t>По формату занятия</t>
        </is>
      </c>
      <c r="J291" s="26" t="inlineStr">
        <is>
          <t>Дети любят все без исключения поводы что-то отметить в веселой компании. Вот и наши занятия с детьми Пресни на Новинском превратились ненадолго в пространство для отмечания Хэллоуина. 🎃 Мы воспользовались поводом, чтобы пройти сказочный квест в сопровождении Бабы Яги, сотворить к...</t>
        </is>
      </c>
    </row>
    <row r="292" ht="30" customHeight="1">
      <c r="A292" s="28" t="n">
        <v>6677</v>
      </c>
      <c r="B292" s="29" t="inlineStr">
        <is>
          <t>2023-11-13</t>
        </is>
      </c>
      <c r="C292" s="30">
        <f>HYPERLINK("https://vk.com/wall-1825701_6677", "Открыть пост")</f>
        <v/>
      </c>
      <c r="D292" s="31" t="inlineStr">
        <is>
          <t>Творческие мастер-классы и художественные студии</t>
        </is>
      </c>
      <c r="E292" s="31" t="inlineStr">
        <is>
          <t>Творческие мастер-классы и художественные студии</t>
        </is>
      </c>
      <c r="F292" s="31" t="inlineStr">
        <is>
          <t>Воспитанники ЦССВ, ДДИ и детских домов-интернатов</t>
        </is>
      </c>
      <c r="G292" s="31" t="inlineStr">
        <is>
          <t>Студия фонда / выездная площадка</t>
        </is>
      </c>
      <c r="H292" s="31" t="inlineStr">
        <is>
          <t>Художественно-прикладные и ремесленные навыки; Артистические, музыкальные и спортивно-игровые навыки</t>
        </is>
      </c>
      <c r="I292" s="32" t="inlineStr">
        <is>
          <t>По формату занятия</t>
        </is>
      </c>
      <c r="J292" s="31" t="inlineStr">
        <is>
          <t>В эти выходные у нас в гостях были ребята из ГБУ ЦССВ “Сколковский”. Мы и лепили, и рисовали, и играли с собаками (важнейшая часть арт-субботы!), и превращались в клоунов... Но главное: ребята были среди друзей. В месте, где можно воплотить в жизнь любую творческую мечту и узнать...</t>
        </is>
      </c>
    </row>
    <row r="293" ht="30" customHeight="1">
      <c r="A293" s="23" t="n">
        <v>6676</v>
      </c>
      <c r="B293" s="24" t="inlineStr">
        <is>
          <t>2023-11-11</t>
        </is>
      </c>
      <c r="C293" s="25">
        <f>HYPERLINK("https://vk.com/wall-1825701_6676", "Открыть пост")</f>
        <v/>
      </c>
      <c r="D293" s="26" t="inlineStr">
        <is>
          <t>Творческие мастер-классы и художественные студии</t>
        </is>
      </c>
      <c r="E293" s="26" t="inlineStr">
        <is>
          <t>Творческие мастер-классы и художественные студии; Выставки, экскурсии и культурные выходы</t>
        </is>
      </c>
      <c r="F293" s="26" t="inlineStr">
        <is>
          <t>Широкая аудитория, гости и благотворители (открытые события)</t>
        </is>
      </c>
      <c r="G293" s="26" t="inlineStr">
        <is>
          <t>Студия фонда / выездная площадка</t>
        </is>
      </c>
      <c r="H293" s="26" t="inlineStr">
        <is>
          <t>Коммуникативные навыки, эмпатия и тьюторское сопровождение</t>
        </is>
      </c>
      <c r="I293" s="27" t="inlineStr">
        <is>
          <t>По формату занятия</t>
        </is>
      </c>
      <c r="J293" s="26" t="inlineStr">
        <is>
          <t>Дорогие друзья! Мы — команда благотворительного фонда "Дети Марии", наша студия расположена в Пресненском районе, и мы будем рады познакомиться с нашими соседями по району и найти новых друзей. Приглашаем вас на открытую встречу и мастер-класс по созданию фонариков из бумаги 15 н...</t>
        </is>
      </c>
    </row>
    <row r="294" ht="30" customHeight="1">
      <c r="A294" s="28" t="n">
        <v>6669</v>
      </c>
      <c r="B294" s="29" t="inlineStr">
        <is>
          <t>2023-11-02</t>
        </is>
      </c>
      <c r="C294" s="30">
        <f>HYPERLINK("https://vk.com/wall-1825701_6669", "Открыть пост")</f>
        <v/>
      </c>
      <c r="D294" s="31" t="inlineStr">
        <is>
          <t>Спектакли, концерты и музыкально-театральные занятия</t>
        </is>
      </c>
      <c r="E294" s="31" t="inlineStr">
        <is>
          <t>Спектакли, концерты и музыкально-театральные занятия</t>
        </is>
      </c>
      <c r="F294" s="31" t="inlineStr">
        <is>
          <t>Подопечные фонда «Дети Марии» (общая группа детей и подростков)</t>
        </is>
      </c>
      <c r="G294" s="31" t="inlineStr">
        <is>
          <t>Студия фонда / выездная площадка</t>
        </is>
      </c>
      <c r="H294" s="31" t="inlineStr">
        <is>
          <t>Коммуникативные навыки, эмпатия и тьюторское сопровождение; Артистические, музыкальные и спортивно-игровые навыки; Мобильность, выездное сопровождение и автоволонтёрство</t>
        </is>
      </c>
      <c r="I294" s="32" t="inlineStr">
        <is>
          <t>По формату занятия</t>
        </is>
      </c>
      <c r="J294" s="31" t="inlineStr">
        <is>
          <t>🎭 Вы уже открыли театральный сезон? Мы - да! Причем, уже третий! Третий год подряд наши ребята посещают театральные постановки, общаются с актерами и обсуждают увиденное. Этот сезон мы начали с постановки "Старший сын"в Театре им. Маяковского. Знаменитая трагикомедия о любви, чес...</t>
        </is>
      </c>
    </row>
    <row r="295" ht="30" customHeight="1">
      <c r="A295" s="23" t="n">
        <v>6663</v>
      </c>
      <c r="B295" s="24" t="inlineStr">
        <is>
          <t>2023-10-28</t>
        </is>
      </c>
      <c r="C295" s="25">
        <f>HYPERLINK("https://vk.com/wall-1825701_6663", "Открыть пост")</f>
        <v/>
      </c>
      <c r="D295" s="26" t="inlineStr">
        <is>
          <t>Спектакли, концерты и музыкально-театральные занятия</t>
        </is>
      </c>
      <c r="E295" s="26" t="inlineStr">
        <is>
          <t>Спектакли, концерты и музыкально-театральные занятия; Творческие мастер-классы и художественные студии</t>
        </is>
      </c>
      <c r="F295" s="26" t="inlineStr">
        <is>
          <t>Воспитанники ЦССВ, ДДИ и детских домов-интернатов; Дети и семьи (в т.ч. приёмные семьи и программа в Беслане)</t>
        </is>
      </c>
      <c r="G295" s="26" t="inlineStr">
        <is>
          <t>Беслан, ТВЕРСКАЯ 15</t>
        </is>
      </c>
      <c r="H295" s="26" t="inlineStr">
        <is>
          <t>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 Мобильность, выездное сопровождение и автоволонтёрство</t>
        </is>
      </c>
      <c r="I295" s="27" t="inlineStr">
        <is>
          <t>Да (в тексте)</t>
        </is>
      </c>
      <c r="J295" s="26" t="inlineStr">
        <is>
          <t>У нас радостное событие! 🥳 24 октября Марии Елисеевой, нашему генеральному директору, вручили медаль за благотворительность и милосердие от Министерства образования и науки Республики Северная Осетия-Алания: Из письма: 💌 «Выражаем искреннюю благодарность за многолетнее социальное...</t>
        </is>
      </c>
    </row>
    <row r="296" ht="30" customHeight="1">
      <c r="A296" s="28" t="n">
        <v>6657</v>
      </c>
      <c r="B296" s="29" t="inlineStr">
        <is>
          <t>2023-10-25</t>
        </is>
      </c>
      <c r="C296" s="30">
        <f>HYPERLINK("https://vk.com/wall-1825701_6657", "Открыть пост")</f>
        <v/>
      </c>
      <c r="D296" s="31" t="inlineStr">
        <is>
          <t>Кулинарные, образовательные и социально-бытовые занятия</t>
        </is>
      </c>
      <c r="E296" s="31" t="inlineStr">
        <is>
          <t>Кулинарные, образовательные и социально-бытовые занятия</t>
        </is>
      </c>
      <c r="F296" s="31" t="inlineStr">
        <is>
          <t>Воспитанники ЦССВ, ДДИ и детских домов-интернатов; Выпускники интернатов и детских домов (молодые взрослые)</t>
        </is>
      </c>
      <c r="G296" s="31" t="inlineStr">
        <is>
          <t>Студия фонда / выездная площадка</t>
        </is>
      </c>
      <c r="H296" s="31" t="inlineStr">
        <is>
          <t>Коммуникативные навыки, эмпатия и тьюторское сопровождение</t>
        </is>
      </c>
      <c r="I296" s="32" t="inlineStr">
        <is>
          <t>Да (в тексте)</t>
        </is>
      </c>
      <c r="J296" s="31" t="inlineStr">
        <is>
          <t>Очень яркие и интересные молодые люди живут в нашей Тренировочной квартире: учатся, любят, взрослеют, помогают друг другу и с удовольствием делятся своими впечатлениями. Мы уже публиковали письмо Нины о ее опыте волонтерства. А сегодня — рассказ Татьяны о том, как она решила прео...</t>
        </is>
      </c>
    </row>
    <row r="297" ht="30" customHeight="1">
      <c r="A297" s="23" t="n">
        <v>6653</v>
      </c>
      <c r="B297" s="24" t="inlineStr">
        <is>
          <t>2023-10-20</t>
        </is>
      </c>
      <c r="C297" s="25">
        <f>HYPERLINK("https://vk.com/wall-1825701_6653", "Открыть пост")</f>
        <v/>
      </c>
      <c r="D297" s="26" t="inlineStr">
        <is>
          <t>Творческие мастер-классы и художественные студии</t>
        </is>
      </c>
      <c r="E297" s="26" t="inlineStr">
        <is>
          <t>Творческие мастер-классы и художественные студии; Праздники, дни рождения и клубные встречи; Кулинарные, образовательные и социально-бытовые занятия</t>
        </is>
      </c>
      <c r="F297" s="26" t="inlineStr">
        <is>
          <t>Выпускники интернатов и детских домов (молодые взрослые)</t>
        </is>
      </c>
      <c r="G297" s="26" t="inlineStr">
        <is>
          <t>Студия фонда / выездная площадка</t>
        </is>
      </c>
      <c r="H297" s="26" t="inlineStr">
        <is>
          <t>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t>
        </is>
      </c>
      <c r="I297" s="27" t="inlineStr">
        <is>
          <t>По формату занятия</t>
        </is>
      </c>
      <c r="J297" s="26" t="inlineStr">
        <is>
          <t>🎉У нас большая радость и гордость: наш фонд стал финалистом конкурса «Товары для НКО», который проводит социальный проект Яндекса – фонд Помощь рядом https://help.yandex.ru Целый год мы будем получать финансовую поддержку на покупку товаров первой необходимости. В общей сложности...</t>
        </is>
      </c>
    </row>
    <row r="298" ht="30" customHeight="1">
      <c r="A298" s="28" t="n">
        <v>6650</v>
      </c>
      <c r="B298" s="29" t="inlineStr">
        <is>
          <t>2023-10-19</t>
        </is>
      </c>
      <c r="C298" s="30">
        <f>HYPERLINK("https://vk.com/wall-1825701_6650", "Открыть пост")</f>
        <v/>
      </c>
      <c r="D298" s="31" t="inlineStr">
        <is>
          <t>Выездные лагеря, дача и сезонные программы</t>
        </is>
      </c>
      <c r="E298" s="31" t="inlineStr">
        <is>
          <t>Выездные лагеря, дача и сезонные программы; Творческие мастер-классы и художественные студии; Праздники, дни рождения и клубные встречи</t>
        </is>
      </c>
      <c r="F298" s="31" t="inlineStr">
        <is>
          <t>Широкая аудитория, гости и благотворители (открытые события)</t>
        </is>
      </c>
      <c r="G298" s="31" t="inlineStr">
        <is>
          <t>Студия фонда / выездная площадка</t>
        </is>
      </c>
      <c r="H298" s="31" t="inlineStr">
        <is>
          <t>Педагогические и наставнические навыки (кулинария, быт, учёба); Организационные, ивент- и ярмарочные навыки; Мобильность, выездное сопровождение и автоволонтёрство</t>
        </is>
      </c>
      <c r="I298" s="32" t="inlineStr">
        <is>
          <t>Да (в тексте)</t>
        </is>
      </c>
      <c r="J298" s="31" t="inlineStr">
        <is>
          <t>Самый легкий способ найти нашу мастерскую на Дмитровке... по запаху вкусностей! И это не только потому, что все наши занятия сопровождаются чаепитиями ☕ Это еще и потому, что умение готовить — одно из самых важных для самостоятельного взрослого человека. ‍🍳 И мы стараемся привить...</t>
        </is>
      </c>
    </row>
    <row r="299" ht="30" customHeight="1">
      <c r="A299" s="23" t="n">
        <v>6648</v>
      </c>
      <c r="B299" s="24" t="inlineStr">
        <is>
          <t>2023-10-17</t>
        </is>
      </c>
      <c r="C299" s="25">
        <f>HYPERLINK("https://vk.com/wall-1825701_6648", "Открыть пост")</f>
        <v/>
      </c>
      <c r="D299" s="26" t="inlineStr">
        <is>
          <t>Творческие мастер-классы и художественные студии</t>
        </is>
      </c>
      <c r="E299" s="26" t="inlineStr">
        <is>
          <t>Творческие мастер-классы и художественные студии</t>
        </is>
      </c>
      <c r="F299" s="26" t="inlineStr">
        <is>
          <t>Подростки и взрослые с ментальными особенностями и ОВЗ (ПНИ / Социальные дома); Воспитанники ЦССВ, ДДИ и детских домов-интернатов</t>
        </is>
      </c>
      <c r="G299" s="26" t="inlineStr">
        <is>
          <t>Студия фонда / выездная площадка</t>
        </is>
      </c>
      <c r="H299" s="26" t="inlineStr">
        <is>
          <t>Художественно-прикладные и ремесленные навыки; Артистические, музыкальные и спортивно-игровые навыки</t>
        </is>
      </c>
      <c r="I299" s="27" t="inlineStr">
        <is>
          <t>По формату занятия</t>
        </is>
      </c>
      <c r="J299" s="26" t="inlineStr">
        <is>
          <t>🍄 Связка сушеных грибов, пожалуй, одно из самых уютных осенних украшений дома. Изначально это, конечно, не украшение, а очень функциональная вещь. Но теперь — а особенно, с нашими грибочками — это очень красивый акцент. Присмотритесь: каждый грибочек сделан из шерсти в технике ва...</t>
        </is>
      </c>
    </row>
    <row r="300" ht="30" customHeight="1">
      <c r="A300" s="28" t="n">
        <v>6639</v>
      </c>
      <c r="B300" s="29" t="inlineStr">
        <is>
          <t>2023-10-06</t>
        </is>
      </c>
      <c r="C300" s="30">
        <f>HYPERLINK("https://vk.com/wall-1825701_6639", "Открыть пост")</f>
        <v/>
      </c>
      <c r="D300" s="31" t="inlineStr">
        <is>
          <t>Творческие мастер-классы и художественные студии</t>
        </is>
      </c>
      <c r="E300" s="31" t="inlineStr">
        <is>
          <t>Творческие мастер-классы и художественные студии; Выставки, экскурсии и культурные выходы</t>
        </is>
      </c>
      <c r="F300" s="31" t="inlineStr">
        <is>
          <t>Широкая аудитория, гости и благотворители (открытые события)</t>
        </is>
      </c>
      <c r="G300" s="31" t="inlineStr">
        <is>
          <t>Студия фонда / выездная площадка</t>
        </is>
      </c>
      <c r="H300" s="31" t="inlineStr">
        <is>
          <t>Художественно-прикладные и ремесленные навыки</t>
        </is>
      </c>
      <c r="I300" s="32" t="inlineStr">
        <is>
          <t>По формату занятия</t>
        </is>
      </c>
      <c r="J300" s="31" t="inlineStr">
        <is>
          <t>Дорогие друзья! Мы — команда благотворительного фонда "Дети Марии", наша студия расположена в Пресненском районе, и мы будем рады познакомиться с нашими соседями по району и найти новых друзей. Приглашаем вас на открытую осеннюю встречу и мастер-класс по лепке! 🗓 Дата: 11 октября...</t>
        </is>
      </c>
    </row>
    <row r="301" ht="30" customHeight="1">
      <c r="A301" s="23" t="n">
        <v>6634</v>
      </c>
      <c r="B301" s="24" t="inlineStr">
        <is>
          <t>2023-10-03</t>
        </is>
      </c>
      <c r="C301" s="25">
        <f>HYPERLINK("https://vk.com/wall-1825701_6634", "Открыть пост")</f>
        <v/>
      </c>
      <c r="D301" s="26" t="inlineStr">
        <is>
          <t>Творческие мастер-классы и художественные студии</t>
        </is>
      </c>
      <c r="E301" s="26" t="inlineStr">
        <is>
          <t>Творческие мастер-классы и художественные студии; Выставки, экскурсии и культурные выходы</t>
        </is>
      </c>
      <c r="F301" s="26" t="inlineStr">
        <is>
          <t>Широкая аудитория, гости и благотворители (открытые события)</t>
        </is>
      </c>
      <c r="G301" s="26" t="inlineStr">
        <is>
          <t>Студия фонда / выездная площадка</t>
        </is>
      </c>
      <c r="H301" s="26" t="inlineStr">
        <is>
          <t>Художественно-прикладные и ремесленные навыки</t>
        </is>
      </c>
      <c r="I301" s="27" t="inlineStr">
        <is>
          <t>По формату занятия</t>
        </is>
      </c>
      <c r="J301" s="26" t="inlineStr">
        <is>
          <t>⚡Дорогие друзья! Мы — команда благотворительного фонда "Дети Марии". Осенью у нас открылась новая студия в Тверском районе, и мы будем рады снова встретиться со знакомыми и найти новых друзей. 🎨Приглашаем вас на открытую осеннюю встречу и мастер-класс по рисованию 10 октября (вто...</t>
        </is>
      </c>
    </row>
    <row r="302" ht="30" customHeight="1">
      <c r="A302" s="28" t="n">
        <v>6631</v>
      </c>
      <c r="B302" s="29" t="inlineStr">
        <is>
          <t>2023-09-22</t>
        </is>
      </c>
      <c r="C302" s="30">
        <f>HYPERLINK("https://vk.com/wall-1825701_6631", "Открыть пост")</f>
        <v/>
      </c>
      <c r="D302" s="31" t="inlineStr">
        <is>
          <t>Кулинарные, образовательные и социально-бытовые занятия</t>
        </is>
      </c>
      <c r="E302" s="31" t="inlineStr">
        <is>
          <t>Кулинарные, образовательные и социально-бытовые занятия</t>
        </is>
      </c>
      <c r="F302" s="31" t="inlineStr">
        <is>
          <t>Воспитанники ЦССВ, ДДИ и детских домов-интернатов; Выпускники интернатов и детских домов (молодые взрослые)</t>
        </is>
      </c>
      <c r="G302" s="31" t="inlineStr">
        <is>
          <t>Студия фонда / выездная площадка</t>
        </is>
      </c>
      <c r="H302" s="31" t="inlineStr">
        <is>
          <t>Коммуникативные навыки, эмпатия и тьюторское сопровождение</t>
        </is>
      </c>
      <c r="I302" s="32" t="inlineStr">
        <is>
          <t>Да (в тексте)</t>
        </is>
      </c>
      <c r="J302" s="31" t="inlineStr">
        <is>
          <t>💌 Вам письмо! Его написала Нина, подопечная нашего проекта «Тренировочная квартира». Недавно в жизни Нины произошло важное событие: она стала волонтером. Но письмо не только об этом. Оно еще и о том, что каждый наш добрый поступок — как кусочек сахара в чае ☕• Может выглядеть нез...</t>
        </is>
      </c>
    </row>
    <row r="303" ht="30" customHeight="1">
      <c r="A303" s="23" t="n">
        <v>6628</v>
      </c>
      <c r="B303" s="24" t="inlineStr">
        <is>
          <t>2023-09-18</t>
        </is>
      </c>
      <c r="C303" s="25">
        <f>HYPERLINK("https://vk.com/wall-1825701_6628", "Открыть пост")</f>
        <v/>
      </c>
      <c r="D303" s="26" t="inlineStr">
        <is>
          <t>Творческие мастер-классы и художественные студии</t>
        </is>
      </c>
      <c r="E303" s="26" t="inlineStr">
        <is>
          <t>Творческие мастер-классы и художественные студии; Выставки, экскурсии и культурные выходы</t>
        </is>
      </c>
      <c r="F303" s="26" t="inlineStr">
        <is>
          <t>Широкая аудитория, гости и благотворители (открытые события)</t>
        </is>
      </c>
      <c r="G303" s="26" t="inlineStr">
        <is>
          <t>Студия фонда / выездная площадка</t>
        </is>
      </c>
      <c r="H303" s="26" t="inlineStr">
        <is>
          <t>Художественно-прикладные и ремесленные навыки</t>
        </is>
      </c>
      <c r="I303" s="27" t="inlineStr">
        <is>
          <t>По формату занятия</t>
        </is>
      </c>
      <c r="J303" s="26" t="inlineStr">
        <is>
          <t>Дорогие друзья! Мы — команда благотворительного фонда «Дети Марии», наша студия расположена в Пресненском районе, и мы будем рады познакомиться с нашими соседями по району и найти новых друзей! Приглашаем вас на открытую осеннюю встречу и мастер-класс по рисованию 20 сентября (ср...</t>
        </is>
      </c>
    </row>
    <row r="304" ht="30" customHeight="1">
      <c r="A304" s="28" t="n">
        <v>6625</v>
      </c>
      <c r="B304" s="29" t="inlineStr">
        <is>
          <t>2023-09-13</t>
        </is>
      </c>
      <c r="C304" s="30">
        <f>HYPERLINK("https://vk.com/wall-1825701_6625", "Открыть пост")</f>
        <v/>
      </c>
      <c r="D304" s="31" t="inlineStr">
        <is>
          <t>Творческие мастер-классы и художественные студии</t>
        </is>
      </c>
      <c r="E304" s="31" t="inlineStr">
        <is>
          <t>Творческие мастер-классы и художественные студии</t>
        </is>
      </c>
      <c r="F304" s="31" t="inlineStr">
        <is>
          <t>Подопечные фонда «Дети Марии» (общая группа детей и подростков)</t>
        </is>
      </c>
      <c r="G304" s="31" t="inlineStr">
        <is>
          <t>Студия фонда / выездная площадка</t>
        </is>
      </c>
      <c r="H304" s="31" t="inlineStr">
        <is>
          <t>Художественно-прикладные и ремесленные навыки</t>
        </is>
      </c>
      <c r="I304" s="32" t="inlineStr">
        <is>
          <t>По формату занятия</t>
        </is>
      </c>
      <c r="J304" s="31" t="inlineStr">
        <is>
          <t>Над Новинским снова кружит творческий вихрь - это наши юные художники, керамисты и мастера валяния заняли свои места на занятиях! Мы превращаем в искусство все: например, листики во дворе стали узором на нашей керамике. А самаркандская дыня, появившаяся в студии по случаю возобно...</t>
        </is>
      </c>
    </row>
    <row r="305" ht="30" customHeight="1">
      <c r="A305" s="23" t="n">
        <v>6617</v>
      </c>
      <c r="B305" s="24" t="inlineStr">
        <is>
          <t>2023-09-05</t>
        </is>
      </c>
      <c r="C305" s="25">
        <f>HYPERLINK("https://vk.com/wall-1825701_6617", "Открыть пост")</f>
        <v/>
      </c>
      <c r="D305" s="26" t="inlineStr">
        <is>
          <t>Кулинарные, образовательные и социально-бытовые занятия</t>
        </is>
      </c>
      <c r="E305" s="26" t="inlineStr">
        <is>
          <t>Кулинарные, образовательные и социально-бытовые занятия</t>
        </is>
      </c>
      <c r="F305" s="26" t="inlineStr">
        <is>
          <t>Выпускники интернатов и детских домов (молодые взрослые)</t>
        </is>
      </c>
      <c r="G305" s="26" t="inlineStr">
        <is>
          <t>Студия фонда / выездная площадка</t>
        </is>
      </c>
      <c r="H305" s="26" t="inlineStr">
        <is>
          <t>Коммуникативные навыки, эмпатия и тьюторское сопровождение; Педагогические и наставнические навыки (кулинария, быт, учёба)</t>
        </is>
      </c>
      <c r="I305" s="27" t="inlineStr">
        <is>
          <t>По формату занятия</t>
        </is>
      </c>
      <c r="J305" s="26" t="inlineStr">
        <is>
          <t>Ровно год назад, 31 августа, в Тренировочную квартиру фонда “Дети Марии” вошли новые участники: 7 юношей и девушек. Такие разные и такие похожие. Объединяли их не только годы в детском интернате, но и желание стать самостоятельными и прожить свою жизнь в собственном жилье. Этот г...</t>
        </is>
      </c>
    </row>
    <row r="306" ht="30" customHeight="1">
      <c r="A306" s="28" t="n">
        <v>6611</v>
      </c>
      <c r="B306" s="29" t="inlineStr">
        <is>
          <t>2023-08-29</t>
        </is>
      </c>
      <c r="C306" s="30">
        <f>HYPERLINK("https://vk.com/wall-1825701_6611", "Открыть пост")</f>
        <v/>
      </c>
      <c r="D306" s="31" t="inlineStr">
        <is>
          <t>Выставки, экскурсии и культурные выходы</t>
        </is>
      </c>
      <c r="E306" s="31" t="inlineStr">
        <is>
          <t>Выставки, экскурсии и культурные выходы; Кулинарные, образовательные и социально-бытовые занятия</t>
        </is>
      </c>
      <c r="F306" s="31" t="inlineStr">
        <is>
          <t>Выпускники интернатов и детских домов (молодые взрослые)</t>
        </is>
      </c>
      <c r="G306" s="31" t="inlineStr">
        <is>
          <t>Студия фонда / выездная площадка</t>
        </is>
      </c>
      <c r="H306" s="31" t="inlineStr">
        <is>
          <t>Артистические, музыкальные и спортивно-игровые навыки; Мобильность, выездное сопровождение и автоволонтёрство</t>
        </is>
      </c>
      <c r="I306" s="32" t="inlineStr">
        <is>
          <t>По формату занятия</t>
        </is>
      </c>
      <c r="J306" s="31" t="inlineStr">
        <is>
          <t>Вы видели когда нибудь как гусь-обнимусь ищет работу? 🪿 Вот и мы удивились, когда в центре "Моя карьера" встретили эту птицу, внимательно изучающую вакансии. Мы - это Даша, Света, Таня и Олеся, жители Тренировочной квартиры. Чем же это место так прекрасно? Здесь красиво и удобно ...</t>
        </is>
      </c>
    </row>
    <row r="307" ht="30" customHeight="1">
      <c r="A307" s="23" t="n">
        <v>6608</v>
      </c>
      <c r="B307" s="24" t="inlineStr">
        <is>
          <t>2023-08-22</t>
        </is>
      </c>
      <c r="C307" s="25">
        <f>HYPERLINK("https://vk.com/wall-1825701_6608", "Открыть пост")</f>
        <v/>
      </c>
      <c r="D307" s="26" t="inlineStr">
        <is>
          <t>Творческие мастер-классы и художественные студии</t>
        </is>
      </c>
      <c r="E307" s="26" t="inlineStr">
        <is>
          <t>Творческие мастер-классы и художественные студии</t>
        </is>
      </c>
      <c r="F307" s="26" t="inlineStr">
        <is>
          <t>Подростки и взрослые с ментальными особенностями и ОВЗ (ПНИ / Социальные дома)</t>
        </is>
      </c>
      <c r="G307" s="26" t="inlineStr">
        <is>
          <t>Студия фонда / выездная площадка</t>
        </is>
      </c>
      <c r="H307" s="26" t="inlineStr">
        <is>
          <t>Художественно-прикладные и ремесленные навыки; Медиа, фото/видеосъёмка и культурная медиация</t>
        </is>
      </c>
      <c r="I307" s="27" t="inlineStr">
        <is>
          <t>По формату занятия</t>
        </is>
      </c>
      <c r="J307" s="26" t="inlineStr">
        <is>
          <t>В Социальном доме Нагатино-Садовники занятия творчеством продолжаются весь август. Мы поощряем любые формы творчества, так что на наши встречи ребята приходят с самыми разными идеями. Кто-то рисует, вдохновляясь примерами из книг (например, фотографиями птиц и бабочек). А кто-то ...</t>
        </is>
      </c>
    </row>
    <row r="308" ht="30" customHeight="1">
      <c r="A308" s="28" t="n">
        <v>6594</v>
      </c>
      <c r="B308" s="29" t="inlineStr">
        <is>
          <t>2023-07-11</t>
        </is>
      </c>
      <c r="C308" s="30">
        <f>HYPERLINK("https://vk.com/wall-1825701_6594", "Открыть пост")</f>
        <v/>
      </c>
      <c r="D308" s="31" t="inlineStr">
        <is>
          <t>Выставки, экскурсии и культурные выходы</t>
        </is>
      </c>
      <c r="E308" s="31" t="inlineStr">
        <is>
          <t>Выставки, экскурсии и культурные выходы; Кулинарные, образовательные и социально-бытовые занятия</t>
        </is>
      </c>
      <c r="F308" s="31" t="inlineStr">
        <is>
          <t>Воспитанники ЦССВ, ДДИ и детских домов-интернатов; Выпускники интернатов и детских домов (молодые взрослые)</t>
        </is>
      </c>
      <c r="G308" s="31" t="inlineStr">
        <is>
          <t>Студия фонда / выездная площадка</t>
        </is>
      </c>
      <c r="H308" s="31" t="inlineStr">
        <is>
          <t>Коммуникативные навыки, эмпатия и тьюторское сопровождение; Мобильность, выездное сопровождение и автоволонтёрство</t>
        </is>
      </c>
      <c r="I308" s="32" t="inlineStr">
        <is>
          <t>По формату занятия</t>
        </is>
      </c>
      <c r="J308" s="31" t="inlineStr">
        <is>
          <t>Недавно наши ребята были на очень важном и уникальном мероприятии - специально для подопечных фонда «Дети Марии» врачи Многофункционального центра МЕДСИ на Мичуринском проспекте провели лекцию, посвященную вопросам репродуктивного здоровья и экскурсию по Клинике. Тема репродуктив...</t>
        </is>
      </c>
    </row>
    <row r="309" ht="30" customHeight="1">
      <c r="A309" s="23" t="n">
        <v>6592</v>
      </c>
      <c r="B309" s="24" t="inlineStr">
        <is>
          <t>2023-07-06</t>
        </is>
      </c>
      <c r="C309" s="25">
        <f>HYPERLINK("https://vk.com/wall-1825701_6592", "Открыть пост")</f>
        <v/>
      </c>
      <c r="D309" s="26" t="inlineStr">
        <is>
          <t>Спектакли, концерты и музыкально-театральные занятия</t>
        </is>
      </c>
      <c r="E309" s="26" t="inlineStr">
        <is>
          <t>Спектакли, концерты и музыкально-театральные занятия</t>
        </is>
      </c>
      <c r="F309" s="26" t="inlineStr">
        <is>
          <t>Подопечные фонда «Дети Марии» (общая группа детей и подростков)</t>
        </is>
      </c>
      <c r="G309" s="26" t="inlineStr">
        <is>
          <t>Студия фонда / выездная площадка</t>
        </is>
      </c>
      <c r="H309" s="26" t="inlineStr">
        <is>
          <t>Артистические, музыкальные и спортивно-игровые навыки; Педагогические и наставнические навыки (кулинария, быт, учёба); Мобильность, выездное сопровождение и автоволонтёрство</t>
        </is>
      </c>
      <c r="I309" s="27" t="inlineStr">
        <is>
          <t>Да (в тексте)</t>
        </is>
      </c>
      <c r="J309" s="26" t="inlineStr">
        <is>
          <t>🎭 Не только отдыхаем, но и учимся. Не только сопереживаем, но и задаемся вопросами. А еще, конечно, вместе ищем ответы. Все это - наш проект "Театральный клуб", где каждый поход в театр - это встреча с историями, которые интересны и близки ребятам. А каждый спектакль - шаг навстр...</t>
        </is>
      </c>
    </row>
    <row r="310" ht="30" customHeight="1">
      <c r="A310" s="28" t="n">
        <v>6590</v>
      </c>
      <c r="B310" s="29" t="inlineStr">
        <is>
          <t>2023-07-04</t>
        </is>
      </c>
      <c r="C310" s="30">
        <f>HYPERLINK("https://vk.com/wall-1825701_6590", "Открыть пост")</f>
        <v/>
      </c>
      <c r="D310" s="31" t="inlineStr">
        <is>
          <t>Спектакли, концерты и музыкально-театральные занятия</t>
        </is>
      </c>
      <c r="E310" s="31" t="inlineStr">
        <is>
          <t>Спектакли, концерты и музыкально-театральные занятия; Творческие мастер-классы и художественные студии</t>
        </is>
      </c>
      <c r="F310" s="31" t="inlineStr">
        <is>
          <t>Подопечные фонда «Дети Марии» (общая группа детей и подростков)</t>
        </is>
      </c>
      <c r="G310" s="31" t="inlineStr">
        <is>
          <t>Студия фонда / выездная площадка</t>
        </is>
      </c>
      <c r="H310" s="31" t="inlineStr">
        <is>
          <t>Артистические, музыкальные и спортивно-игровые навыки</t>
        </is>
      </c>
      <c r="I310" s="32" t="inlineStr">
        <is>
          <t>По формату занятия</t>
        </is>
      </c>
      <c r="J310" s="31" t="inlineStr">
        <is>
          <t>Вам не показалось - это настоящий плов! Его приготовил Ислом (с командой очень опытных помощников) на последнем летнем занятии в студии на Новинском. С июля наши мастера ушли на заслуженные каникулы! По такому праздничному случаю в студии прошло завершающее занятие - хотя, наверн...</t>
        </is>
      </c>
    </row>
    <row r="311" ht="30" customHeight="1">
      <c r="A311" s="23" t="n">
        <v>6587</v>
      </c>
      <c r="B311" s="24" t="inlineStr">
        <is>
          <t>2023-06-29</t>
        </is>
      </c>
      <c r="C311" s="25">
        <f>HYPERLINK("https://vk.com/wall-1825701_6587", "Открыть пост")</f>
        <v/>
      </c>
      <c r="D311" s="26" t="inlineStr">
        <is>
          <t>Ярмарки, фестивали и благотворительные базары</t>
        </is>
      </c>
      <c r="E311" s="26" t="inlineStr">
        <is>
          <t>Ярмарки, фестивали и благотворительные базары; Творческие мастер-классы и художественные студии</t>
        </is>
      </c>
      <c r="F311" s="26" t="inlineStr">
        <is>
          <t>Подопечные фонда «Дети Марии» (общая группа детей и подростков)</t>
        </is>
      </c>
      <c r="G311" s="26" t="inlineStr">
        <is>
          <t>Студия фонда / выездная площадка</t>
        </is>
      </c>
      <c r="H311" s="26" t="inlineStr">
        <is>
          <t>Художественно-прикладные и ремесленные навыки; Коммуникативные навыки, эмпатия и тьюторское сопровождение; Организационные, ивент- и ярмарочные навыки</t>
        </is>
      </c>
      <c r="I311" s="27" t="inlineStr">
        <is>
          <t>По формату занятия</t>
        </is>
      </c>
      <c r="J311" s="26" t="inlineStr">
        <is>
          <t>На скольких языках вы можете поприветствовать друг друга или сказать "Спасибо"? Мы теперь можем на хинди! 🇮🇳 На прошлой неделе всех нас - и сотрудников фонда, и подопечных - пригласили на фестиваль "Намасте". И за приглашение, и за подарок от Фестиваля мы благодарим его организат...</t>
        </is>
      </c>
    </row>
    <row r="312" ht="30" customHeight="1">
      <c r="A312" s="28" t="n">
        <v>6586</v>
      </c>
      <c r="B312" s="29" t="inlineStr">
        <is>
          <t>2023-06-28</t>
        </is>
      </c>
      <c r="C312" s="30">
        <f>HYPERLINK("https://vk.com/wall-1825701_6586", "Открыть пост")</f>
        <v/>
      </c>
      <c r="D312" s="31" t="inlineStr">
        <is>
          <t>Творческие мастер-классы и художественные студии</t>
        </is>
      </c>
      <c r="E312" s="31" t="inlineStr">
        <is>
          <t>Творческие мастер-классы и художественные студии</t>
        </is>
      </c>
      <c r="F312" s="31" t="inlineStr">
        <is>
          <t>Подростки и взрослые с ментальными особенностями и ОВЗ (ПНИ / Социальные дома)</t>
        </is>
      </c>
      <c r="G312" s="31" t="inlineStr">
        <is>
          <t>Студия фонда / выездная площадка</t>
        </is>
      </c>
      <c r="H312" s="31" t="inlineStr">
        <is>
          <t>Художественно-прикладные и ремесленные навыки; Коммуникативные навыки, эмпатия и тьюторское сопровождение</t>
        </is>
      </c>
      <c r="I312" s="32" t="inlineStr">
        <is>
          <t>По формату занятия</t>
        </is>
      </c>
      <c r="J312" s="31" t="inlineStr">
        <is>
          <t>Мы продолжаем заниматься творчеством не только в студиях, но и непосредственно в интернатах, Социальных Домах. На прошлой неделе, например, рисовали с ребятами из Социального Дома на Коломенской 🎨 Вообще, у ребят много творческих задумок и знаете, они очень связаны с настроением,...</t>
        </is>
      </c>
    </row>
    <row r="313" ht="30" customHeight="1">
      <c r="A313" s="23" t="n">
        <v>6579</v>
      </c>
      <c r="B313" s="24" t="inlineStr">
        <is>
          <t>2023-06-09</t>
        </is>
      </c>
      <c r="C313" s="25">
        <f>HYPERLINK("https://vk.com/wall-1825701_6579", "Открыть пост")</f>
        <v/>
      </c>
      <c r="D313" s="26" t="inlineStr">
        <is>
          <t>Выездные лагеря, дача и сезонные программы</t>
        </is>
      </c>
      <c r="E313" s="26" t="inlineStr">
        <is>
          <t>Выездные лагеря, дача и сезонные программы; Творческие мастер-классы и художественные студии</t>
        </is>
      </c>
      <c r="F313" s="26" t="inlineStr">
        <is>
          <t>Воспитанники ЦССВ, ДДИ и детских домов-интернатов; Дети и семьи (в т.ч. приёмные семьи и программа в Беслане)</t>
        </is>
      </c>
      <c r="G313" s="26" t="inlineStr">
        <is>
          <t>Беслан</t>
        </is>
      </c>
      <c r="H313" s="26" t="inlineStr">
        <is>
          <t>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Мобильность, выездное сопровождение и автоволонтёрство</t>
        </is>
      </c>
      <c r="I313" s="27" t="inlineStr">
        <is>
          <t>По формату занятия</t>
        </is>
      </c>
      <c r="J313" s="26" t="inlineStr">
        <is>
          <t>🔆Новые поступления в нашем магазине - игрушки ручной работы. Особенно важно запастись такими летом, перед поездкой с детьми на отдых, чтобы было кого еще взять с собой 😉 Все игрушки созданы вручную из фетра. Особое удовольствие здесь - всматриваться в детали. Например, в то, как ...</t>
        </is>
      </c>
    </row>
    <row r="314" ht="30" customHeight="1">
      <c r="A314" s="28" t="n">
        <v>6569</v>
      </c>
      <c r="B314" s="29" t="inlineStr">
        <is>
          <t>2023-05-29</t>
        </is>
      </c>
      <c r="C314" s="30">
        <f>HYPERLINK("https://vk.com/wall-1825701_6569", "Открыть пост")</f>
        <v/>
      </c>
      <c r="D314" s="31" t="inlineStr">
        <is>
          <t>Спортивные и активные мероприятия</t>
        </is>
      </c>
      <c r="E314" s="31" t="inlineStr">
        <is>
          <t>Спортивные и активные мероприятия; Творческие мастер-классы и художественные студии</t>
        </is>
      </c>
      <c r="F314" s="31" t="inlineStr">
        <is>
          <t>Подопечные фонда «Дети Марии» (общая группа детей и подростков)</t>
        </is>
      </c>
      <c r="G314" s="31" t="inlineStr">
        <is>
          <t>Студия фонда / выездная площадка</t>
        </is>
      </c>
      <c r="H314" s="31" t="inlineStr">
        <is>
          <t>Художественно-прикладные и ремесленные навыки; Артистические, музыкальные и спортивно-игровые навыки</t>
        </is>
      </c>
      <c r="I314" s="32" t="inlineStr">
        <is>
          <t>По формату занятия</t>
        </is>
      </c>
      <c r="J314" s="31" t="inlineStr">
        <is>
          <t>В пятницу наши давние друзья, Кембриджская Международная Школа, устроили спортивный забег для своих учеников и их родителей. И вы уже догадываетесь, что мы стали его гордыми участниками! Дело в том, что качестве благотворительной инициативы все участники забега могли в обмен на п...</t>
        </is>
      </c>
    </row>
    <row r="315" ht="30" customHeight="1">
      <c r="A315" s="23" t="n">
        <v>6560</v>
      </c>
      <c r="B315" s="24" t="inlineStr">
        <is>
          <t>2023-05-16</t>
        </is>
      </c>
      <c r="C315" s="25">
        <f>HYPERLINK("https://vk.com/wall-1825701_6560", "Открыть пост")</f>
        <v/>
      </c>
      <c r="D315" s="26" t="inlineStr">
        <is>
          <t>Творческие мастер-классы и художественные студии</t>
        </is>
      </c>
      <c r="E315" s="26" t="inlineStr">
        <is>
          <t>Творческие мастер-классы и художественные студии</t>
        </is>
      </c>
      <c r="F315" s="26" t="inlineStr">
        <is>
          <t>Подростки и взрослые с ментальными особенностями и ОВЗ (ПНИ / Социальные дома)</t>
        </is>
      </c>
      <c r="G315" s="26" t="inlineStr">
        <is>
          <t>Студия фонда / выездная площадка</t>
        </is>
      </c>
      <c r="H315" s="26" t="inlineStr">
        <is>
          <t>Коммуникативные навыки, эмпатия и тьюторское сопровождение</t>
        </is>
      </c>
      <c r="I315" s="27" t="inlineStr">
        <is>
          <t>По формату занятия</t>
        </is>
      </c>
      <c r="J315" s="26" t="inlineStr">
        <is>
          <t>В поисках традиционной картины месяца решили показать вам не результат, а процесс 🎨 Перед вами наша арт-суббота, занятия на природе девушек из Островского ПНИ с Юлей Великановой. Всего пару дней назад мы работали на пленэре. Такие занятия помогают лучше видеть и чувствовать оттен...</t>
        </is>
      </c>
    </row>
    <row r="316" ht="30" customHeight="1">
      <c r="A316" s="28" t="n">
        <v>6559</v>
      </c>
      <c r="B316" s="29" t="inlineStr">
        <is>
          <t>2023-05-05</t>
        </is>
      </c>
      <c r="C316" s="30">
        <f>HYPERLINK("https://vk.com/wall-1825701_6559", "Открыть пост")</f>
        <v/>
      </c>
      <c r="D316" s="31" t="inlineStr">
        <is>
          <t>Творческие мастер-классы и художественные студии</t>
        </is>
      </c>
      <c r="E316" s="31" t="inlineStr">
        <is>
          <t>Творческие мастер-классы и художественные студии; Выставки, экскурсии и культурные выходы; Кулинарные, образовательные и социально-бытовые занятия</t>
        </is>
      </c>
      <c r="F316" s="31" t="inlineStr">
        <is>
          <t>Выпускники интернатов и детских домов (молодые взрослые)</t>
        </is>
      </c>
      <c r="G316" s="31" t="inlineStr">
        <is>
          <t>Студия фонда / выездная площадка</t>
        </is>
      </c>
      <c r="H316"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 Мобильность, выездное сопровождение и автоволонтёрство; Медиа, фото/видеосъёмка и культурная медиация</t>
        </is>
      </c>
      <c r="I316" s="32" t="inlineStr">
        <is>
          <t>Да (в тексте)</t>
        </is>
      </c>
      <c r="J316" s="31" t="inlineStr">
        <is>
          <t>🎊Когда в апреле мы собирали друзей на День рождения, было много идей. Творческих, уютных, вкусных, красивых, веселых... мы собирались вместе, чтобы все обсудить, и подготовка – это отдельная радость. Сейчас прошло время, мы оглядываемся назад и нам очень важно обнять каждого. Каж...</t>
        </is>
      </c>
    </row>
    <row r="317" ht="30" customHeight="1">
      <c r="A317" s="23" t="n">
        <v>6557</v>
      </c>
      <c r="B317" s="24" t="inlineStr">
        <is>
          <t>2023-05-04</t>
        </is>
      </c>
      <c r="C317" s="25">
        <f>HYPERLINK("https://vk.com/wall-1825701_6557", "Открыть пост")</f>
        <v/>
      </c>
      <c r="D317" s="26" t="inlineStr">
        <is>
          <t>Творческие мастер-классы и художественные студии</t>
        </is>
      </c>
      <c r="E317" s="26" t="inlineStr">
        <is>
          <t>Творческие мастер-классы и художественные студии</t>
        </is>
      </c>
      <c r="F317" s="26" t="inlineStr">
        <is>
          <t>Подопечные фонда «Дети Марии» (общая группа детей и подростков)</t>
        </is>
      </c>
      <c r="G317" s="26" t="inlineStr">
        <is>
          <t>Студия фонда / выездная площадка</t>
        </is>
      </c>
      <c r="H317" s="26" t="inlineStr">
        <is>
          <t>Художественно-прикладные и ремесленные навыки</t>
        </is>
      </c>
      <c r="I317" s="27" t="inlineStr">
        <is>
          <t>По формату занятия</t>
        </is>
      </c>
      <c r="J317" s="26" t="inlineStr">
        <is>
          <t>✨Вдохновляем вас на творчество, тем более, что впереди несколько майских выходных. Найдите то, что дарит вам возможность выразить себя или провести время с близкими: рисуйте, лепите, прядите или пустите поток энергии в валяние. Пусть из-под пальцев выходят причудливые формы и пос...</t>
        </is>
      </c>
    </row>
    <row r="318" ht="30" customHeight="1">
      <c r="A318" s="28" t="n">
        <v>6554</v>
      </c>
      <c r="B318" s="29" t="inlineStr">
        <is>
          <t>2023-04-25</t>
        </is>
      </c>
      <c r="C318" s="30">
        <f>HYPERLINK("https://vk.com/wall-1825701_6554", "Открыть пост")</f>
        <v/>
      </c>
      <c r="D318" s="31" t="inlineStr">
        <is>
          <t>Выставки, экскурсии и культурные выходы</t>
        </is>
      </c>
      <c r="E318" s="31" t="inlineStr">
        <is>
          <t>Выставки, экскурсии и культурные выходы</t>
        </is>
      </c>
      <c r="F318" s="31" t="inlineStr">
        <is>
          <t>Подростки и взрослые с ментальными особенностями и ОВЗ (ПНИ / Социальные дома)</t>
        </is>
      </c>
      <c r="G318" s="31" t="inlineStr">
        <is>
          <t>Студия фонда / выездная площадка</t>
        </is>
      </c>
      <c r="H318" s="31" t="inlineStr">
        <is>
          <t>Педагогические и наставнические навыки (кулинария, быт, учёба); Мобильность, выездное сопровождение и автоволонтёрство</t>
        </is>
      </c>
      <c r="I318" s="32" t="inlineStr">
        <is>
          <t>По формату занятия</t>
        </is>
      </c>
      <c r="J318" s="31" t="inlineStr">
        <is>
          <t>🦕Самая большая концентрация динозавров в Москве – конечно же в музее Дарвина! Туда мы и отправились в середине апреля с ребятами из Социального Дома Нагатино-Садовники. В общем, с такими экспонатами, и экскурсия не нужна, столько впечатлений! Но нас встретили как давних друзей: в...</t>
        </is>
      </c>
    </row>
    <row r="319" ht="30" customHeight="1">
      <c r="A319" s="23" t="n">
        <v>6553</v>
      </c>
      <c r="B319" s="24" t="inlineStr">
        <is>
          <t>2023-04-21</t>
        </is>
      </c>
      <c r="C319" s="25">
        <f>HYPERLINK("https://vk.com/wall-1825701_6553", "Открыть пост")</f>
        <v/>
      </c>
      <c r="D319" s="26" t="inlineStr">
        <is>
          <t>Праздники, дни рождения и клубные встречи</t>
        </is>
      </c>
      <c r="E319" s="26" t="inlineStr">
        <is>
          <t>Праздники, дни рождения и клубные встречи</t>
        </is>
      </c>
      <c r="F319" s="26" t="inlineStr">
        <is>
          <t>Дети и семьи (в т.ч. приёмные семьи и программа в Беслане)</t>
        </is>
      </c>
      <c r="G319" s="26" t="inlineStr">
        <is>
          <t>Беслан</t>
        </is>
      </c>
      <c r="H319" s="26" t="inlineStr">
        <is>
          <t>Артистические, музыкальные и спортивно-игровые навыки; Педагогические и наставнические навыки (кулинария, быт, учёба); Мобильность, выездное сопровождение и автоволонтёрство</t>
        </is>
      </c>
      <c r="I319" s="27" t="inlineStr">
        <is>
          <t>По формату занятия</t>
        </is>
      </c>
      <c r="J319" s="26" t="inlineStr">
        <is>
          <t>С Джастином мы знакомы уже много лет. Даже не вспомним сколько (не станем!). Все это время Джастин загорается каждой идеей фонда, и многое придумывает сам. Серьезный человек (преподаватель!), Джастин ездит с нами в Беслан, выступает в этих поездках как клоун и западает в память и...</t>
        </is>
      </c>
    </row>
    <row r="320" ht="30" customHeight="1">
      <c r="A320" s="28" t="n">
        <v>6543</v>
      </c>
      <c r="B320" s="29" t="inlineStr">
        <is>
          <t>2023-04-17</t>
        </is>
      </c>
      <c r="C320" s="30">
        <f>HYPERLINK("https://vk.com/wall-1825701_6543", "Открыть пост")</f>
        <v/>
      </c>
      <c r="D320" s="31" t="inlineStr">
        <is>
          <t>Спектакли, концерты и музыкально-театральные занятия</t>
        </is>
      </c>
      <c r="E320" s="31" t="inlineStr">
        <is>
          <t>Спектакли, концерты и музыкально-театральные занятия; Праздники, дни рождения и клубные встречи</t>
        </is>
      </c>
      <c r="F320" s="31" t="inlineStr">
        <is>
          <t>Подростки и взрослые с ментальными особенностями и ОВЗ (ПНИ / Социальные дома); Воспитанники ЦССВ, ДДИ и детских домов-интернатов; Выпускники интернатов и детских домов (молодые взрослые)</t>
        </is>
      </c>
      <c r="G320" s="31" t="inlineStr">
        <is>
          <t>Студия фонда / выездная площадка</t>
        </is>
      </c>
      <c r="H320" s="31" t="inlineStr">
        <is>
          <t>Артистические, музыкальные и спортивно-игровые навыки; Организационные, ивент- и ярмарочные навыки</t>
        </is>
      </c>
      <c r="I320" s="32" t="inlineStr">
        <is>
          <t>По формату занятия</t>
        </is>
      </c>
      <c r="J320" s="31" t="inlineStr">
        <is>
          <t>🎊Сегодня у нашего Благотворительного фонда «Дети Марии» день рождения. Нам 26! Представляете, 26 лет ежедневного творчества, вдохновения, встреч, улыбок, чаепитий, знакомств. 26 лет идей для спектаклей, поездок, арт-событий, совместного роста, развития и главное - счастья за успе...</t>
        </is>
      </c>
    </row>
    <row r="321" ht="30" customHeight="1">
      <c r="A321" s="23" t="n">
        <v>6541</v>
      </c>
      <c r="B321" s="24" t="inlineStr">
        <is>
          <t>2023-04-12</t>
        </is>
      </c>
      <c r="C321" s="25">
        <f>HYPERLINK("https://vk.com/wall-1825701_6541", "Открыть пост")</f>
        <v/>
      </c>
      <c r="D321" s="26" t="inlineStr">
        <is>
          <t>Выставки, экскурсии и культурные выходы</t>
        </is>
      </c>
      <c r="E321" s="26" t="inlineStr">
        <is>
          <t>Выставки, экскурсии и культурные выходы</t>
        </is>
      </c>
      <c r="F321" s="26" t="inlineStr">
        <is>
          <t>Подростки и взрослые с ментальными особенностями и ОВЗ (ПНИ / Социальные дома)</t>
        </is>
      </c>
      <c r="G321" s="26" t="inlineStr">
        <is>
          <t>Студия фонда / выездная площадка</t>
        </is>
      </c>
      <c r="H321" s="26" t="inlineStr">
        <is>
          <t>Художественно-прикладные и ремесленные навыки; Коммуникативные навыки, эмпатия и тьюторское сопровождение; Мобильность, выездное сопровождение и автоволонтёрство</t>
        </is>
      </c>
      <c r="I321" s="27" t="inlineStr">
        <is>
          <t>По формату занятия</t>
        </is>
      </c>
      <c r="J321" s="26" t="inlineStr">
        <is>
          <t>Наши прогулки с ребятами не останавливаются независимо от погоды. Тем более, что в Москву наконец пришла весна. В понедельник вместе с ребятами из Социального Дома Нагатино - Садовники мы поехали в Зоопарк. Запускали руки в густую, теплую (даже жаркую!) шерсть овец и баранов. Пыт...</t>
        </is>
      </c>
    </row>
    <row r="322" ht="30" customHeight="1">
      <c r="A322" s="28" t="n">
        <v>6540</v>
      </c>
      <c r="B322" s="29" t="inlineStr">
        <is>
          <t>2023-04-07</t>
        </is>
      </c>
      <c r="C322" s="30">
        <f>HYPERLINK("https://vk.com/wall-1825701_6540", "Открыть пост")</f>
        <v/>
      </c>
      <c r="D322" s="31" t="inlineStr">
        <is>
          <t>Ярмарки, фестивали и благотворительные базары</t>
        </is>
      </c>
      <c r="E322" s="31" t="inlineStr">
        <is>
          <t>Ярмарки, фестивали и благотворительные базары</t>
        </is>
      </c>
      <c r="F322" s="31" t="inlineStr">
        <is>
          <t>Подопечные фонда «Дети Марии» (общая группа детей и подростков)</t>
        </is>
      </c>
      <c r="G322" s="31" t="inlineStr">
        <is>
          <t>Студия фонда / выездная площадка</t>
        </is>
      </c>
      <c r="H322" s="31" t="inlineStr">
        <is>
          <t>Коммуникативные навыки, эмпатия и тьюторское сопровождение; Организационные, ивент- и ярмарочные навыки</t>
        </is>
      </c>
      <c r="I322" s="32" t="inlineStr">
        <is>
          <t>По формату занятия</t>
        </is>
      </c>
      <c r="J322" s="31" t="inlineStr">
        <is>
          <t>Рассказываем о том самом базаре, на котором встречались в прошлые выходные. Базар PROРемесло принес нашему фонду много ярких встреч, улыбок, вкусных кексов брауни и печенек, которые мы напекли под руководством Джонатана. А еще мы выручили 61 855 рублей! Эти средства пойдут на под...</t>
        </is>
      </c>
    </row>
    <row r="323" ht="30" customHeight="1">
      <c r="A323" s="23" t="n">
        <v>6528</v>
      </c>
      <c r="B323" s="24" t="inlineStr">
        <is>
          <t>2023-03-31</t>
        </is>
      </c>
      <c r="C323" s="25">
        <f>HYPERLINK("https://vk.com/wall-1825701_6528", "Открыть пост")</f>
        <v/>
      </c>
      <c r="D323" s="26" t="inlineStr">
        <is>
          <t>Праздники, дни рождения и клубные встречи</t>
        </is>
      </c>
      <c r="E323" s="26" t="inlineStr">
        <is>
          <t>Праздники, дни рождения и клубные встречи; Кулинарные, образовательные и социально-бытовые занятия</t>
        </is>
      </c>
      <c r="F323" s="26" t="inlineStr">
        <is>
          <t>Выпускники интернатов и детских домов (молодые взрослые)</t>
        </is>
      </c>
      <c r="G323" s="26" t="inlineStr">
        <is>
          <t>Студия фонда / выездная площадка</t>
        </is>
      </c>
      <c r="H323" s="26" t="inlineStr">
        <is>
          <t>Коммуникативные навыки, эмпатия и тьюторское сопровождение; Организационные, ивент- и ярмарочные навыки; Мобильность, выездное сопровождение и автоволонтёрство</t>
        </is>
      </c>
      <c r="I323" s="27" t="inlineStr">
        <is>
          <t>Да (в тексте)</t>
        </is>
      </c>
      <c r="J323" s="26" t="inlineStr">
        <is>
          <t>💍Самая главная радость марта, о которой мы обещали вам рассказать – свадьба нашей подопечной Олеси! Вместе Олеся и ее теперь уже муж Алексе уже год и в марте, наконец, состоялась из скромная свадьба. Ребята сами пожелали, чтобы свадьба была без лишних торжеств. Впрочем, признаемс...</t>
        </is>
      </c>
    </row>
    <row r="324" ht="30" customHeight="1">
      <c r="A324" s="28" t="n">
        <v>6524</v>
      </c>
      <c r="B324" s="29" t="inlineStr">
        <is>
          <t>2023-03-27</t>
        </is>
      </c>
      <c r="C324" s="30">
        <f>HYPERLINK("https://vk.com/wall-1825701_6524", "Открыть пост")</f>
        <v/>
      </c>
      <c r="D324" s="31" t="inlineStr">
        <is>
          <t>Ярмарки, фестивали и благотворительные базары</t>
        </is>
      </c>
      <c r="E324" s="31" t="inlineStr">
        <is>
          <t>Ярмарки, фестивали и благотворительные базары; Творческие мастер-классы и художественные студии</t>
        </is>
      </c>
      <c r="F324" s="31" t="inlineStr">
        <is>
          <t>Широкая аудитория, гости и благотворители (открытые события)</t>
        </is>
      </c>
      <c r="G324" s="31" t="inlineStr">
        <is>
          <t>ТВЕРСКАЯ 15</t>
        </is>
      </c>
      <c r="H324" s="31"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 Организационные, ивент- и ярмарочные навыки</t>
        </is>
      </c>
      <c r="I324" s="32" t="inlineStr">
        <is>
          <t>По формату занятия</t>
        </is>
      </c>
      <c r="J324" s="31" t="inlineStr">
        <is>
          <t>Уже в эти выходные, 1-2 апреля приглашаем всех — от самых маленьких до самых взрослых на инклюзивный базар #PROремесло к нашим друзьям, Инклюзивный культурный центр «ТВЕРСКАЯ 15». 👉🏻 Регистрация гостей: https://tverskaya15.timepad.ru/event/2360628/ Вход свободный, но пожалуйста, ...</t>
        </is>
      </c>
    </row>
    <row r="325" ht="30" customHeight="1">
      <c r="A325" s="23" t="n">
        <v>6516</v>
      </c>
      <c r="B325" s="24" t="inlineStr">
        <is>
          <t>2023-03-06</t>
        </is>
      </c>
      <c r="C325" s="25">
        <f>HYPERLINK("https://vk.com/wall-1825701_6516", "Открыть пост")</f>
        <v/>
      </c>
      <c r="D325" s="26" t="inlineStr">
        <is>
          <t>Ярмарки, фестивали и благотворительные базары</t>
        </is>
      </c>
      <c r="E325" s="26" t="inlineStr">
        <is>
          <t>Ярмарки, фестивали и благотворительные базары; Творческие мастер-классы и художественные студии</t>
        </is>
      </c>
      <c r="F325" s="26" t="inlineStr">
        <is>
          <t>Подопечные фонда «Дети Марии» (общая группа детей и подростков)</t>
        </is>
      </c>
      <c r="G325" s="26" t="inlineStr">
        <is>
          <t>Студия фонда / выездная площадка</t>
        </is>
      </c>
      <c r="H325" s="26" t="inlineStr">
        <is>
          <t>Художественно-прикладные и ремесленные навыки; Коммуникативные навыки, эмпатия и тьюторское сопровождение; Организационные, ивент- и ярмарочные навыки</t>
        </is>
      </c>
      <c r="I325" s="27" t="inlineStr">
        <is>
          <t>По формату занятия</t>
        </is>
      </c>
      <c r="J325" s="26" t="inlineStr">
        <is>
          <t>🌺Видите на прилавке наши броши-маки? Это настоящий хит всех ярмарок, на которых мы представляем работы подопечных фонда. Маленькая деталь, у которой две супер-способности: украшать любой костюм и дарить улыбки всем встречным. Недавно мы ездили на ярмарку Сбер. Про броши-маки даже...</t>
        </is>
      </c>
    </row>
    <row r="326" ht="30" customHeight="1">
      <c r="A326" s="28" t="n">
        <v>6515</v>
      </c>
      <c r="B326" s="29" t="inlineStr">
        <is>
          <t>2023-03-03</t>
        </is>
      </c>
      <c r="C326" s="30">
        <f>HYPERLINK("https://vk.com/wall-1825701_6515", "Открыть пост")</f>
        <v/>
      </c>
      <c r="D326" s="31" t="inlineStr">
        <is>
          <t>Спортивные и активные мероприятия</t>
        </is>
      </c>
      <c r="E326" s="31" t="inlineStr">
        <is>
          <t>Спортивные и активные мероприятия</t>
        </is>
      </c>
      <c r="F326" s="31" t="inlineStr">
        <is>
          <t>Подопечные фонда «Дети Марии» (общая группа детей и подростков)</t>
        </is>
      </c>
      <c r="G326" s="31" t="inlineStr">
        <is>
          <t>Студия фонда / выездная площадка</t>
        </is>
      </c>
      <c r="H326" s="31" t="inlineStr">
        <is>
          <t>Коммуникативные навыки, эмпатия и тьюторское сопровождение; Педагогические и наставнические навыки (кулинария, быт, учёба)</t>
        </is>
      </c>
      <c r="I326" s="32" t="inlineStr">
        <is>
          <t>По формату занятия</t>
        </is>
      </c>
      <c r="J326" s="31" t="inlineStr">
        <is>
          <t>🚨Нашим друзьям нужна помощь, они попали в беду! Сколько раз мы говорили о Конный двор Узкое ... Наши подопечные отмечали там дни рождения, проходили занятия по адаптивной верховой езде. Учились ухаживать, кататься и выражать любовь без слов. Но сейчас наша любимая конюшня под угр...</t>
        </is>
      </c>
    </row>
    <row r="327" ht="30" customHeight="1">
      <c r="A327" s="23" t="n">
        <v>6514</v>
      </c>
      <c r="B327" s="24" t="inlineStr">
        <is>
          <t>2023-03-01</t>
        </is>
      </c>
      <c r="C327" s="25">
        <f>HYPERLINK("https://vk.com/wall-1825701_6514", "Открыть пост")</f>
        <v/>
      </c>
      <c r="D327" s="26" t="inlineStr">
        <is>
          <t>Выездные лагеря, дача и сезонные программы</t>
        </is>
      </c>
      <c r="E327" s="26" t="inlineStr">
        <is>
          <t>Выездные лагеря, дача и сезонные программы; Спортивные и активные мероприятия; Творческие мастер-классы и художественные студии; Спектакли, концерты и музыкально-театральные занятия</t>
        </is>
      </c>
      <c r="F327" s="26" t="inlineStr">
        <is>
          <t>Подопечные фонда «Дети Марии» (общая группа детей и подростков)</t>
        </is>
      </c>
      <c r="G327" s="26" t="inlineStr">
        <is>
          <t>Сорочаны, Сорочанах</t>
        </is>
      </c>
      <c r="H327"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Мобильность, выездное сопровождение и автоволонтёрство</t>
        </is>
      </c>
      <c r="I327" s="27" t="inlineStr">
        <is>
          <t>По формату занятия</t>
        </is>
      </c>
      <c r="J327" s="26" t="inlineStr">
        <is>
          <t>⛷5 фактов про нашу поездку в "Сорочаны": 1. К нам из Углича приехали ребята от 7 до 17 лет. 2. Даже если они никогда не катались на лыжах, шансов не научиться не было: новичкам предоставлялся профессиональный инструктор от курорта "Сорочаны". 3. Мы всегда за индивидуальный подход...</t>
        </is>
      </c>
    </row>
    <row r="328" ht="30" customHeight="1">
      <c r="A328" s="28" t="n">
        <v>6509</v>
      </c>
      <c r="B328" s="29" t="inlineStr">
        <is>
          <t>2023-02-08</t>
        </is>
      </c>
      <c r="C328" s="30">
        <f>HYPERLINK("https://vk.com/wall-1825701_6509", "Открыть пост")</f>
        <v/>
      </c>
      <c r="D328" s="31" t="inlineStr">
        <is>
          <t>Выездные лагеря, дача и сезонные программы</t>
        </is>
      </c>
      <c r="E328" s="31" t="inlineStr">
        <is>
          <t>Выездные лагеря, дача и сезонные программы</t>
        </is>
      </c>
      <c r="F328" s="31" t="inlineStr">
        <is>
          <t>Воспитанники ЦССВ, ДДИ и детских домов-интернатов</t>
        </is>
      </c>
      <c r="G328" s="31" t="inlineStr">
        <is>
          <t>Сорочаны</t>
        </is>
      </c>
      <c r="H328" s="31" t="inlineStr">
        <is>
          <t>Артистические, музыкальные и спортивно-игровые навыки; Мобильность, выездное сопровождение и автоволонтёрство</t>
        </is>
      </c>
      <c r="I328" s="32" t="inlineStr">
        <is>
          <t>По формату занятия</t>
        </is>
      </c>
      <c r="J328" s="31" t="inlineStr">
        <is>
          <t>🔔 Друзья, нам нужна помощь! Мы собираем вещи для ребят, которые меньше чем через неделю (13 февраля) отправятся на традиционную зимнюю программу в подмосковные Сорочаны. В этом году с нами едут ребята из детского дома Углича. 👉🏻 Чтобы участвовать в программе, детям нужны: - экипи...</t>
        </is>
      </c>
    </row>
    <row r="329" ht="30" customHeight="1">
      <c r="A329" s="23" t="n">
        <v>6508</v>
      </c>
      <c r="B329" s="24" t="inlineStr">
        <is>
          <t>2023-02-06</t>
        </is>
      </c>
      <c r="C329" s="25">
        <f>HYPERLINK("https://vk.com/wall-1825701_6508", "Открыть пост")</f>
        <v/>
      </c>
      <c r="D329" s="26" t="inlineStr">
        <is>
          <t>Ярмарки, фестивали и благотворительные базары</t>
        </is>
      </c>
      <c r="E329" s="26" t="inlineStr">
        <is>
          <t>Ярмарки, фестивали и благотворительные базары</t>
        </is>
      </c>
      <c r="F329" s="26" t="inlineStr">
        <is>
          <t>Широкая аудитория, гости и благотворители (открытые события)</t>
        </is>
      </c>
      <c r="G329" s="26" t="inlineStr">
        <is>
          <t>Студия фонда / выездная площадка</t>
        </is>
      </c>
      <c r="H329"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t>
        </is>
      </c>
      <c r="I329" s="27" t="inlineStr">
        <is>
          <t>По формату занятия</t>
        </is>
      </c>
      <c r="J329" s="26" t="inlineStr">
        <is>
          <t>Помните, в начале декабря мы открыли онлайн-ярмарку на Planeta.ru? В самый волшебный месяц года вы могли купить подарки себе и близким. Их наши подопечные и преподаватели сделали своими руками, а мы выбрали самые яркие и новогодние, и разместили на "полках" виртуального новогодне...</t>
        </is>
      </c>
    </row>
    <row r="330" ht="30" customHeight="1">
      <c r="A330" s="28" t="n">
        <v>6507</v>
      </c>
      <c r="B330" s="29" t="inlineStr">
        <is>
          <t>2023-01-31</t>
        </is>
      </c>
      <c r="C330" s="30">
        <f>HYPERLINK("https://vk.com/wall-1825701_6507", "Открыть пост")</f>
        <v/>
      </c>
      <c r="D330" s="31" t="inlineStr">
        <is>
          <t>Творческие мастер-классы и художественные студии</t>
        </is>
      </c>
      <c r="E330" s="31" t="inlineStr">
        <is>
          <t>Творческие мастер-классы и художественные студии; Выставки, экскурсии и культурные выходы</t>
        </is>
      </c>
      <c r="F330" s="31" t="inlineStr">
        <is>
          <t>Воспитанники ЦССВ, ДДИ и детских домов-интернатов</t>
        </is>
      </c>
      <c r="G330" s="31" t="inlineStr">
        <is>
          <t>Студия фонда / выездная площадка</t>
        </is>
      </c>
      <c r="H330" s="31" t="inlineStr">
        <is>
          <t>Художественно-прикладные и ремесленные навыки</t>
        </is>
      </c>
      <c r="I330" s="32" t="inlineStr">
        <is>
          <t>По формату занятия</t>
        </is>
      </c>
      <c r="J330" s="31" t="inlineStr">
        <is>
          <t>Художник января - романтик и «художник света» Архип Куинджи. Одна из запоминающихся особенностей в творчестве мастера - его умение рисовать свет. Современники даже подозревали Архипа Куинджи в подсветке картин, настолько непостижимо было его умение передавать тайну свечения. Но в...</t>
        </is>
      </c>
    </row>
    <row r="331" ht="30" customHeight="1">
      <c r="A331" s="23" t="n">
        <v>6505</v>
      </c>
      <c r="B331" s="24" t="inlineStr">
        <is>
          <t>2023-01-25</t>
        </is>
      </c>
      <c r="C331" s="25">
        <f>HYPERLINK("https://vk.com/wall-1825701_6505", "Открыть пост")</f>
        <v/>
      </c>
      <c r="D331" s="26" t="inlineStr">
        <is>
          <t>Ярмарки, фестивали и благотворительные базары</t>
        </is>
      </c>
      <c r="E331" s="26" t="inlineStr">
        <is>
          <t>Ярмарки, фестивали и благотворительные базары</t>
        </is>
      </c>
      <c r="F331" s="26" t="inlineStr">
        <is>
          <t>Подопечные фонда «Дети Марии» (общая группа детей и подростков)</t>
        </is>
      </c>
      <c r="G331" s="26" t="inlineStr">
        <is>
          <t>Студия фонда / выездная площадка</t>
        </is>
      </c>
      <c r="H331" s="26" t="inlineStr">
        <is>
          <t>Коммуникативные навыки, эмпатия и тьюторское сопровождение; Организационные, ивент- и ярмарочные навыки</t>
        </is>
      </c>
      <c r="I331" s="27" t="inlineStr">
        <is>
          <t>По формату занятия</t>
        </is>
      </c>
      <c r="J331" s="26" t="inlineStr">
        <is>
          <t>Наш фонд поддерживают не только взрослые, но и дети. Они приходят и к нам на ярмарки, и организуют их своими силами! Приносят подарки для ребят, покупают их творчество, искренне радуются, когда мы рассказываем, кому помогли с их помощью. Накануне Нового года такими помощниками дл...</t>
        </is>
      </c>
    </row>
    <row r="332" ht="30" customHeight="1">
      <c r="A332" s="28" t="n">
        <v>6503</v>
      </c>
      <c r="B332" s="29" t="inlineStr">
        <is>
          <t>2023-01-20</t>
        </is>
      </c>
      <c r="C332" s="30">
        <f>HYPERLINK("https://vk.com/wall-1825701_6503", "Открыть пост")</f>
        <v/>
      </c>
      <c r="D332" s="31" t="inlineStr">
        <is>
          <t>Творческие мастер-классы и художественные студии</t>
        </is>
      </c>
      <c r="E332" s="31" t="inlineStr">
        <is>
          <t>Творческие мастер-классы и художественные студии</t>
        </is>
      </c>
      <c r="F332" s="31" t="inlineStr">
        <is>
          <t>Подопечные фонда «Дети Марии» (общая группа детей и подростков)</t>
        </is>
      </c>
      <c r="G332" s="31" t="inlineStr">
        <is>
          <t>Студия фонда / выездная площадка</t>
        </is>
      </c>
      <c r="H332"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Мобильность, выездное сопровождение и автоволонтёрство; Медиа, фото/видеосъёмка и культурная медиация</t>
        </is>
      </c>
      <c r="I332" s="32" t="inlineStr">
        <is>
          <t>Да (в тексте)</t>
        </is>
      </c>
      <c r="J332" s="31" t="inlineStr">
        <is>
          <t>В начале этого месяца у нас была особенная встреча с ребятами на Новинском. Делимся этим, чтобы продлить волшебство и пригласить вас потанцевать вместе с нами. Было 4 января. Мы рисовали, дарили подарки, пили чай и, конечно, ели любимые ребятами угощения. А потом зажгли свечи и б...</t>
        </is>
      </c>
    </row>
    <row r="333" ht="30" customHeight="1">
      <c r="A333" s="23" t="n">
        <v>6495</v>
      </c>
      <c r="B333" s="24" t="inlineStr">
        <is>
          <t>2022-12-29</t>
        </is>
      </c>
      <c r="C333" s="25">
        <f>HYPERLINK("https://vk.com/wall-1825701_6495", "Открыть пост")</f>
        <v/>
      </c>
      <c r="D333" s="26" t="inlineStr">
        <is>
          <t>Творческие мастер-классы и художественные студии</t>
        </is>
      </c>
      <c r="E333" s="26" t="inlineStr">
        <is>
          <t>Творческие мастер-классы и художественные студии; Выставки, экскурсии и культурные выходы; Спектакли, концерты и музыкально-театральные занятия; Спортивные и активные мероприятия; Праздники, дни рождения и клубные встречи</t>
        </is>
      </c>
      <c r="F333" s="26" t="inlineStr">
        <is>
          <t>Воспитанники ЦССВ, ДДИ и детских домов-интернатов</t>
        </is>
      </c>
      <c r="G333" s="26" t="inlineStr">
        <is>
          <t>ТВЕРСКАЯ15</t>
        </is>
      </c>
      <c r="H333"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t>
        </is>
      </c>
      <c r="I333" s="27" t="inlineStr">
        <is>
          <t>Да (в тексте)</t>
        </is>
      </c>
      <c r="J333" s="26" t="inlineStr">
        <is>
          <t>❄•Три дня и три вечера общения, творчества, предновогоднего настроения и волшебства – с 22 по 24 декабря вместе с @tverskaya15 Инклюзивным культурным центром ТВЕРСКАЯ15 мы встречали друзей на «Снежных встречах» в поддержку своих программ. Мы проводили мастер-классы, на которых го...</t>
        </is>
      </c>
    </row>
    <row r="334" ht="30" customHeight="1">
      <c r="A334" s="28" t="n">
        <v>6466</v>
      </c>
      <c r="B334" s="29" t="inlineStr">
        <is>
          <t>2022-12-23</t>
        </is>
      </c>
      <c r="C334" s="30">
        <f>HYPERLINK("https://vk.com/wall-1825701_6466", "Открыть пост")</f>
        <v/>
      </c>
      <c r="D334" s="31" t="inlineStr">
        <is>
          <t>Спортивные и активные мероприятия</t>
        </is>
      </c>
      <c r="E334" s="31" t="inlineStr">
        <is>
          <t>Спортивные и активные мероприятия; Выставки, экскурсии и культурные выходы; Кулинарные, образовательные и социально-бытовые занятия; Творческие мастер-классы и художественные студии</t>
        </is>
      </c>
      <c r="F334" s="31" t="inlineStr">
        <is>
          <t>Воспитанники ЦССВ, ДДИ и детских домов-интернатов; Выпускники интернатов и детских домов (молодые взрослые)</t>
        </is>
      </c>
      <c r="G334" s="31" t="inlineStr">
        <is>
          <t>ТВЕРСКАЯ 15</t>
        </is>
      </c>
      <c r="H334"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 Мобильность, выездное сопровождение и автоволонтёрство; Медиа, фото/видеосъёмка и культурная медиация</t>
        </is>
      </c>
      <c r="I334" s="32" t="inlineStr">
        <is>
          <t>По формату занятия</t>
        </is>
      </c>
      <c r="J334" s="31" t="inlineStr">
        <is>
          <t>Наши замечательные ребята — подопечные фонда «Дети Марии» и Инклюзивный культурный центр «ТВЕРСКАЯ 15» – создают из глины и с помощью красок произведения искусства, которые помогают им выразить себя, понять мир вокруг, почувствовать его доброту. Эти удивительные и искренние работ...</t>
        </is>
      </c>
    </row>
    <row r="335" ht="30" customHeight="1">
      <c r="A335" s="23" t="n">
        <v>6464</v>
      </c>
      <c r="B335" s="24" t="inlineStr">
        <is>
          <t>2022-12-22</t>
        </is>
      </c>
      <c r="C335" s="25">
        <f>HYPERLINK("https://vk.com/wall-1825701_6464", "Открыть пост")</f>
        <v/>
      </c>
      <c r="D335" s="26" t="inlineStr">
        <is>
          <t>Творческие мастер-классы и художественные студии</t>
        </is>
      </c>
      <c r="E335" s="26" t="inlineStr">
        <is>
          <t>Творческие мастер-классы и художественные студии; Выставки, экскурсии и культурные выходы; Спектакли, концерты и музыкально-театральные занятия; Спортивные и активные мероприятия; Кулинарные, образовательные и социально-бытовые занятия</t>
        </is>
      </c>
      <c r="F335" s="26" t="inlineStr">
        <is>
          <t>Воспитанники ЦССВ, ДДИ и детских домов-интернатов; Выпускники интернатов и детских домов (молодые взрослые)</t>
        </is>
      </c>
      <c r="G335" s="26" t="inlineStr">
        <is>
          <t>ТВЕРСКАЯ 15</t>
        </is>
      </c>
      <c r="H335" s="26" t="inlineStr">
        <is>
          <t>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 Мобильность, выездное сопровождение и автоволонтёрство</t>
        </is>
      </c>
      <c r="I335" s="27" t="inlineStr">
        <is>
          <t>По формату занятия</t>
        </is>
      </c>
      <c r="J335" s="26" t="inlineStr">
        <is>
          <t>❄Друзья! Уже сегодня стартует наша добрая история «Снежные встречи»! 🎄Если вы еще не зарегистрировались, вы успеваете: https://tverskaya15.timepad.ru/event/2263297/ Всю неделю мы готовились встретить вас в пространстве Инклюзивный культурный центр «ТВЕРСКАЯ 15»: прятали сюрпризы,...</t>
        </is>
      </c>
    </row>
    <row r="336" ht="30" customHeight="1">
      <c r="A336" s="28" t="n">
        <v>6462</v>
      </c>
      <c r="B336" s="29" t="inlineStr">
        <is>
          <t>2022-12-21</t>
        </is>
      </c>
      <c r="C336" s="30">
        <f>HYPERLINK("https://vk.com/wall-1825701_6462", "Открыть пост")</f>
        <v/>
      </c>
      <c r="D336" s="31" t="inlineStr">
        <is>
          <t>Творческие мастер-классы и художественные студии</t>
        </is>
      </c>
      <c r="E336" s="31" t="inlineStr">
        <is>
          <t>Творческие мастер-классы и художественные студии</t>
        </is>
      </c>
      <c r="F336" s="31" t="inlineStr">
        <is>
          <t>Подопечные фонда «Дети Марии» (общая группа детей и подростков)</t>
        </is>
      </c>
      <c r="G336" s="31" t="inlineStr">
        <is>
          <t>Студия фонда / выездная площадка</t>
        </is>
      </c>
      <c r="H336" s="31" t="inlineStr">
        <is>
          <t>Коммуникативные навыки, эмпатия и тьюторское сопровождение; Организационные, ивент- и ярмарочные навыки</t>
        </is>
      </c>
      <c r="I336" s="32" t="inlineStr">
        <is>
          <t>По формату занятия</t>
        </is>
      </c>
      <c r="J336" s="31" t="inlineStr">
        <is>
          <t>23 декабря на «Снежных встречах» мы будем создавать собственные ретро-открытки и знакомиться с печатью на офортном станке! Это мастер-класс, на который может прийти ваш ребенок от 7 лет (и вам тоже понравится!) … и выйти с открыткой-гравюрой. Темой встречи станут маски разных стр...</t>
        </is>
      </c>
    </row>
    <row r="337" ht="30" customHeight="1">
      <c r="A337" s="23" t="n">
        <v>6461</v>
      </c>
      <c r="B337" s="24" t="inlineStr">
        <is>
          <t>2022-12-20</t>
        </is>
      </c>
      <c r="C337" s="25">
        <f>HYPERLINK("https://vk.com/wall-1825701_6461", "Открыть пост")</f>
        <v/>
      </c>
      <c r="D337" s="26" t="inlineStr">
        <is>
          <t>Спектакли, концерты и музыкально-театральные занятия</t>
        </is>
      </c>
      <c r="E337" s="26" t="inlineStr">
        <is>
          <t>Спектакли, концерты и музыкально-театральные занятия</t>
        </is>
      </c>
      <c r="F337" s="26" t="inlineStr">
        <is>
          <t>Широкая аудитория, гости и благотворители (открытые события)</t>
        </is>
      </c>
      <c r="G337" s="26" t="inlineStr">
        <is>
          <t>Студия фонда / выездная площадка</t>
        </is>
      </c>
      <c r="H337" s="26" t="inlineStr">
        <is>
          <t>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t>
        </is>
      </c>
      <c r="I337" s="27" t="inlineStr">
        <is>
          <t>По формату занятия</t>
        </is>
      </c>
      <c r="J337" s="26" t="inlineStr">
        <is>
          <t>Друзья, наступают самые короткие дни в году. Мы решили сделать их светлее и подарить вам ПОДАРОК. 23 декабря на «Снежные встречи» придет поэт и музыкант Алексей Вдовин. Его светлые, лирические песни делают самые темные дни года светлее, и для тех, кто никогда не слышал их раньше,...</t>
        </is>
      </c>
    </row>
    <row r="338" ht="30" customHeight="1">
      <c r="A338" s="28" t="n">
        <v>6460</v>
      </c>
      <c r="B338" s="29" t="inlineStr">
        <is>
          <t>2022-12-19</t>
        </is>
      </c>
      <c r="C338" s="30">
        <f>HYPERLINK("https://vk.com/wall-1825701_6460", "Открыть пост")</f>
        <v/>
      </c>
      <c r="D338" s="31" t="inlineStr">
        <is>
          <t>Спортивные и активные мероприятия</t>
        </is>
      </c>
      <c r="E338" s="31" t="inlineStr">
        <is>
          <t>Спортивные и активные мероприятия; Кулинарные, образовательные и социально-бытовые занятия; Творческие мастер-классы и художественные студии</t>
        </is>
      </c>
      <c r="F338" s="31" t="inlineStr">
        <is>
          <t>Воспитанники ЦССВ, ДДИ и детских домов-интернатов; Выпускники интернатов и детских домов (молодые взрослые)</t>
        </is>
      </c>
      <c r="G338" s="31" t="inlineStr">
        <is>
          <t>Студия фонда / выездная площадка</t>
        </is>
      </c>
      <c r="H338" s="31" t="inlineStr">
        <is>
          <t>Коммуникативные навыки, эмпатия и тьюторское сопровождение; Мобильность, выездное сопровождение и автоволонтёрство</t>
        </is>
      </c>
      <c r="I338" s="32" t="inlineStr">
        <is>
          <t>По формату занятия</t>
        </is>
      </c>
      <c r="J338" s="31" t="inlineStr">
        <is>
          <t>«Снежные встречи» ждут модников и друзей модников. Всех, кто интересуется необычными деталями интерьера или ищет их в подарок близким. Мы собрали для вас целую коллекцию нарядов, украшений, книг и картин. Давайте заглянем одним глазком в зону подготовки нашего гараж-сейла. Гараж-...</t>
        </is>
      </c>
    </row>
    <row r="339" ht="30" customHeight="1">
      <c r="A339" s="23" t="n">
        <v>6459</v>
      </c>
      <c r="B339" s="24" t="inlineStr">
        <is>
          <t>2022-12-18</t>
        </is>
      </c>
      <c r="C339" s="25">
        <f>HYPERLINK("https://vk.com/wall-1825701_6459", "Открыть пост")</f>
        <v/>
      </c>
      <c r="D339" s="26" t="inlineStr">
        <is>
          <t>Творческие мастер-классы и художественные студии</t>
        </is>
      </c>
      <c r="E339" s="26" t="inlineStr">
        <is>
          <t>Творческие мастер-классы и художественные студии; Спектакли, концерты и музыкально-театральные занятия</t>
        </is>
      </c>
      <c r="F339" s="26" t="inlineStr">
        <is>
          <t>Подопечные фонда «Дети Марии» (общая группа детей и подростков)</t>
        </is>
      </c>
      <c r="G339" s="26" t="inlineStr">
        <is>
          <t>Студия фонда / выездная площадка</t>
        </is>
      </c>
      <c r="H339"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t>
        </is>
      </c>
      <c r="I339" s="27" t="inlineStr">
        <is>
          <t>По формату занятия</t>
        </is>
      </c>
      <c r="J339" s="26" t="inlineStr">
        <is>
          <t>Друзья, перед вами полное расписание мастер-классов, но обратите особое внимание на ботаническую живопись! Это и искусство, и арт-терапия. И тончайшие рисунки растений, и умение показать характер цветка. И волшебство, и реальность, которые выйдут из-под ваших рук. Приходите сами,...</t>
        </is>
      </c>
    </row>
    <row r="340" ht="30" customHeight="1">
      <c r="A340" s="28" t="n">
        <v>6458</v>
      </c>
      <c r="B340" s="29" t="inlineStr">
        <is>
          <t>2022-12-17</t>
        </is>
      </c>
      <c r="C340" s="30">
        <f>HYPERLINK("https://vk.com/wall-1825701_6458", "Открыть пост")</f>
        <v/>
      </c>
      <c r="D340" s="31" t="inlineStr">
        <is>
          <t>Творческие мастер-классы и художественные студии</t>
        </is>
      </c>
      <c r="E340" s="31" t="inlineStr">
        <is>
          <t>Творческие мастер-классы и художественные студии</t>
        </is>
      </c>
      <c r="F340" s="31" t="inlineStr">
        <is>
          <t>Подростки и взрослые с ментальными особенностями и ОВЗ (ПНИ / Социальные дома)</t>
        </is>
      </c>
      <c r="G340" s="31" t="inlineStr">
        <is>
          <t>Студия фонда / выездная площадка</t>
        </is>
      </c>
      <c r="H340" s="31" t="inlineStr">
        <is>
          <t>Художественно-прикладные и ремесленные навыки; Коммуникативные навыки, эмпатия и тьюторское сопровождение; Организационные, ивент- и ярмарочные навыки</t>
        </is>
      </c>
      <c r="I340" s="32" t="inlineStr">
        <is>
          <t>По формату занятия</t>
        </is>
      </c>
      <c r="J340" s="31" t="inlineStr">
        <is>
          <t>Мы недавно говорили, что каждый найдет что-то интересное на наших «Снежных встречах», даже если вам кажется, что «поделки - это для детей». Есть мастер-класс, который очень понравится вам, и на него можно прийти вместе с ребенком. Пока вы будете создавать посуду, с вашим ребенком...</t>
        </is>
      </c>
    </row>
    <row r="341" ht="30" customHeight="1">
      <c r="A341" s="23" t="n">
        <v>6457</v>
      </c>
      <c r="B341" s="24" t="inlineStr">
        <is>
          <t>2022-12-16</t>
        </is>
      </c>
      <c r="C341" s="25">
        <f>HYPERLINK("https://vk.com/wall-1825701_6457", "Открыть пост")</f>
        <v/>
      </c>
      <c r="D341" s="26" t="inlineStr">
        <is>
          <t>Творческие мастер-классы и художественные студии</t>
        </is>
      </c>
      <c r="E341" s="26" t="inlineStr">
        <is>
          <t>Творческие мастер-классы и художественные студии; Выставки, экскурсии и культурные выходы; Кулинарные, образовательные и социально-бытовые занятия</t>
        </is>
      </c>
      <c r="F341" s="26" t="inlineStr">
        <is>
          <t>Воспитанники ЦССВ, ДДИ и детских домов-интернатов; Широкая аудитория, гости и благотворители (открытые события); Выпускники интернатов и детских домов (молодые взрослые)</t>
        </is>
      </c>
      <c r="G341" s="26" t="inlineStr">
        <is>
          <t>Студия фонда / выездная площадка</t>
        </is>
      </c>
      <c r="H341"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 Мобильность, выездное сопровождение и автоволонтёрство</t>
        </is>
      </c>
      <c r="I341" s="27" t="inlineStr">
        <is>
          <t>По формату занятия</t>
        </is>
      </c>
      <c r="J341" s="26" t="inlineStr">
        <is>
          <t>В декабре особенно хочется волшебства, легкости и общества друзей! Именно за этим мы приглашаем вас на наши «Снежные встречи». На запах шоколада и хвои, мандаринов и шампанского. На звуки бардовской песни и детского (и взрослого) смеха. На мастер-классы, где от вас не требуется н...</t>
        </is>
      </c>
    </row>
    <row r="342" ht="30" customHeight="1">
      <c r="A342" s="28" t="n">
        <v>6456</v>
      </c>
      <c r="B342" s="29" t="inlineStr">
        <is>
          <t>2022-12-15</t>
        </is>
      </c>
      <c r="C342" s="30">
        <f>HYPERLINK("https://vk.com/wall-1825701_6456", "Открыть пост")</f>
        <v/>
      </c>
      <c r="D342" s="31" t="inlineStr">
        <is>
          <t>Спектакли, концерты и музыкально-театральные занятия</t>
        </is>
      </c>
      <c r="E342" s="31" t="inlineStr">
        <is>
          <t>Спектакли, концерты и музыкально-театральные занятия</t>
        </is>
      </c>
      <c r="F342" s="31" t="inlineStr">
        <is>
          <t>Широкая аудитория, гости и благотворители (открытые события)</t>
        </is>
      </c>
      <c r="G342" s="31" t="inlineStr">
        <is>
          <t>ТВЕРСКАЯ 15</t>
        </is>
      </c>
      <c r="H342" s="31" t="inlineStr">
        <is>
          <t>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 Медиа, фото/видеосъёмка и культурная медиация</t>
        </is>
      </c>
      <c r="I342" s="32" t="inlineStr">
        <is>
          <t>По формату занятия</t>
        </is>
      </c>
      <c r="J342" s="31" t="inlineStr">
        <is>
          <t>Какой прогноз дают метеорологи на 23 декабря? А, впрочем, неважно. Провести самый длинный вечер года нужно вместе! 23 декабря в рамках наших теплых «Снежных встреч» в пространстве Инклюзивный культурный центр «ТВЕРСКАЯ 15» мы устраиваем атмосферный концерт-квартирник. Будут манда...</t>
        </is>
      </c>
    </row>
    <row r="343" ht="30" customHeight="1">
      <c r="A343" s="23" t="n">
        <v>6455</v>
      </c>
      <c r="B343" s="24" t="inlineStr">
        <is>
          <t>2022-12-13</t>
        </is>
      </c>
      <c r="C343" s="25">
        <f>HYPERLINK("https://vk.com/wall-1825701_6455", "Открыть пост")</f>
        <v/>
      </c>
      <c r="D343" s="26" t="inlineStr">
        <is>
          <t>Творческие мастер-классы и художественные студии</t>
        </is>
      </c>
      <c r="E343" s="26" t="inlineStr">
        <is>
          <t>Творческие мастер-классы и художественные студии; Спортивные и активные мероприятия; Выставки, экскурсии и культурные выходы; Спектакли, концерты и музыкально-театральные занятия; Кулинарные, образовательные и социально-бытовые занятия</t>
        </is>
      </c>
      <c r="F343" s="26" t="inlineStr">
        <is>
          <t>Воспитанники ЦССВ, ДДИ и детских домов-интернатов; Выпускники интернатов и детских домов (молодые взрослые)</t>
        </is>
      </c>
      <c r="G343" s="26" t="inlineStr">
        <is>
          <t>ТВЕРСКАЯ15, ТВЕРСКАЯ 15</t>
        </is>
      </c>
      <c r="H343"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 Мобильность, выездное сопровождение и автоволонтёрство</t>
        </is>
      </c>
      <c r="I343" s="27" t="inlineStr">
        <is>
          <t>По формату занятия</t>
        </is>
      </c>
      <c r="J343" s="26" t="inlineStr">
        <is>
          <t>Добрая предновогодняя история начинается! С 22 по 24 декабря вместе с Инклюзивным культурным центром ТВЕРСКАЯ15 мы устраиваем благотворительный марафон в поддержку подопечных ребят «Снежные встречи»! Вы приглашены! Программа будет полна чудес, красивых нарядов, творческих мастер-...</t>
        </is>
      </c>
    </row>
    <row r="344" ht="30" customHeight="1">
      <c r="A344" s="28" t="n">
        <v>6452</v>
      </c>
      <c r="B344" s="29" t="inlineStr">
        <is>
          <t>2022-12-12</t>
        </is>
      </c>
      <c r="C344" s="30">
        <f>HYPERLINK("https://vk.com/wall-1825701_6452", "Открыть пост")</f>
        <v/>
      </c>
      <c r="D344" s="31" t="inlineStr">
        <is>
          <t>Кулинарные, образовательные и социально-бытовые занятия</t>
        </is>
      </c>
      <c r="E344" s="31" t="inlineStr">
        <is>
          <t>Кулинарные, образовательные и социально-бытовые занятия</t>
        </is>
      </c>
      <c r="F344" s="31" t="inlineStr">
        <is>
          <t>Широкая аудитория, гости и благотворители (открытые события)</t>
        </is>
      </c>
      <c r="G344" s="31" t="inlineStr">
        <is>
          <t>Студия фонда / выездная площадка</t>
        </is>
      </c>
      <c r="H344" s="31" t="inlineStr">
        <is>
          <t>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t>
        </is>
      </c>
      <c r="I344" s="32" t="inlineStr">
        <is>
          <t>По формату занятия</t>
        </is>
      </c>
      <c r="J344" s="31" t="inlineStr">
        <is>
          <t>🔔 Друзья, мы собираем подарки для наших подопечных на Новый год! Ведь праздник, чудо и сюрпризы должны прийти в каждый дом, правда? Наши ребята тоже ждут чудес и душевного тепла. Вы спросите, что такое чудо? Во-первых, ваше внимание. Ваша забота, ведь вы не забыли купить что-то и...</t>
        </is>
      </c>
    </row>
    <row r="345" ht="30" customHeight="1">
      <c r="A345" s="23" t="n">
        <v>6451</v>
      </c>
      <c r="B345" s="24" t="inlineStr">
        <is>
          <t>2022-12-07</t>
        </is>
      </c>
      <c r="C345" s="25">
        <f>HYPERLINK("https://vk.com/wall-1825701_6451", "Открыть пост")</f>
        <v/>
      </c>
      <c r="D345" s="26" t="inlineStr">
        <is>
          <t>Ярмарки, фестивали и благотворительные базары</t>
        </is>
      </c>
      <c r="E345" s="26" t="inlineStr">
        <is>
          <t>Ярмарки, фестивали и благотворительные базары</t>
        </is>
      </c>
      <c r="F345" s="26" t="inlineStr">
        <is>
          <t>Подопечные фонда «Дети Марии» (общая группа детей и подростков)</t>
        </is>
      </c>
      <c r="G345" s="26" t="inlineStr">
        <is>
          <t>Студия фонда / выездная площадка</t>
        </is>
      </c>
      <c r="H345" s="26" t="inlineStr">
        <is>
          <t>Коммуникативные навыки, эмпатия и тьюторское сопровождение; Организационные, ивент- и ярмарочные навыки</t>
        </is>
      </c>
      <c r="I345" s="27" t="inlineStr">
        <is>
          <t>По формату занятия</t>
        </is>
      </c>
      <c r="J345" s="26" t="inlineStr">
        <is>
          <t>Как попасть на нашу ярмарку на Planeta.ru и уйти с покупками - рассказываем в исчерпывающем путеводителе. Прошли по всем "рядам" сами, купили гуся (там еще осталось) - уже успели его получить и вам советуем. Вас и ваших близких ждут добрые, теплые подарки, созданные нашими подопе...</t>
        </is>
      </c>
    </row>
    <row r="346" ht="30" customHeight="1">
      <c r="A346" s="28" t="n">
        <v>6449</v>
      </c>
      <c r="B346" s="29" t="inlineStr">
        <is>
          <t>2022-12-05</t>
        </is>
      </c>
      <c r="C346" s="30">
        <f>HYPERLINK("https://vk.com/wall-1825701_6449", "Открыть пост")</f>
        <v/>
      </c>
      <c r="D346" s="31" t="inlineStr">
        <is>
          <t>Ярмарки, фестивали и благотворительные базары</t>
        </is>
      </c>
      <c r="E346" s="31" t="inlineStr">
        <is>
          <t>Ярмарки, фестивали и благотворительные базары</t>
        </is>
      </c>
      <c r="F346" s="31" t="inlineStr">
        <is>
          <t>Подопечные фонда «Дети Марии» (общая группа детей и подростков)</t>
        </is>
      </c>
      <c r="G346" s="31" t="inlineStr">
        <is>
          <t>Студия фонда / выездная площадка</t>
        </is>
      </c>
      <c r="H346" s="31" t="inlineStr">
        <is>
          <t>Коммуникативные навыки, эмпатия и тьюторское сопровождение; Педагогические и наставнические навыки (кулинария, быт, учёба); Организационные, ивент- и ярмарочные навыки</t>
        </is>
      </c>
      <c r="I346" s="32" t="inlineStr">
        <is>
          <t>По формату занятия</t>
        </is>
      </c>
      <c r="J346" s="31" t="inlineStr">
        <is>
          <t>🎄В самый волшебный месяц года мы всегда входим с онлайн-ярмаркой, чтобы где бы вы ни были, мы могли встретиться и передать вам подарок. А вы могли бы поддержать проекты фонда. По традиции, в первые дни декабря мы запускаем кампанию на Planeta.ru и показываем самые волшебные произ...</t>
        </is>
      </c>
    </row>
    <row r="347" ht="30" customHeight="1">
      <c r="A347" s="23" t="n">
        <v>6448</v>
      </c>
      <c r="B347" s="24" t="inlineStr">
        <is>
          <t>2022-12-02</t>
        </is>
      </c>
      <c r="C347" s="25">
        <f>HYPERLINK("https://vk.com/wall-1825701_6448", "Открыть пост")</f>
        <v/>
      </c>
      <c r="D347" s="26" t="inlineStr">
        <is>
          <t>Ярмарки, фестивали и благотворительные базары</t>
        </is>
      </c>
      <c r="E347" s="26" t="inlineStr">
        <is>
          <t>Ярмарки, фестивали и благотворительные базары</t>
        </is>
      </c>
      <c r="F347" s="26" t="inlineStr">
        <is>
          <t>Подопечные фонда «Дети Марии» (общая группа детей и подростков)</t>
        </is>
      </c>
      <c r="G347" s="26" t="inlineStr">
        <is>
          <t>Студия фонда / выездная площадка</t>
        </is>
      </c>
      <c r="H347" s="26" t="inlineStr">
        <is>
          <t>Организационные, ивент- и ярмарочные навыки</t>
        </is>
      </c>
      <c r="I347" s="27" t="inlineStr">
        <is>
          <t>По формату занятия</t>
        </is>
      </c>
      <c r="J347" s="26" t="inlineStr">
        <is>
          <t>Одно из самых волшебных декабрьских стихотворений - "Пилигримы" Иосифа Бродского. Стихотворение-картина. Читаешь его, и видишь перед собой ослепительно снежный путь пилигримов, чьи глаза полны заката, но сердца полны рассвета. Сверкающий снежный путь пилигримов мы представляем се...</t>
        </is>
      </c>
    </row>
    <row r="348" ht="30" customHeight="1">
      <c r="A348" s="28" t="n">
        <v>6443</v>
      </c>
      <c r="B348" s="29" t="inlineStr">
        <is>
          <t>2022-11-14</t>
        </is>
      </c>
      <c r="C348" s="30">
        <f>HYPERLINK("https://vk.com/wall-1825701_6443", "Открыть пост")</f>
        <v/>
      </c>
      <c r="D348" s="31" t="inlineStr">
        <is>
          <t>Спортивные и активные мероприятия</t>
        </is>
      </c>
      <c r="E348" s="31" t="inlineStr">
        <is>
          <t>Спортивные и активные мероприятия; Кулинарные, образовательные и социально-бытовые занятия; Праздники, дни рождения и клубные встречи</t>
        </is>
      </c>
      <c r="F348" s="31" t="inlineStr">
        <is>
          <t>Выпускники интернатов и детских домов (молодые взрослые)</t>
        </is>
      </c>
      <c r="G348" s="31" t="inlineStr">
        <is>
          <t>Студия фонда / выездная площадка</t>
        </is>
      </c>
      <c r="H348" s="31" t="inlineStr">
        <is>
          <t>Коммуникативные навыки, эмпатия и тьюторское сопровождение; Педагогические и наставнические навыки (кулинария, быт, учёба); Мобильность, выездное сопровождение и автоволонтёрство</t>
        </is>
      </c>
      <c r="I348" s="32" t="inlineStr">
        <is>
          <t>По формату занятия</t>
        </is>
      </c>
      <c r="J348" s="31" t="inlineStr">
        <is>
          <t>А у нас на тренировочных квартирах продолжается череда дней рождения! Таня и Женя, именинники, родившиеся в один день, вдохновлённые опытом поиска сокровищ, решили продолжить традицию кладоискательства и готовиться к новому походу. Только тот клад, за которым они собрались, наход...</t>
        </is>
      </c>
    </row>
    <row r="349" ht="30" customHeight="1">
      <c r="A349" s="23" t="n">
        <v>6442</v>
      </c>
      <c r="B349" s="24" t="inlineStr">
        <is>
          <t>2022-11-11</t>
        </is>
      </c>
      <c r="C349" s="25">
        <f>HYPERLINK("https://vk.com/wall-1825701_6442", "Открыть пост")</f>
        <v/>
      </c>
      <c r="D349" s="26" t="inlineStr">
        <is>
          <t>Спектакли, концерты и музыкально-театральные занятия</t>
        </is>
      </c>
      <c r="E349" s="26" t="inlineStr">
        <is>
          <t>Спектакли, концерты и музыкально-театральные занятия</t>
        </is>
      </c>
      <c r="F349" s="26" t="inlineStr">
        <is>
          <t>Подопечные фонда «Дети Марии» (общая группа детей и подростков)</t>
        </is>
      </c>
      <c r="G349" s="26" t="inlineStr">
        <is>
          <t>ТВЕРСКАЯ 15</t>
        </is>
      </c>
      <c r="H349" s="26" t="inlineStr">
        <is>
          <t>Коммуникативные навыки, эмпатия и тьюторское сопровождение; Артистические, музыкальные и спортивно-игровые навыки</t>
        </is>
      </c>
      <c r="I349" s="27" t="inlineStr">
        <is>
          <t>По формату занятия</t>
        </is>
      </c>
      <c r="J349" s="26" t="inlineStr">
        <is>
          <t>В это воскресенье (13 ноября) приходите вместе с детьми в Инклюзивный культурный центр «ТВЕРСКАЯ 15». Вас ждет знакомство с народным фольклором, максимально близким к аутентичному - спектакль «Пастушья дудочка» театра «Душегреи». Купить билеты: https://msk.radario.ru/events/18363...</t>
        </is>
      </c>
    </row>
    <row r="350" ht="30" customHeight="1">
      <c r="A350" s="28" t="n">
        <v>6436</v>
      </c>
      <c r="B350" s="29" t="inlineStr">
        <is>
          <t>2022-10-27</t>
        </is>
      </c>
      <c r="C350" s="30">
        <f>HYPERLINK("https://vk.com/wall-1825701_6436", "Открыть пост")</f>
        <v/>
      </c>
      <c r="D350" s="31" t="inlineStr">
        <is>
          <t>Кулинарные, образовательные и социально-бытовые занятия</t>
        </is>
      </c>
      <c r="E350" s="31" t="inlineStr">
        <is>
          <t>Кулинарные, образовательные и социально-бытовые занятия; Творческие мастер-классы и художественные студии; Выставки, экскурсии и культурные выходы</t>
        </is>
      </c>
      <c r="F350" s="31" t="inlineStr">
        <is>
          <t>Подростки и взрослые с ментальными особенностями и ОВЗ (ПНИ / Социальные дома)</t>
        </is>
      </c>
      <c r="G350" s="31" t="inlineStr">
        <is>
          <t>Студия фонда / выездная площадка</t>
        </is>
      </c>
      <c r="H350"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t>
        </is>
      </c>
      <c r="I350" s="32" t="inlineStr">
        <is>
          <t>Да (в тексте)</t>
        </is>
      </c>
      <c r="J350" s="31" t="inlineStr">
        <is>
          <t>Что такое арт-суббота? Это давняя и любимая традиция, теплая семейная встреча наших подопечных, сотрудников, волонтеров и друзей, и конечно, Марии и ее семьи в их доме. Это выходной, который мы проводим с самыми дорогими людьми за интересными занятиями, вкусной едой - ее мы готов...</t>
        </is>
      </c>
    </row>
    <row r="351" ht="30" customHeight="1">
      <c r="A351" s="23" t="n">
        <v>6434</v>
      </c>
      <c r="B351" s="24" t="inlineStr">
        <is>
          <t>2022-10-19</t>
        </is>
      </c>
      <c r="C351" s="25">
        <f>HYPERLINK("https://vk.com/wall-1825701_6434", "Открыть пост")</f>
        <v/>
      </c>
      <c r="D351" s="26" t="inlineStr">
        <is>
          <t>Творческие мастер-классы и художественные студии</t>
        </is>
      </c>
      <c r="E351" s="26" t="inlineStr">
        <is>
          <t>Творческие мастер-классы и художественные студии</t>
        </is>
      </c>
      <c r="F351" s="26" t="inlineStr">
        <is>
          <t>Подопечные фонда «Дети Марии» (общая группа детей и подростков)</t>
        </is>
      </c>
      <c r="G351" s="26" t="inlineStr">
        <is>
          <t>Студия фонда / выездная площадка</t>
        </is>
      </c>
      <c r="H351" s="26" t="inlineStr">
        <is>
          <t>Художественно-прикладные и ремесленные навыки; Коммуникативные навыки, эмпатия и тьюторское сопровождение</t>
        </is>
      </c>
      <c r="I351" s="27" t="inlineStr">
        <is>
          <t>По формату занятия</t>
        </is>
      </c>
      <c r="J351" s="26" t="inlineStr">
        <is>
          <t>❄Запасаемся теплыми вещами на время холодов, тем более что в нашем магазине все еще есть варежки (это бывает редко и недолго). С них и начнем! 👉🏻Наши варежки выполнены в технике сухого валяния. Это очень кропотливое занятие, требующее терпения и характера. Для сухого валяния испо...</t>
        </is>
      </c>
    </row>
    <row r="352" ht="30" customHeight="1">
      <c r="A352" s="28" t="n">
        <v>6432</v>
      </c>
      <c r="B352" s="29" t="inlineStr">
        <is>
          <t>2022-10-11</t>
        </is>
      </c>
      <c r="C352" s="30">
        <f>HYPERLINK("https://vk.com/wall-1825701_6432", "Открыть пост")</f>
        <v/>
      </c>
      <c r="D352" s="31" t="inlineStr">
        <is>
          <t>Кулинарные, образовательные и социально-бытовые занятия</t>
        </is>
      </c>
      <c r="E352" s="31" t="inlineStr">
        <is>
          <t>Кулинарные, образовательные и социально-бытовые занятия</t>
        </is>
      </c>
      <c r="F352" s="31" t="inlineStr">
        <is>
          <t>Выпускники интернатов и детских домов (молодые взрослые)</t>
        </is>
      </c>
      <c r="G352" s="31" t="inlineStr">
        <is>
          <t>Студия фонда / выездная площадка</t>
        </is>
      </c>
      <c r="H352" s="31" t="inlineStr">
        <is>
          <t>Коммуникативные навыки, эмпатия и тьюторское сопровождение</t>
        </is>
      </c>
      <c r="I352" s="32" t="inlineStr">
        <is>
          <t>По формату занятия</t>
        </is>
      </c>
      <c r="J352" s="31" t="inlineStr">
        <is>
          <t>"Сидеть в день рождения за столом — это скучно", — решили ребята с тренировочных квартир фонда "Дети Марии". В день рождения Андрея, одного из участников программы, вдохновившись легендой, они отправились на Ольняный пруд за драгоценностями. Ребята знали, что на северо-восточном ...</t>
        </is>
      </c>
    </row>
    <row r="353" ht="30" customHeight="1">
      <c r="A353" s="23" t="n">
        <v>6431</v>
      </c>
      <c r="B353" s="24" t="inlineStr">
        <is>
          <t>2022-10-06</t>
        </is>
      </c>
      <c r="C353" s="25">
        <f>HYPERLINK("https://vk.com/wall-1825701_6431", "Открыть пост")</f>
        <v/>
      </c>
      <c r="D353" s="26" t="inlineStr">
        <is>
          <t>Спектакли, концерты и музыкально-театральные занятия</t>
        </is>
      </c>
      <c r="E353" s="26" t="inlineStr">
        <is>
          <t>Спектакли, концерты и музыкально-театральные занятия; Творческие мастер-классы и художественные студии</t>
        </is>
      </c>
      <c r="F353" s="26" t="inlineStr">
        <is>
          <t>Широкая аудитория, гости и благотворители (открытые события)</t>
        </is>
      </c>
      <c r="G353" s="26" t="inlineStr">
        <is>
          <t>ТВЕРСКАЯ 15</t>
        </is>
      </c>
      <c r="H353"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t>
        </is>
      </c>
      <c r="I353" s="27" t="inlineStr">
        <is>
          <t>По формату занятия</t>
        </is>
      </c>
      <c r="J353" s="26" t="inlineStr">
        <is>
          <t>В воскресенье снова зовем вас и ваших детей на Театральный день в Инклюзивный культурный центр «ТВЕРСКАЯ 15»! Театр СНАРК представит премьеру «Винни-Пух и все-все-все». Историю героев расскажут как концерт рок-группы под названием «Винни-Пух и все-все-все». О приключениях неуклюж...</t>
        </is>
      </c>
    </row>
    <row r="354" ht="30" customHeight="1">
      <c r="A354" s="28" t="n">
        <v>6428</v>
      </c>
      <c r="B354" s="29" t="inlineStr">
        <is>
          <t>2022-09-30</t>
        </is>
      </c>
      <c r="C354" s="30">
        <f>HYPERLINK("https://vk.com/wall-1825701_6428", "Открыть пост")</f>
        <v/>
      </c>
      <c r="D354" s="31" t="inlineStr">
        <is>
          <t>Спектакли, концерты и музыкально-театральные занятия</t>
        </is>
      </c>
      <c r="E354" s="31" t="inlineStr">
        <is>
          <t>Спектакли, концерты и музыкально-театральные занятия</t>
        </is>
      </c>
      <c r="F354" s="31" t="inlineStr">
        <is>
          <t>Широкая аудитория, гости и благотворители (открытые события)</t>
        </is>
      </c>
      <c r="G354" s="31" t="inlineStr">
        <is>
          <t>ТВЕРСКАЯ 15</t>
        </is>
      </c>
      <c r="H354" s="31" t="inlineStr">
        <is>
          <t>Коммуникативные навыки, эмпатия и тьюторское сопровождение; Артистические, музыкальные и спортивно-игровые навыки</t>
        </is>
      </c>
      <c r="I354" s="32" t="inlineStr">
        <is>
          <t>По формату занятия</t>
        </is>
      </c>
      <c r="J354" s="31" t="inlineStr">
        <is>
          <t>В это воскресенье, 2 октября, приглашаем вас в Инклюзивный культурный центр «ТВЕРСКАЯ 15» на новый Театральный день! Вас ждет спектакль театра «Ученый медведь» «Музыка и песни народов мира». Для маленьких зрителей и их родителей подготовлена потрясающе интересная программа с разн...</t>
        </is>
      </c>
    </row>
    <row r="355" ht="30" customHeight="1">
      <c r="A355" s="23" t="n">
        <v>6423</v>
      </c>
      <c r="B355" s="24" t="inlineStr">
        <is>
          <t>2022-09-28</t>
        </is>
      </c>
      <c r="C355" s="25">
        <f>HYPERLINK("https://vk.com/wall-1825701_6423", "Открыть пост")</f>
        <v/>
      </c>
      <c r="D355" s="26" t="inlineStr">
        <is>
          <t>Кулинарные, образовательные и социально-бытовые занятия</t>
        </is>
      </c>
      <c r="E355" s="26" t="inlineStr">
        <is>
          <t>Кулинарные, образовательные и социально-бытовые занятия</t>
        </is>
      </c>
      <c r="F355" s="26" t="inlineStr">
        <is>
          <t>Выпускники интернатов и детских домов (молодые взрослые)</t>
        </is>
      </c>
      <c r="G355" s="26" t="inlineStr">
        <is>
          <t>Студия фонда / выездная площадка</t>
        </is>
      </c>
      <c r="H355" s="26" t="inlineStr">
        <is>
          <t>Коммуникативные навыки, эмпатия и тьюторское сопровождение; Артистические, музыкальные и спортивно-игровые навыки; Мобильность, выездное сопровождение и автоволонтёрство</t>
        </is>
      </c>
      <c r="I355" s="27" t="inlineStr">
        <is>
          <t>По формату занятия</t>
        </is>
      </c>
      <c r="J355" s="26" t="inlineStr">
        <is>
          <t>В воскресенье наши подопечные девочки из тренировочной квартиры поехали навестить животных в приюте! Встреча с животными похожа на встречу с друзьями, которых давно не видел. Это чистое чувство счастья, взаимной любви, полного понимания и дружбы, которая пройдет любые испытания. ...</t>
        </is>
      </c>
    </row>
    <row r="356" ht="30" customHeight="1">
      <c r="A356" s="28" t="n">
        <v>6420</v>
      </c>
      <c r="B356" s="29" t="inlineStr">
        <is>
          <t>2022-09-26</t>
        </is>
      </c>
      <c r="C356" s="30">
        <f>HYPERLINK("https://vk.com/wall-1825701_6420", "Открыть пост")</f>
        <v/>
      </c>
      <c r="D356" s="31" t="inlineStr">
        <is>
          <t>Творческие мастер-классы и художественные студии</t>
        </is>
      </c>
      <c r="E356" s="31" t="inlineStr">
        <is>
          <t>Творческие мастер-классы и художественные студии; Ярмарки, фестивали и благотворительные базары</t>
        </is>
      </c>
      <c r="F356" s="31" t="inlineStr">
        <is>
          <t>Подростки и взрослые с ментальными особенностями и ОВЗ (ПНИ / Социальные дома); Воспитанники ЦССВ, ДДИ и детских домов-интернатов</t>
        </is>
      </c>
      <c r="G356" s="31" t="inlineStr">
        <is>
          <t>Студия фонда / выездная площадка</t>
        </is>
      </c>
      <c r="H356"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t>
        </is>
      </c>
      <c r="I356" s="32" t="inlineStr">
        <is>
          <t>Да (в тексте)</t>
        </is>
      </c>
      <c r="J356" s="31" t="inlineStr">
        <is>
          <t>🔔Сегодня мы хотим поговорить о поддержке студий и наших ребят. Нам это очень важно. Каждый раз, когда мы показываем и рассказываем о занятиях, вы видите, как творчество влияет на ребят. Они начинают с самого малого – с преодоления страха что-то испортить или сделать плохо, и прих...</t>
        </is>
      </c>
    </row>
    <row r="357" ht="30" customHeight="1">
      <c r="A357" s="23" t="n">
        <v>6418</v>
      </c>
      <c r="B357" s="24" t="inlineStr">
        <is>
          <t>2022-09-21</t>
        </is>
      </c>
      <c r="C357" s="25">
        <f>HYPERLINK("https://vk.com/wall-1825701_6418", "Открыть пост")</f>
        <v/>
      </c>
      <c r="D357" s="26" t="inlineStr">
        <is>
          <t>Выставки, экскурсии и культурные выходы</t>
        </is>
      </c>
      <c r="E357" s="26" t="inlineStr">
        <is>
          <t>Выставки, экскурсии и культурные выходы</t>
        </is>
      </c>
      <c r="F357" s="26" t="inlineStr">
        <is>
          <t>Подопечные фонда «Дети Марии» (общая группа детей и подростков)</t>
        </is>
      </c>
      <c r="G357" s="26" t="inlineStr">
        <is>
          <t>Студия фонда / выездная площадка</t>
        </is>
      </c>
      <c r="H357" s="26" t="inlineStr">
        <is>
          <t>Художественно-прикладные и ремесленные навыки; Коммуникативные навыки, эмпатия и тьюторское сопровождение</t>
        </is>
      </c>
      <c r="I357" s="27" t="inlineStr">
        <is>
          <t>По формату занятия</t>
        </is>
      </c>
      <c r="J357" s="26" t="inlineStr">
        <is>
          <t>Мы верим, что творчество обладает целительной силой и может поддержать в сложный и тревожный момент. Сегодня мы хотим поделиться результатом труда наших подопечных. Все это было создано на ежедневных занятиях. Каждый день педагоги помогают ребятам не только видеть красоту в каждо...</t>
        </is>
      </c>
    </row>
    <row r="358" ht="30" customHeight="1">
      <c r="A358" s="28" t="n">
        <v>6409</v>
      </c>
      <c r="B358" s="29" t="inlineStr">
        <is>
          <t>2022-09-08</t>
        </is>
      </c>
      <c r="C358" s="30">
        <f>HYPERLINK("https://vk.com/wall-1825701_6409", "Открыть пост")</f>
        <v/>
      </c>
      <c r="D358" s="31" t="inlineStr">
        <is>
          <t>Выставки, экскурсии и культурные выходы</t>
        </is>
      </c>
      <c r="E358" s="31" t="inlineStr">
        <is>
          <t>Выставки, экскурсии и культурные выходы</t>
        </is>
      </c>
      <c r="F358" s="31" t="inlineStr">
        <is>
          <t>Подростки и взрослые с ментальными особенностями и ОВЗ (ПНИ / Социальные дома)</t>
        </is>
      </c>
      <c r="G358" s="31" t="inlineStr">
        <is>
          <t>ПНИ №16</t>
        </is>
      </c>
      <c r="H358"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Медиа, фото/видеосъёмка и культурная медиация</t>
        </is>
      </c>
      <c r="I358" s="32" t="inlineStr">
        <is>
          <t>По формату занятия</t>
        </is>
      </c>
      <c r="J358" s="31" t="inlineStr">
        <is>
          <t>В последний день лета наши подопечные из ПНИ №16 ездили в Московский зоопарк! Описать эмоции от встреч с лемурами, зебрами, жирафами, тюленями и слонами можно только при помощи фотографий, которые запечатлели моменты счастья. Нам повезло успеть ухватить последние теплые, но уже н...</t>
        </is>
      </c>
    </row>
    <row r="359" ht="30" customHeight="1">
      <c r="A359" s="23" t="n">
        <v>6408</v>
      </c>
      <c r="B359" s="24" t="inlineStr">
        <is>
          <t>2022-09-05</t>
        </is>
      </c>
      <c r="C359" s="25">
        <f>HYPERLINK("https://vk.com/wall-1825701_6408", "Открыть пост")</f>
        <v/>
      </c>
      <c r="D359" s="26" t="inlineStr">
        <is>
          <t>Творческие мастер-классы и художественные студии</t>
        </is>
      </c>
      <c r="E359" s="26" t="inlineStr">
        <is>
          <t>Творческие мастер-классы и художественные студии; Праздники, дни рождения и клубные встречи</t>
        </is>
      </c>
      <c r="F359" s="26" t="inlineStr">
        <is>
          <t>Подростки и взрослые с ментальными особенностями и ОВЗ (ПНИ / Социальные дома); Воспитанники ЦССВ, ДДИ и детских домов-интернатов; Широкая аудитория, гости и благотворители (открытые события); Выпускники интернатов и детских домов (молодые взрослые)</t>
        </is>
      </c>
      <c r="G359" s="26" t="inlineStr">
        <is>
          <t>ЦССВ «Юнона«, ПНИ №16</t>
        </is>
      </c>
      <c r="H359" s="26" t="inlineStr">
        <is>
          <t>Художественно-прикладные и ремесленные навыки; Артистические, музыкальные и спортивно-игровые навыки; Организационные, ивент- и ярмарочные навыки</t>
        </is>
      </c>
      <c r="I359" s="27" t="inlineStr">
        <is>
          <t>Да (в тексте)</t>
        </is>
      </c>
      <c r="J359" s="26" t="inlineStr">
        <is>
          <t>Начинаем учебный год с нового расписания занятий! Расписание еще будет дополняться, а пока ждем вас в наших студиях на занятия: ⏰ПОНЕДЕЛЬНИК 11:00 – 15:00 Музыка АНО Дети, школа Св. Георгия, ПНИ 11, ПНИ 16 17:00 – 19:00 Керамика Дети Пресненского района (Младшая группа) Студия на...</t>
        </is>
      </c>
    </row>
    <row r="360" ht="30" customHeight="1">
      <c r="A360" s="28" t="n">
        <v>6405</v>
      </c>
      <c r="B360" s="29" t="inlineStr">
        <is>
          <t>2022-08-29</t>
        </is>
      </c>
      <c r="C360" s="30">
        <f>HYPERLINK("https://vk.com/wall-1825701_6405", "Открыть пост")</f>
        <v/>
      </c>
      <c r="D360" s="31" t="inlineStr">
        <is>
          <t>Ярмарки, фестивали и благотворительные базары</t>
        </is>
      </c>
      <c r="E360" s="31" t="inlineStr">
        <is>
          <t>Ярмарки, фестивали и благотворительные базары</t>
        </is>
      </c>
      <c r="F360" s="31" t="inlineStr">
        <is>
          <t>Подростки и взрослые с ментальными особенностями и ОВЗ (ПНИ / Социальные дома)</t>
        </is>
      </c>
      <c r="G360" s="31" t="inlineStr">
        <is>
          <t>ПНИ №16</t>
        </is>
      </c>
      <c r="H360" s="31" t="inlineStr">
        <is>
          <t>Коммуникативные навыки, эмпатия и тьюторское сопровождение; Организационные, ивент- и ярмарочные навыки; Мобильность, выездное сопровождение и автоволонтёрство</t>
        </is>
      </c>
      <c r="I360" s="32" t="inlineStr">
        <is>
          <t>Да (в тексте)</t>
        </is>
      </c>
      <c r="J360" s="31" t="inlineStr">
        <is>
          <t>В прошлую среду наши подопечные из ПНИ №16 отправились гулять по центру Москвы, в парк "Зарядье". Эта прогулка превратилась в целое путешествие! Сам по себе очень интересный и красивый, парк дает возможность побывать в разных уголках страны. Огромное впечатление на ребят произвел...</t>
        </is>
      </c>
    </row>
    <row r="361" ht="30" customHeight="1">
      <c r="A361" s="23" t="n">
        <v>6401</v>
      </c>
      <c r="B361" s="24" t="inlineStr">
        <is>
          <t>2022-08-17</t>
        </is>
      </c>
      <c r="C361" s="25">
        <f>HYPERLINK("https://vk.com/wall-1825701_6401", "Открыть пост")</f>
        <v/>
      </c>
      <c r="D361" s="26" t="inlineStr">
        <is>
          <t>Творческие мастер-классы и художественные студии</t>
        </is>
      </c>
      <c r="E361" s="26" t="inlineStr">
        <is>
          <t>Творческие мастер-классы и художественные студии; Выставки, экскурсии и культурные выходы</t>
        </is>
      </c>
      <c r="F361" s="26" t="inlineStr">
        <is>
          <t>Подопечные фонда «Дети Марии» (общая группа детей и подростков)</t>
        </is>
      </c>
      <c r="G361" s="26" t="inlineStr">
        <is>
          <t>Студия фонда / выездная площадка</t>
        </is>
      </c>
      <c r="H361" s="26" t="inlineStr">
        <is>
          <t>Художественно-прикладные и ремесленные навыки; Педагогические и наставнические навыки (кулинария, быт, учёба)</t>
        </is>
      </c>
      <c r="I361" s="27" t="inlineStr">
        <is>
          <t>По формату занятия</t>
        </is>
      </c>
      <c r="J361" s="26" t="inlineStr">
        <is>
          <t>О чем говорить в августе, как не о море? Самый известный художник-маринист, конечно, Иван Константинович Айвазовский. Прожив всю свою жизнь в Крыму, он посвятил морю более половины всех работ. Кстати, свой самый первый рисунок - угольком на стене дома - 8-летний будущий мастер то...</t>
        </is>
      </c>
    </row>
    <row r="362" ht="30" customHeight="1">
      <c r="A362" s="28" t="n">
        <v>6383</v>
      </c>
      <c r="B362" s="29" t="inlineStr">
        <is>
          <t>2022-07-25</t>
        </is>
      </c>
      <c r="C362" s="30">
        <f>HYPERLINK("https://vk.com/wall-1825701_6383", "Открыть пост")</f>
        <v/>
      </c>
      <c r="D362" s="31" t="inlineStr">
        <is>
          <t>Ярмарки, фестивали и благотворительные базары</t>
        </is>
      </c>
      <c r="E362" s="31" t="inlineStr">
        <is>
          <t>Ярмарки, фестивали и благотворительные базары; Творческие мастер-классы и художественные студии</t>
        </is>
      </c>
      <c r="F362" s="31" t="inlineStr">
        <is>
          <t>Широкая аудитория, гости и благотворители (открытые события); Выпускники интернатов и детских домов (молодые взрослые)</t>
        </is>
      </c>
      <c r="G362" s="31" t="inlineStr">
        <is>
          <t>Студия фонда / выездная площадка</t>
        </is>
      </c>
      <c r="H362" s="31"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 Организационные, ивент- и ярмарочные навыки</t>
        </is>
      </c>
      <c r="I362" s="32" t="inlineStr">
        <is>
          <t>По формату занятия</t>
        </is>
      </c>
      <c r="J362" s="31" t="inlineStr">
        <is>
          <t>Мы готовимся к каждой ярмарке, в которой участвуем, загодя. Придумываем, чем порадовать посетителей. Собираем лучшие предметы и делаем что-нибудь новое, потому что когда знаешь, что твое творчество радует других, хочется делать больше и лучше. А потом радуемся вместе с новыми обл...</t>
        </is>
      </c>
    </row>
    <row r="363" ht="30" customHeight="1">
      <c r="A363" s="23" t="n">
        <v>6377</v>
      </c>
      <c r="B363" s="24" t="inlineStr">
        <is>
          <t>2022-07-08</t>
        </is>
      </c>
      <c r="C363" s="25">
        <f>HYPERLINK("https://vk.com/wall-1825701_6377", "Открыть пост")</f>
        <v/>
      </c>
      <c r="D363" s="26" t="inlineStr">
        <is>
          <t>Творческие мастер-классы и художественные студии</t>
        </is>
      </c>
      <c r="E363" s="26" t="inlineStr">
        <is>
          <t>Творческие мастер-классы и художественные студии</t>
        </is>
      </c>
      <c r="F363" s="26" t="inlineStr">
        <is>
          <t>Подростки и взрослые с ментальными особенностями и ОВЗ (ПНИ / Социальные дома); Воспитанники ЦССВ, ДДИ и детских домов-интернатов; Выпускники интернатов и детских домов (молодые взрослые)</t>
        </is>
      </c>
      <c r="G363" s="26" t="inlineStr">
        <is>
          <t>Студия фонда / выездная площадка</t>
        </is>
      </c>
      <c r="H363" s="26" t="inlineStr">
        <is>
          <t>Коммуникативные навыки, эмпатия и тьюторское сопровождение; Мобильность, выездное сопровождение и автоволонтёрство</t>
        </is>
      </c>
      <c r="I363" s="27" t="inlineStr">
        <is>
          <t>По формату занятия</t>
        </is>
      </c>
      <c r="J363" s="26" t="inlineStr">
        <is>
          <t>В магазине OZON появился наш благотворительный сертификат, а значит, вы можете подарить близким или самому себе возможность изменить чью-то жизнь. Картины для наших сертификатов перед вами — мы отбирали их так, чтобы они подошли для любого повода. Это работы наших подопечных — во...</t>
        </is>
      </c>
    </row>
    <row r="364" ht="30" customHeight="1">
      <c r="A364" s="28" t="n">
        <v>6376</v>
      </c>
      <c r="B364" s="29" t="inlineStr">
        <is>
          <t>2022-07-06</t>
        </is>
      </c>
      <c r="C364" s="30">
        <f>HYPERLINK("https://vk.com/wall-1825701_6376", "Открыть пост")</f>
        <v/>
      </c>
      <c r="D364" s="31" t="inlineStr">
        <is>
          <t>Выставки, экскурсии и культурные выходы</t>
        </is>
      </c>
      <c r="E364" s="31" t="inlineStr">
        <is>
          <t>Выставки, экскурсии и культурные выходы; Творческие мастер-классы и художественные студии; Праздники, дни рождения и клубные встречи</t>
        </is>
      </c>
      <c r="F364" s="31" t="inlineStr">
        <is>
          <t>Подростки и взрослые с ментальными особенностями и ОВЗ (ПНИ / Социальные дома)</t>
        </is>
      </c>
      <c r="G364" s="31" t="inlineStr">
        <is>
          <t>ПНИ №16</t>
        </is>
      </c>
      <c r="H364" s="31" t="inlineStr">
        <is>
          <t>Коммуникативные навыки, эмпатия и тьюторское сопровождение; Организационные, ивент- и ярмарочные навыки; Мобильность, выездное сопровождение и автоволонтёрство; Медиа, фото/видеосъёмка и культурная медиация</t>
        </is>
      </c>
      <c r="I364" s="32" t="inlineStr">
        <is>
          <t>Да (в тексте)</t>
        </is>
      </c>
      <c r="J364" s="31" t="inlineStr">
        <is>
          <t>Расскажем вам о том, как прошел наш июнь. И начнем с прогулок. В июне и погода, и общее настроение позволили нам побывать в Ботаническом саду при МГУ, несколько раз исследовать парк "Коломенское", посетить мастер-класс в пиццерии Домино'с и крытый парк "Остров мечты". Ботанически...</t>
        </is>
      </c>
    </row>
    <row r="365" ht="30" customHeight="1">
      <c r="A365" s="23" t="n">
        <v>6372</v>
      </c>
      <c r="B365" s="24" t="inlineStr">
        <is>
          <t>2022-06-29</t>
        </is>
      </c>
      <c r="C365" s="25">
        <f>HYPERLINK("https://vk.com/wall-1825701_6372", "Открыть пост")</f>
        <v/>
      </c>
      <c r="D365" s="26" t="inlineStr">
        <is>
          <t>Выездные лагеря, дача и сезонные программы</t>
        </is>
      </c>
      <c r="E365" s="26" t="inlineStr">
        <is>
          <t>Выездные лагеря, дача и сезонные программы; Творческие мастер-классы и художественные студии</t>
        </is>
      </c>
      <c r="F365" s="26" t="inlineStr">
        <is>
          <t>Воспитанники ЦССВ, ДДИ и детских домов-интернатов; Дети и семьи (в т.ч. приёмные семьи и программа в Беслане)</t>
        </is>
      </c>
      <c r="G365" s="26" t="inlineStr">
        <is>
          <t>Беслан</t>
        </is>
      </c>
      <c r="H365" s="26" t="inlineStr">
        <is>
          <t>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t>
        </is>
      </c>
      <c r="I365" s="27" t="inlineStr">
        <is>
          <t>По формату занятия</t>
        </is>
      </c>
      <c r="J365" s="26" t="inlineStr">
        <is>
          <t>Новые поступления в нашем магазине для тех, кто знает толк в разговоре без слов. Ведь выразить свою симпатию или любовь можно по-разному. В том числе, подарив необычные игрушки. Как и большинство вещей в нашем магазине все они созданы вручную. От первого наброска до последнего ст...</t>
        </is>
      </c>
    </row>
    <row r="366" ht="30" customHeight="1">
      <c r="A366" s="28" t="n">
        <v>6369</v>
      </c>
      <c r="B366" s="29" t="inlineStr">
        <is>
          <t>2022-06-24</t>
        </is>
      </c>
      <c r="C366" s="30">
        <f>HYPERLINK("https://vk.com/wall-1825701_6369", "Открыть пост")</f>
        <v/>
      </c>
      <c r="D366" s="31" t="inlineStr">
        <is>
          <t>Спортивные и активные мероприятия</t>
        </is>
      </c>
      <c r="E366" s="31" t="inlineStr">
        <is>
          <t>Спортивные и активные мероприятия</t>
        </is>
      </c>
      <c r="F366" s="31" t="inlineStr">
        <is>
          <t>Подростки и взрослые с ментальными особенностями и ОВЗ (ПНИ / Социальные дома); Широкая аудитория, гости и благотворители (открытые события)</t>
        </is>
      </c>
      <c r="G366" s="31" t="inlineStr">
        <is>
          <t>Студия фонда / выездная площадка</t>
        </is>
      </c>
      <c r="H366" s="31" t="inlineStr">
        <is>
          <t>Коммуникативные навыки, эмпатия и тьюторское сопровождение; Организационные, ивент- и ярмарочные навыки</t>
        </is>
      </c>
      <c r="I366" s="32" t="inlineStr">
        <is>
          <t>По формату занятия</t>
        </is>
      </c>
      <c r="J366" s="31" t="inlineStr">
        <is>
          <t>💫 26 июля (вторник), с 11 до 13 часов приглашаем вас на конференцию по вопросам психологической поддержки семей, воспитывающих детей с ОВЗ. Что вас ждет: Обсудим как взаимодействовать с детьми с ограниченными возможностями здоровья, а также с их родителями. Узнаем о непосредствен...</t>
        </is>
      </c>
    </row>
    <row r="367" ht="30" customHeight="1">
      <c r="A367" s="23" t="n">
        <v>6365</v>
      </c>
      <c r="B367" s="24" t="inlineStr">
        <is>
          <t>2022-06-22</t>
        </is>
      </c>
      <c r="C367" s="25">
        <f>HYPERLINK("https://vk.com/wall-1825701_6365", "Открыть пост")</f>
        <v/>
      </c>
      <c r="D367" s="26" t="inlineStr">
        <is>
          <t>Творческие мастер-классы и художественные студии</t>
        </is>
      </c>
      <c r="E367" s="26" t="inlineStr">
        <is>
          <t>Творческие мастер-классы и художественные студии</t>
        </is>
      </c>
      <c r="F367" s="26" t="inlineStr">
        <is>
          <t>Подростки и взрослые с ментальными особенностями и ОВЗ (ПНИ / Социальные дома)</t>
        </is>
      </c>
      <c r="G367" s="26" t="inlineStr">
        <is>
          <t>ПНИ №16</t>
        </is>
      </c>
      <c r="H367" s="26"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 Мобильность, выездное сопровождение и автоволонтёрство</t>
        </is>
      </c>
      <c r="I367" s="27" t="inlineStr">
        <is>
          <t>Да (в тексте)</t>
        </is>
      </c>
      <c r="J367" s="26" t="inlineStr">
        <is>
          <t>Как думаете, какое блюдо любят все на свете? Нам кажется, что это пицца! Ее весело есть вместе с друзьями, а еще веселее вместе готовить. Именно поэтому наши подопечные из ПНИ №16 так обрадовались возможности отправиться на мастер-класс в пиццерию Domino's Pizza. Что нам особенно...</t>
        </is>
      </c>
    </row>
    <row r="368" ht="30" customHeight="1">
      <c r="A368" s="28" t="n">
        <v>6363</v>
      </c>
      <c r="B368" s="29" t="inlineStr">
        <is>
          <t>2022-06-17</t>
        </is>
      </c>
      <c r="C368" s="30">
        <f>HYPERLINK("https://vk.com/wall-1825701_6363", "Открыть пост")</f>
        <v/>
      </c>
      <c r="D368" s="31" t="inlineStr">
        <is>
          <t>Спектакли, концерты и музыкально-театральные занятия</t>
        </is>
      </c>
      <c r="E368" s="31" t="inlineStr">
        <is>
          <t>Спектакли, концерты и музыкально-театральные занятия; Творческие мастер-классы и художественные студии</t>
        </is>
      </c>
      <c r="F368" s="31" t="inlineStr">
        <is>
          <t>Воспитанники ЦССВ, ДДИ и детских домов-интернатов; Выпускники интернатов и детских домов (молодые взрослые)</t>
        </is>
      </c>
      <c r="G368" s="31" t="inlineStr">
        <is>
          <t>Студия фонда / выездная площадка</t>
        </is>
      </c>
      <c r="H368"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 Мобильность, выездное сопровождение и автоволонтёрство</t>
        </is>
      </c>
      <c r="I368" s="32" t="inlineStr">
        <is>
          <t>Да (в тексте)</t>
        </is>
      </c>
      <c r="J368" s="31" t="inlineStr">
        <is>
          <t>💫 Спешим рассказать вам о дне нашего фонда, который прошел в эту среду, 15 июня, в "Лавка радостей". Начнем, если можно, со слов благодарности, которых столько, что не хватит нескольких постов. Мы были счастливы видеть каждого из вас. Радовались, когда вы находили себе что-то кра...</t>
        </is>
      </c>
    </row>
    <row r="369" ht="30" customHeight="1">
      <c r="A369" s="23" t="n">
        <v>6362</v>
      </c>
      <c r="B369" s="24" t="inlineStr">
        <is>
          <t>2022-06-14</t>
        </is>
      </c>
      <c r="C369" s="25">
        <f>HYPERLINK("https://vk.com/wall-1825701_6362", "Открыть пост")</f>
        <v/>
      </c>
      <c r="D369" s="26" t="inlineStr">
        <is>
          <t>Творческие мастер-классы и художественные студии</t>
        </is>
      </c>
      <c r="E369" s="26" t="inlineStr">
        <is>
          <t>Творческие мастер-классы и художественные студии</t>
        </is>
      </c>
      <c r="F369" s="26" t="inlineStr">
        <is>
          <t>Воспитанники ЦССВ, ДДИ и детских домов-интернатов</t>
        </is>
      </c>
      <c r="G369" s="26" t="inlineStr">
        <is>
          <t>ЦССВ «арт-деревня Учма«</t>
        </is>
      </c>
      <c r="H369" s="26" t="inlineStr">
        <is>
          <t>Художественно-прикладные и ремесленные навыки; Коммуникативные навыки, эмпатия и тьюторское сопровождение; Организационные, ивент- и ярмарочные навыки</t>
        </is>
      </c>
      <c r="I369" s="27" t="inlineStr">
        <is>
          <t>По формату занятия</t>
        </is>
      </c>
      <c r="J369" s="26" t="inlineStr">
        <is>
          <t>Уже завтра, 15 июня в "Лавка радостей" состоится день нашего фонда! Приходите с 11 утра до 9 часов вечера. Покупайте подарки, приятные мелочи, красивую одежду... все, что угодно! Этим вы очень поможете нашему фонду! Ведь вся выручка, которую Лавка получит в этот день, будет перев...</t>
        </is>
      </c>
    </row>
    <row r="370" ht="30" customHeight="1">
      <c r="A370" s="28" t="n">
        <v>6360</v>
      </c>
      <c r="B370" s="29" t="inlineStr">
        <is>
          <t>2022-06-10</t>
        </is>
      </c>
      <c r="C370" s="30">
        <f>HYPERLINK("https://vk.com/wall-1825701_6360", "Открыть пост")</f>
        <v/>
      </c>
      <c r="D370" s="31" t="inlineStr">
        <is>
          <t>Творческие мастер-классы и художественные студии</t>
        </is>
      </c>
      <c r="E370" s="31" t="inlineStr">
        <is>
          <t>Творческие мастер-классы и художественные студии</t>
        </is>
      </c>
      <c r="F370" s="31" t="inlineStr">
        <is>
          <t>Воспитанники ЦССВ, ДДИ и детских домов-интернатов; Широкая аудитория, гости и благотворители (открытые события)</t>
        </is>
      </c>
      <c r="G370" s="31" t="inlineStr">
        <is>
          <t>ЦССВ «арт-деревня Учма«</t>
        </is>
      </c>
      <c r="H370"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t>
        </is>
      </c>
      <c r="I370" s="32" t="inlineStr">
        <is>
          <t>По формату занятия</t>
        </is>
      </c>
      <c r="J370" s="31" t="inlineStr">
        <is>
          <t>Мы обещали интересные анонсы и спешим порадовать вас! 15 июня в "Лавка радостей" состоится день нашего фонда! Это означает, что вся выручка, которую Лавка получит в этот день, будет переведена в пользу фонда "Дети Марии" и направлена на организацию программы летнего отдыха для де...</t>
        </is>
      </c>
    </row>
    <row r="371" ht="30" customHeight="1">
      <c r="A371" s="23" t="n">
        <v>6358</v>
      </c>
      <c r="B371" s="24" t="inlineStr">
        <is>
          <t>2022-06-07</t>
        </is>
      </c>
      <c r="C371" s="25">
        <f>HYPERLINK("https://vk.com/wall-1825701_6358", "Открыть пост")</f>
        <v/>
      </c>
      <c r="D371" s="26" t="inlineStr">
        <is>
          <t>Выставки, экскурсии и культурные выходы</t>
        </is>
      </c>
      <c r="E371" s="26" t="inlineStr">
        <is>
          <t>Выставки, экскурсии и культурные выходы; Творческие мастер-классы и художественные студии; Кулинарные, образовательные и социально-бытовые занятия; Праздники, дни рождения и клубные встречи</t>
        </is>
      </c>
      <c r="F371" s="26" t="inlineStr">
        <is>
          <t>Подростки и взрослые с ментальными особенностями и ОВЗ (ПНИ / Социальные дома)</t>
        </is>
      </c>
      <c r="G371" s="26" t="inlineStr">
        <is>
          <t>ПНИ №16</t>
        </is>
      </c>
      <c r="H371" s="26"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 Организационные, ивент- и ярмарочные навыки; Мобильность, выездное сопровождение и автоволонтёрство; Медиа, фото/видеосъёмка и культурная медиация</t>
        </is>
      </c>
      <c r="I371" s="27" t="inlineStr">
        <is>
          <t>Да (в тексте)</t>
        </is>
      </c>
      <c r="J371" s="26" t="inlineStr">
        <is>
          <t>Мы так часто говорим о важности творчества в жизни наших подопечных ... и забываем рассказать, что важно уметь не только трудиться, но и отдыхать! Ведь как мы все знаем, очень вредно не ходить на бал, если ты этого заслуживаешь. И особенно - если у тебя день рождения. На прошлую ...</t>
        </is>
      </c>
    </row>
    <row r="372" ht="30" customHeight="1">
      <c r="A372" s="28" t="n">
        <v>6357</v>
      </c>
      <c r="B372" s="29" t="inlineStr">
        <is>
          <t>2022-06-06</t>
        </is>
      </c>
      <c r="C372" s="30">
        <f>HYPERLINK("https://vk.com/wall-1825701_6357", "Открыть пост")</f>
        <v/>
      </c>
      <c r="D372" s="31" t="inlineStr">
        <is>
          <t>Ярмарки, фестивали и благотворительные базары</t>
        </is>
      </c>
      <c r="E372" s="31" t="inlineStr">
        <is>
          <t>Ярмарки, фестивали и благотворительные базары; Спортивные и активные мероприятия</t>
        </is>
      </c>
      <c r="F372" s="31" t="inlineStr">
        <is>
          <t>Подопечные фонда «Дети Марии» (общая группа детей и подростков)</t>
        </is>
      </c>
      <c r="G372" s="31" t="inlineStr">
        <is>
          <t>Студия фонда / выездная площадка</t>
        </is>
      </c>
      <c r="H372" s="31" t="inlineStr">
        <is>
          <t>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t>
        </is>
      </c>
      <c r="I372" s="32" t="inlineStr">
        <is>
          <t>Да (в тексте)</t>
        </is>
      </c>
      <c r="J372" s="31" t="inlineStr">
        <is>
          <t>Как рассказать вам о нашем первом благотворительном маркете, целиком организованном руками волонтеров? Наверное, их устами! Но сначала, конечно, итог. Собрать удалось ровно 33 000 рублей. И мы считаем, что для первого опыта (для дебюта!) это прекрасно! А теперь слово организатору...</t>
        </is>
      </c>
    </row>
    <row r="373" ht="30" customHeight="1">
      <c r="A373" s="23" t="n">
        <v>6355</v>
      </c>
      <c r="B373" s="24" t="inlineStr">
        <is>
          <t>2022-06-03</t>
        </is>
      </c>
      <c r="C373" s="25">
        <f>HYPERLINK("https://vk.com/wall-1825701_6355", "Открыть пост")</f>
        <v/>
      </c>
      <c r="D373" s="26" t="inlineStr">
        <is>
          <t>Ярмарки, фестивали и благотворительные базары</t>
        </is>
      </c>
      <c r="E373" s="26" t="inlineStr">
        <is>
          <t>Ярмарки, фестивали и благотворительные базары</t>
        </is>
      </c>
      <c r="F373" s="26" t="inlineStr">
        <is>
          <t>Широкая аудитория, гости и благотворители (открытые события)</t>
        </is>
      </c>
      <c r="G373" s="26" t="inlineStr">
        <is>
          <t>Студия фонда / выездная площадка</t>
        </is>
      </c>
      <c r="H373" s="26" t="inlineStr">
        <is>
          <t>Коммуникативные навыки, эмпатия и тьюторское сопровождение; Организационные, ивент- и ярмарочные навыки</t>
        </is>
      </c>
      <c r="I373" s="27" t="inlineStr">
        <is>
          <t>По формату занятия</t>
        </is>
      </c>
      <c r="J373" s="26" t="inlineStr">
        <is>
          <t>5 июня (в это воскресенье) ждем всех на нашем маркете. Это наш первый маркет, так что ваша поддержка понадобится! 📍Где встречаемся: Новинский бульвар 25 к.10, 3 подъезд, домофон 1, этаж -1 (метро Баррикадная). Во сколько: с 12:00 до 18:00 Что вас ждет на маркете: красивые вещи, т...</t>
        </is>
      </c>
    </row>
    <row r="374" ht="30" customHeight="1">
      <c r="A374" s="28" t="n">
        <v>6352</v>
      </c>
      <c r="B374" s="29" t="inlineStr">
        <is>
          <t>2022-06-01</t>
        </is>
      </c>
      <c r="C374" s="30">
        <f>HYPERLINK("https://vk.com/wall-1825701_6352", "Открыть пост")</f>
        <v/>
      </c>
      <c r="D374" s="31" t="inlineStr">
        <is>
          <t>Творческие мастер-классы и художественные студии</t>
        </is>
      </c>
      <c r="E374" s="31" t="inlineStr">
        <is>
          <t>Творческие мастер-классы и художественные студии</t>
        </is>
      </c>
      <c r="F374" s="31" t="inlineStr">
        <is>
          <t>Воспитанники ЦССВ, ДДИ и детских домов-интернатов; Выпускники интернатов и детских домов (молодые взрослые)</t>
        </is>
      </c>
      <c r="G374" s="31" t="inlineStr">
        <is>
          <t>Студия фонда / выездная площадка</t>
        </is>
      </c>
      <c r="H374" s="31" t="inlineStr">
        <is>
          <t>Коммуникативные навыки, эмпатия и тьюторское сопровождение; Педагогические и наставнические навыки (кулинария, быт, учёба)</t>
        </is>
      </c>
      <c r="I374" s="32" t="inlineStr">
        <is>
          <t>По формату занятия</t>
        </is>
      </c>
      <c r="J374" s="31" t="inlineStr">
        <is>
          <t>В День защиты детей - особенный день для всех нас и, мы уверены, для вас тоже - мы хотели бы напомнить вам, какие чудеса творятся в наших студиях и в фонде с вашей помощью. Ведь именно благодаря вам и вашей поддержке мы продолжаем работу - развиваем программы социальной адаптации...</t>
        </is>
      </c>
    </row>
    <row r="375" ht="30" customHeight="1">
      <c r="A375" s="23" t="n">
        <v>6351</v>
      </c>
      <c r="B375" s="24" t="inlineStr">
        <is>
          <t>2022-05-31</t>
        </is>
      </c>
      <c r="C375" s="25">
        <f>HYPERLINK("https://vk.com/wall-1825701_6351", "Открыть пост")</f>
        <v/>
      </c>
      <c r="D375" s="26" t="inlineStr">
        <is>
          <t>Спортивные и активные мероприятия</t>
        </is>
      </c>
      <c r="E375" s="26" t="inlineStr">
        <is>
          <t>Спортивные и активные мероприятия</t>
        </is>
      </c>
      <c r="F375" s="26" t="inlineStr">
        <is>
          <t>Подопечные фонда «Дети Марии» (общая группа детей и подростков)</t>
        </is>
      </c>
      <c r="G375" s="26" t="inlineStr">
        <is>
          <t>Студия фонда / выездная площадка</t>
        </is>
      </c>
      <c r="H375" s="26" t="inlineStr">
        <is>
          <t>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Мобильность, выездное сопровождение и автоволонтёрство</t>
        </is>
      </c>
      <c r="I375" s="27" t="inlineStr">
        <is>
          <t>По формату занятия</t>
        </is>
      </c>
      <c r="J375" s="26" t="inlineStr">
        <is>
          <t>Знаете ли вы, как полезна верховая езда, какое воздействие - терапевтическое и психологическое - она оказывает на детей и взрослых? Мы теперь знаем, потому что все испытали на себе! В прошлые выходные наши подопечные побывали в Конный двор Узкое на занятии по адаптивной верховой ...</t>
        </is>
      </c>
    </row>
    <row r="376" ht="30" customHeight="1">
      <c r="A376" s="28" t="n">
        <v>6349</v>
      </c>
      <c r="B376" s="29" t="inlineStr">
        <is>
          <t>2022-05-25</t>
        </is>
      </c>
      <c r="C376" s="30">
        <f>HYPERLINK("https://vk.com/wall-1825701_6349", "Открыть пост")</f>
        <v/>
      </c>
      <c r="D376" s="31" t="inlineStr">
        <is>
          <t>Ярмарки, фестивали и благотворительные базары</t>
        </is>
      </c>
      <c r="E376" s="31" t="inlineStr">
        <is>
          <t>Ярмарки, фестивали и благотворительные базары; Творческие мастер-классы и художественные студии</t>
        </is>
      </c>
      <c r="F376" s="31" t="inlineStr">
        <is>
          <t>Подопечные фонда «Дети Марии» (общая группа детей и подростков)</t>
        </is>
      </c>
      <c r="G376" s="31" t="inlineStr">
        <is>
          <t>ТВЕРСКАЯ 15</t>
        </is>
      </c>
      <c r="H376" s="31"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 Организационные, ивент- и ярмарочные навыки; Мобильность, выездное сопровождение и автоволонтёрство</t>
        </is>
      </c>
      <c r="I376" s="32" t="inlineStr">
        <is>
          <t>По формату занятия</t>
        </is>
      </c>
      <c r="J376" s="31" t="inlineStr">
        <is>
          <t>Помните, мы звали вас на Инклюзивную Пасхальную ярмарку в «ТВЕРСКАЯ 15» ? Если у вас тогда не получилось прийти, не беда, наши коллеги из Благотворительный фонд «Абсолют-Помощь» подготовили сюжет о мероприятии, и вы можете пройтись по рядам виртуально. Посмотреть на керамику, укр...</t>
        </is>
      </c>
    </row>
    <row r="377" ht="30" customHeight="1">
      <c r="A377" s="23" t="n">
        <v>6348</v>
      </c>
      <c r="B377" s="24" t="inlineStr">
        <is>
          <t>2022-05-20</t>
        </is>
      </c>
      <c r="C377" s="25">
        <f>HYPERLINK("https://vk.com/wall-1825701_6348", "Открыть пост")</f>
        <v/>
      </c>
      <c r="D377" s="26" t="inlineStr">
        <is>
          <t>Творческие мастер-классы и художественные студии</t>
        </is>
      </c>
      <c r="E377" s="26" t="inlineStr">
        <is>
          <t>Творческие мастер-классы и художественные студии</t>
        </is>
      </c>
      <c r="F377" s="26" t="inlineStr">
        <is>
          <t>Воспитанники ЦССВ, ДДИ и детских домов-интернатов; Широкая аудитория, гости и благотворители (открытые события)</t>
        </is>
      </c>
      <c r="G377" s="26" t="inlineStr">
        <is>
          <t>Студия фонда / выездная площадка</t>
        </is>
      </c>
      <c r="H377" s="26" t="inlineStr">
        <is>
          <t>Художественно-прикладные и ремесленные навыки; Организационные, ивент- и ярмарочные навыки</t>
        </is>
      </c>
      <c r="I377" s="27" t="inlineStr">
        <is>
          <t>Да (в тексте)</t>
        </is>
      </c>
      <c r="J377" s="26" t="inlineStr">
        <is>
          <t>Нам приятно, когда вы приходите в Студию, как в свой дом или в гости к давним друзьям, и не покидаете ее. Нам радостно видеть, как меняются лица наших подопечных ребят из интернатов и ЦССВ, как все чаще на них появляются улыбки. ⠀ Мы можем вместе не только рисовать, лепить, ткать...</t>
        </is>
      </c>
    </row>
    <row r="378" ht="30" customHeight="1">
      <c r="A378" s="28" t="n">
        <v>6345</v>
      </c>
      <c r="B378" s="29" t="inlineStr">
        <is>
          <t>2022-05-13</t>
        </is>
      </c>
      <c r="C378" s="30">
        <f>HYPERLINK("https://vk.com/wall-1825701_6345", "Открыть пост")</f>
        <v/>
      </c>
      <c r="D378" s="31" t="inlineStr">
        <is>
          <t>Ярмарки, фестивали и благотворительные базары</t>
        </is>
      </c>
      <c r="E378" s="31" t="inlineStr">
        <is>
          <t>Ярмарки, фестивали и благотворительные базары; Кулинарные, образовательные и социально-бытовые занятия</t>
        </is>
      </c>
      <c r="F378" s="31" t="inlineStr">
        <is>
          <t>Подопечные фонда «Дети Марии» (общая группа детей и подростков)</t>
        </is>
      </c>
      <c r="G378" s="31" t="inlineStr">
        <is>
          <t>Студия фонда / выездная площадка</t>
        </is>
      </c>
      <c r="H378" s="31" t="inlineStr">
        <is>
          <t>Педагогические и наставнические навыки (кулинария, быт, учёба); Организационные, ивент- и ярмарочные навыки</t>
        </is>
      </c>
      <c r="I378" s="32" t="inlineStr">
        <is>
          <t>По формату занятия</t>
        </is>
      </c>
      <c r="J378" s="31" t="inlineStr">
        <is>
          <t>У нас отличные новости, планы для вас на начало июня и одно важное задание! ⠀ Итак, 5 июня (воскресенье) состоится благотворительный маркет в пользу подопечных нашего фонда. Дада, все будет именно так, как мы всегда мечтали - много красивых вещей, много друзей, (надеемся) много н...</t>
        </is>
      </c>
    </row>
    <row r="379" ht="30" customHeight="1">
      <c r="A379" s="23" t="n">
        <v>6343</v>
      </c>
      <c r="B379" s="24" t="inlineStr">
        <is>
          <t>2022-05-11</t>
        </is>
      </c>
      <c r="C379" s="25">
        <f>HYPERLINK("https://vk.com/wall-1825701_6343", "Открыть пост")</f>
        <v/>
      </c>
      <c r="D379" s="26" t="inlineStr">
        <is>
          <t>Выставки, экскурсии и культурные выходы</t>
        </is>
      </c>
      <c r="E379" s="26" t="inlineStr">
        <is>
          <t>Выставки, экскурсии и культурные выходы</t>
        </is>
      </c>
      <c r="F379" s="26" t="inlineStr">
        <is>
          <t>Подопечные фонда «Дети Марии» (общая группа детей и подростков)</t>
        </is>
      </c>
      <c r="G379" s="26" t="inlineStr">
        <is>
          <t>Студия фонда / выездная площадка</t>
        </is>
      </c>
      <c r="H379" s="26" t="inlineStr">
        <is>
          <t>Педагогические и наставнические навыки (кулинария, быт, учёба)</t>
        </is>
      </c>
      <c r="I379" s="27" t="inlineStr">
        <is>
          <t>Да (в тексте)</t>
        </is>
      </c>
      <c r="J379" s="26" t="inlineStr">
        <is>
          <t>Расскажем вам немного о том, какие чудеса происходят в наших студиях по вечерам. Бывает приходит человек совершенно без настроения. И весна никак не начнется, и дел много, и кажется для творчества места в душе совсем не осталось... Но душа на самом деле вся состоит из творчества....</t>
        </is>
      </c>
    </row>
    <row r="380" ht="30" customHeight="1">
      <c r="A380" s="28" t="n">
        <v>6339</v>
      </c>
      <c r="B380" s="29" t="inlineStr">
        <is>
          <t>2022-04-26</t>
        </is>
      </c>
      <c r="C380" s="30">
        <f>HYPERLINK("https://vk.com/wall-1825701_6339", "Открыть пост")</f>
        <v/>
      </c>
      <c r="D380" s="31" t="inlineStr">
        <is>
          <t>Спектакли, концерты и музыкально-театральные занятия</t>
        </is>
      </c>
      <c r="E380" s="31" t="inlineStr">
        <is>
          <t>Спектакли, концерты и музыкально-театральные занятия</t>
        </is>
      </c>
      <c r="F380" s="31" t="inlineStr">
        <is>
          <t>Подопечные фонда «Дети Марии» (общая группа детей и подростков)</t>
        </is>
      </c>
      <c r="G380" s="31" t="inlineStr">
        <is>
          <t>Студия фонда / выездная площадка</t>
        </is>
      </c>
      <c r="H380" s="31" t="inlineStr">
        <is>
          <t>Коммуникативные навыки, эмпатия и тьюторское сопровождение; Артистические, музыкальные и спортивно-игровые навыки; Мобильность, выездное сопровождение и автоволонтёрство</t>
        </is>
      </c>
      <c r="I380" s="32" t="inlineStr">
        <is>
          <t>Да (в тексте)</t>
        </is>
      </c>
      <c r="J380" s="31" t="inlineStr">
        <is>
          <t>Новый проект в "Детях Марии"! Из чего сделаны театралы? Из афиш и билетов. Из программок и биноклей. Из пирожных в буфете. Из нарядных платьев и обсуждений спектаклей. Вот из чего и мы постарались сделать наших юных театралов. Вы уже догадались, что мы хотим поделиться с вами рад...</t>
        </is>
      </c>
    </row>
    <row r="381" ht="30" customHeight="1">
      <c r="A381" s="23" t="n">
        <v>6338</v>
      </c>
      <c r="B381" s="24" t="inlineStr">
        <is>
          <t>2022-04-23</t>
        </is>
      </c>
      <c r="C381" s="25">
        <f>HYPERLINK("https://vk.com/wall-1825701_6338", "Открыть пост")</f>
        <v/>
      </c>
      <c r="D381" s="26" t="inlineStr">
        <is>
          <t>Ярмарки, фестивали и благотворительные базары</t>
        </is>
      </c>
      <c r="E381" s="26" t="inlineStr">
        <is>
          <t>Ярмарки, фестивали и благотворительные базары; Кулинарные, образовательные и социально-бытовые занятия</t>
        </is>
      </c>
      <c r="F381" s="26" t="inlineStr">
        <is>
          <t>Подопечные фонда «Дети Марии» (общая группа детей и подростков)</t>
        </is>
      </c>
      <c r="G381" s="26" t="inlineStr">
        <is>
          <t>Студия фонда / выездная площадка</t>
        </is>
      </c>
      <c r="H381" s="26" t="inlineStr">
        <is>
          <t>Коммуникативные навыки, эмпатия и тьюторское сопровождение; Педагогические и наставнические навыки (кулинария, быт, учёба); Организационные, ивент- и ярмарочные навыки</t>
        </is>
      </c>
      <c r="I381" s="27" t="inlineStr">
        <is>
          <t>По формату занятия</t>
        </is>
      </c>
      <c r="J381" s="26" t="inlineStr">
        <is>
          <t>Мы стараемся для любого праздника выбирать близким приятные подарки. Не обязательно что-то большое, но непременно - значимое. Например, недавно мы рассказывали о сумке Цветы, и об одеялах со сказочными рисунками. Но у нас есть еще много очень важных картин. ⠀ Важных, потому что з...</t>
        </is>
      </c>
    </row>
    <row r="382" ht="30" customHeight="1">
      <c r="A382" s="28" t="n">
        <v>6334</v>
      </c>
      <c r="B382" s="29" t="inlineStr">
        <is>
          <t>2022-04-20</t>
        </is>
      </c>
      <c r="C382" s="30">
        <f>HYPERLINK("https://vk.com/wall-1825701_6334", "Открыть пост")</f>
        <v/>
      </c>
      <c r="D382" s="31" t="inlineStr">
        <is>
          <t>Ярмарки, фестивали и благотворительные базары</t>
        </is>
      </c>
      <c r="E382" s="31" t="inlineStr">
        <is>
          <t>Ярмарки, фестивали и благотворительные базары; Творческие мастер-классы и художественные студии</t>
        </is>
      </c>
      <c r="F382" s="31" t="inlineStr">
        <is>
          <t>Подопечные фонда «Дети Марии» (общая группа детей и подростков)</t>
        </is>
      </c>
      <c r="G382" s="31" t="inlineStr">
        <is>
          <t>Студия фонда / выездная площадка</t>
        </is>
      </c>
      <c r="H382" s="31" t="inlineStr">
        <is>
          <t>Художественно-прикладные и ремесленные навыки; Коммуникативные навыки, эмпатия и тьюторское сопровождение; Организационные, ивент- и ярмарочные навыки</t>
        </is>
      </c>
      <c r="I382" s="32" t="inlineStr">
        <is>
          <t>По формату занятия</t>
        </is>
      </c>
      <c r="J382" s="31" t="inlineStr">
        <is>
          <t>Давайте в ближайшие выходные увидимся? Вместе выберем самые красивые мелочи (или не мелочи) на Пасхальной ярмарке. Рассмотрим все картины, потрогаем всю керамику и примерим украшения. Найдем подарки для самых дорогих людей и самых теплых поводов. ⠀ Приходите! ⠀ Встречаемся по адр...</t>
        </is>
      </c>
    </row>
    <row r="383" ht="30" customHeight="1">
      <c r="A383" s="23" t="n">
        <v>6323</v>
      </c>
      <c r="B383" s="24" t="inlineStr">
        <is>
          <t>2022-04-17</t>
        </is>
      </c>
      <c r="C383" s="25">
        <f>HYPERLINK("https://vk.com/wall-1825701_6323", "Открыть пост")</f>
        <v/>
      </c>
      <c r="D383" s="26" t="inlineStr">
        <is>
          <t>Спектакли, концерты и музыкально-театральные занятия</t>
        </is>
      </c>
      <c r="E383" s="26" t="inlineStr">
        <is>
          <t>Спектакли, концерты и музыкально-театральные занятия; Творческие мастер-классы и художественные студии</t>
        </is>
      </c>
      <c r="F383" s="26" t="inlineStr">
        <is>
          <t>Воспитанники ЦССВ, ДДИ и детских домов-интернатов</t>
        </is>
      </c>
      <c r="G383" s="26" t="inlineStr">
        <is>
          <t>Студия фонда / выездная площадка</t>
        </is>
      </c>
      <c r="H383" s="26" t="inlineStr">
        <is>
          <t>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 Мобильность, выездное сопровождение и автоволонтёрство</t>
        </is>
      </c>
      <c r="I383" s="27" t="inlineStr">
        <is>
          <t>По формату занятия</t>
        </is>
      </c>
      <c r="J383" s="26" t="inlineStr">
        <is>
          <t>Сегодня мы отмечаем юбилей Благотворительного фонда «Дети Марии», нам 25! 25 лет подряд каждый день в наших студиях проходят творческие занятия для ребят из детских домов. Много лет подряд мы организуем для ребят из детских домов выезды на природу, где вместе рисуем, ставим спект...</t>
        </is>
      </c>
    </row>
    <row r="384" ht="30" customHeight="1">
      <c r="A384" s="28" t="n">
        <v>6317</v>
      </c>
      <c r="B384" s="29" t="inlineStr">
        <is>
          <t>2022-04-09</t>
        </is>
      </c>
      <c r="C384" s="30">
        <f>HYPERLINK("https://vk.com/wall-1825701_6317", "Открыть пост")</f>
        <v/>
      </c>
      <c r="D384" s="31" t="inlineStr">
        <is>
          <t>Творческие мастер-классы и художественные студии</t>
        </is>
      </c>
      <c r="E384" s="31" t="inlineStr">
        <is>
          <t>Творческие мастер-классы и художественные студии; Выездные лагеря, дача и сезонные программы; Кулинарные, образовательные и социально-бытовые занятия; Праздники, дни рождения и клубные встречи</t>
        </is>
      </c>
      <c r="F384" s="31" t="inlineStr">
        <is>
          <t>Подростки и взрослые с ментальными особенностями и ОВЗ (ПНИ / Социальные дома); Воспитанники ЦССВ, ДДИ и детских домов-интернатов; Широкая аудитория, гости и благотворители (открытые события); Выпускники интернатов и детских домов (молодые взрослые)</t>
        </is>
      </c>
      <c r="G384" s="31" t="inlineStr">
        <is>
          <t>Тверская 15, ПНИ №16, ЦССВ «Юнона«, ЦССВ №1</t>
        </is>
      </c>
      <c r="H384"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t>
        </is>
      </c>
      <c r="I384" s="32" t="inlineStr">
        <is>
          <t>Да (в тексте)</t>
        </is>
      </c>
      <c r="J384" s="31" t="inlineStr">
        <is>
          <t>Друзья, новое весеннее расписание занятий перед вами. Ждем вас! ⏰Понедельник 11.00-13.00 Рисование ПНИ 16 ⠀ 17.00–19.00 Керамика Дети Пресненского района (младшая группа) Студия на Новинском ⠀ 18.30–21.00 Пинг-понг, настольные игры Подростки, выпускники интернатов, волонтёры Инкл...</t>
        </is>
      </c>
    </row>
    <row r="385" ht="30" customHeight="1">
      <c r="A385" s="23" t="n">
        <v>6291</v>
      </c>
      <c r="B385" s="24" t="inlineStr">
        <is>
          <t>2022-03-09</t>
        </is>
      </c>
      <c r="C385" s="25">
        <f>HYPERLINK("https://vk.com/wall-1825701_6291", "Открыть пост")</f>
        <v/>
      </c>
      <c r="D385" s="26" t="inlineStr">
        <is>
          <t>Кулинарные, образовательные и социально-бытовые занятия</t>
        </is>
      </c>
      <c r="E385" s="26" t="inlineStr">
        <is>
          <t>Кулинарные, образовательные и социально-бытовые занятия</t>
        </is>
      </c>
      <c r="F385" s="26" t="inlineStr">
        <is>
          <t>Выпускники интернатов и детских домов (молодые взрослые)</t>
        </is>
      </c>
      <c r="G385" s="26" t="inlineStr">
        <is>
          <t>Студия фонда / выездная площадка</t>
        </is>
      </c>
      <c r="H385" s="26" t="inlineStr">
        <is>
          <t>Коммуникативные навыки, эмпатия и тьюторское сопровождение; Педагогические и наставнические навыки (кулинария, быт, учёба); Мобильность, выездное сопровождение и автоволонтёрство</t>
        </is>
      </c>
      <c r="I385" s="27" t="inlineStr">
        <is>
          <t>По формату занятия</t>
        </is>
      </c>
      <c r="J385" s="26" t="inlineStr">
        <is>
          <t>Буквально на днях мы рассказывали вам о нашей подопечной, которая зимой, в холодную погоду, ходит по улице в легких платьях. Многих из вас это удивило и нам показалось, что очень важно об этом рассказать. ⠀ Мы уже говорили, что у нашего фонда есть программы индивидуального сопров...</t>
        </is>
      </c>
    </row>
    <row r="386" ht="30" customHeight="1">
      <c r="A386" s="28" t="n">
        <v>6290</v>
      </c>
      <c r="B386" s="29" t="inlineStr">
        <is>
          <t>2022-03-05</t>
        </is>
      </c>
      <c r="C386" s="30">
        <f>HYPERLINK("https://vk.com/wall-1825701_6290", "Открыть пост")</f>
        <v/>
      </c>
      <c r="D386" s="31" t="inlineStr">
        <is>
          <t>Творческие мастер-классы и художественные студии</t>
        </is>
      </c>
      <c r="E386" s="31" t="inlineStr">
        <is>
          <t>Творческие мастер-классы и художественные студии; Выездные лагеря, дача и сезонные программы; Кулинарные, образовательные и социально-бытовые занятия; Праздники, дни рождения и клубные встречи</t>
        </is>
      </c>
      <c r="F386" s="31" t="inlineStr">
        <is>
          <t>Подростки и взрослые с ментальными особенностями и ОВЗ (ПНИ / Социальные дома); Воспитанники ЦССВ, ДДИ и детских домов-интернатов; Выпускники интернатов и детских домов (молодые взрослые)</t>
        </is>
      </c>
      <c r="G386" s="31" t="inlineStr">
        <is>
          <t>Тверская 15, ПНИ №16, ЦССВ «Юнона«, ЦССВ №1</t>
        </is>
      </c>
      <c r="H386"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t>
        </is>
      </c>
      <c r="I386" s="32" t="inlineStr">
        <is>
          <t>Да (в тексте)</t>
        </is>
      </c>
      <c r="J386" s="31" t="inlineStr">
        <is>
          <t>Друзья, актуальное расписание занятий перед вами. Приходите! ⏰Понедельник 11.00-13.00 Рисование ПНИ 16 ⠀ 17.00–20.00 Керамика Дети Пресненского района Студия на Новинском ⠀ 18.30–21.00 Пинг-понг, настольные игры Подростки, выпускники интернатов, волонтёры Инклюзивный культурный ц...</t>
        </is>
      </c>
    </row>
    <row r="387" ht="30" customHeight="1">
      <c r="A387" s="23" t="n">
        <v>6289</v>
      </c>
      <c r="B387" s="24" t="inlineStr">
        <is>
          <t>2022-03-03</t>
        </is>
      </c>
      <c r="C387" s="25">
        <f>HYPERLINK("https://vk.com/wall-1825701_6289", "Открыть пост")</f>
        <v/>
      </c>
      <c r="D387" s="26" t="inlineStr">
        <is>
          <t>Творческие мастер-классы и художественные студии</t>
        </is>
      </c>
      <c r="E387" s="26" t="inlineStr">
        <is>
          <t>Творческие мастер-классы и художественные студии</t>
        </is>
      </c>
      <c r="F387" s="26" t="inlineStr">
        <is>
          <t>Подростки и взрослые с ментальными особенностями и ОВЗ (ПНИ / Социальные дома)</t>
        </is>
      </c>
      <c r="G387" s="26" t="inlineStr">
        <is>
          <t>Студия фонда / выездная площадка</t>
        </is>
      </c>
      <c r="H387" s="26"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t>
        </is>
      </c>
      <c r="I387" s="27" t="inlineStr">
        <is>
          <t>Да (в тексте)</t>
        </is>
      </c>
      <c r="J387" s="26" t="inlineStr">
        <is>
          <t>Нам нужны волонтеры! Нужны руки, глаза, уши, но главное - сердца. В общем, мы ищем друзей для наших подопечных. ⠀ В ПНИ в Коломенском днем по понедельникам проходят творческие занятия. Их ведет наш педагог Ясин. Ребята очень ждут эти занятия и приходят туда не только заниматься т...</t>
        </is>
      </c>
    </row>
    <row r="388" ht="30" customHeight="1">
      <c r="A388" s="28" t="n">
        <v>6287</v>
      </c>
      <c r="B388" s="29" t="inlineStr">
        <is>
          <t>2022-02-26</t>
        </is>
      </c>
      <c r="C388" s="30">
        <f>HYPERLINK("https://vk.com/wall-1825701_6287", "Открыть пост")</f>
        <v/>
      </c>
      <c r="D388" s="31" t="inlineStr">
        <is>
          <t>Творческие мастер-классы и художественные студии</t>
        </is>
      </c>
      <c r="E388" s="31" t="inlineStr">
        <is>
          <t>Творческие мастер-классы и художественные студии</t>
        </is>
      </c>
      <c r="F388" s="31" t="inlineStr">
        <is>
          <t>Подопечные фонда «Дети Марии» (общая группа детей и подростков)</t>
        </is>
      </c>
      <c r="G388" s="31" t="inlineStr">
        <is>
          <t>Студия фонда / выездная площадка</t>
        </is>
      </c>
      <c r="H388" s="31" t="inlineStr">
        <is>
          <t>Художественно-прикладные и ремесленные навыки; Коммуникативные навыки, эмпатия и тьюторское сопровождение</t>
        </is>
      </c>
      <c r="I388" s="32" t="inlineStr">
        <is>
          <t>По формату занятия</t>
        </is>
      </c>
      <c r="J388" s="31" t="inlineStr">
        <is>
          <t>Дорогие наши друзья, ⠀ точно так же, как и многим из вас, нам сейчас очень тревожно. Тревожно следить за новостями, думать о будущем, что-то планировать, искать темы для постов... потому что все кажется неуместным. ⠀ Но в этой ситуации очень важно не оставаться в одиночестве. Поэ...</t>
        </is>
      </c>
    </row>
    <row r="389" ht="30" customHeight="1">
      <c r="A389" s="23" t="n">
        <v>6284</v>
      </c>
      <c r="B389" s="24" t="inlineStr">
        <is>
          <t>2022-02-18</t>
        </is>
      </c>
      <c r="C389" s="25">
        <f>HYPERLINK("https://vk.com/wall-1825701_6284", "Открыть пост")</f>
        <v/>
      </c>
      <c r="D389" s="26" t="inlineStr">
        <is>
          <t>Творческие мастер-классы и художественные студии</t>
        </is>
      </c>
      <c r="E389" s="26" t="inlineStr">
        <is>
          <t>Творческие мастер-классы и художественные студии; Выездные лагеря, дача и сезонные программы; Кулинарные, образовательные и социально-бытовые занятия; Праздники, дни рождения и клубные встречи</t>
        </is>
      </c>
      <c r="F389" s="26" t="inlineStr">
        <is>
          <t>Подопечные фонда «Дети Марии» (общая группа детей и подростков)</t>
        </is>
      </c>
      <c r="G389" s="26" t="inlineStr">
        <is>
          <t>Тверская 15</t>
        </is>
      </c>
      <c r="H389"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t>
        </is>
      </c>
      <c r="I389" s="27" t="inlineStr">
        <is>
          <t>По формату занятия</t>
        </is>
      </c>
      <c r="J389" s="26" t="inlineStr">
        <is>
          <t>Если вы думаете, что лыжи, сноуборд и сани заняли все наше время, то вы ошибаетесь. Все наши студии продолжают работу — мы рисуем, лепим, клеим, играем, пишем диктанты... в общем, продолжаем наши важные и любимые занятия. ⠀ У нас временно не работает сайт — вот это действительно ...</t>
        </is>
      </c>
    </row>
    <row r="390" ht="30" customHeight="1">
      <c r="A390" s="28" t="n">
        <v>6283</v>
      </c>
      <c r="B390" s="29" t="inlineStr">
        <is>
          <t>2022-02-16</t>
        </is>
      </c>
      <c r="C390" s="30">
        <f>HYPERLINK("https://vk.com/wall-1825701_6283", "Открыть пост")</f>
        <v/>
      </c>
      <c r="D390" s="31" t="inlineStr">
        <is>
          <t>Выездные лагеря, дача и сезонные программы</t>
        </is>
      </c>
      <c r="E390" s="31" t="inlineStr">
        <is>
          <t>Выездные лагеря, дача и сезонные программы; Праздники, дни рождения и клубные встречи; Кулинарные, образовательные и социально-бытовые занятия</t>
        </is>
      </c>
      <c r="F390" s="31" t="inlineStr">
        <is>
          <t>Подопечные фонда «Дети Марии» (общая группа детей и подростков)</t>
        </is>
      </c>
      <c r="G390" s="31" t="inlineStr">
        <is>
          <t>Сорочаны</t>
        </is>
      </c>
      <c r="H390" s="31" t="inlineStr">
        <is>
          <t>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t>
        </is>
      </c>
      <c r="I390" s="32" t="inlineStr">
        <is>
          <t>По формату занятия</t>
        </is>
      </c>
      <c r="J390" s="31" t="inlineStr">
        <is>
          <t>На связи Сорочаны и наша маленькая (нет) и дружная (очень!) компания начинающих лыжников, сноубордистов, саночников и тюбингистов! ⠀ Мы на склоне уже не новички — даже те, кто встал на лыжи всего пару дней назад, уже успели получить первые уроки и понять, что: ⠀ ⛄ Самое главное н...</t>
        </is>
      </c>
    </row>
    <row r="391" ht="30" customHeight="1">
      <c r="A391" s="23" t="n">
        <v>6280</v>
      </c>
      <c r="B391" s="24" t="inlineStr">
        <is>
          <t>2022-02-09</t>
        </is>
      </c>
      <c r="C391" s="25">
        <f>HYPERLINK("https://vk.com/wall-1825701_6280", "Открыть пост")</f>
        <v/>
      </c>
      <c r="D391" s="26" t="inlineStr">
        <is>
          <t>Кулинарные, образовательные и социально-бытовые занятия</t>
        </is>
      </c>
      <c r="E391" s="26" t="inlineStr">
        <is>
          <t>Кулинарные, образовательные и социально-бытовые занятия; Спортивные и активные мероприятия</t>
        </is>
      </c>
      <c r="F391" s="26" t="inlineStr">
        <is>
          <t>Воспитанники ЦССВ, ДДИ и детских домов-интернатов; Выпускники интернатов и детских домов (молодые взрослые)</t>
        </is>
      </c>
      <c r="G391" s="26" t="inlineStr">
        <is>
          <t>Студия фонда / выездная площадка</t>
        </is>
      </c>
      <c r="H391" s="26" t="inlineStr">
        <is>
          <t>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Мобильность, выездное сопровождение и автоволонтёрство</t>
        </is>
      </c>
      <c r="I391" s="27" t="inlineStr">
        <is>
          <t>По формату занятия</t>
        </is>
      </c>
      <c r="J391" s="26" t="inlineStr">
        <is>
          <t>Буквально пару дней назад у нас за окном были горы, а под ногами - лыжная трасса. Мы поняли, что лучшее время года - зима, а лучший транспорт зимой - ратрак. Все это произошло потому, что целую неделю наши подопечные катались на лыжах на Красной поляне. И мы очень хотим, чтобы вы...</t>
        </is>
      </c>
    </row>
    <row r="392" ht="30" customHeight="1">
      <c r="A392" s="28" t="n">
        <v>6279</v>
      </c>
      <c r="B392" s="29" t="inlineStr">
        <is>
          <t>2022-02-04</t>
        </is>
      </c>
      <c r="C392" s="30">
        <f>HYPERLINK("https://vk.com/wall-1825701_6279", "Открыть пост")</f>
        <v/>
      </c>
      <c r="D392" s="31" t="inlineStr">
        <is>
          <t>Кулинарные, образовательные и социально-бытовые занятия</t>
        </is>
      </c>
      <c r="E392" s="31" t="inlineStr">
        <is>
          <t>Кулинарные, образовательные и социально-бытовые занятия</t>
        </is>
      </c>
      <c r="F392" s="31" t="inlineStr">
        <is>
          <t>Подопечные фонда «Дети Марии» (общая группа детей и подростков)</t>
        </is>
      </c>
      <c r="G392" s="31" t="inlineStr">
        <is>
          <t>Студия фонда / выездная площадка</t>
        </is>
      </c>
      <c r="H392" s="31" t="inlineStr">
        <is>
          <t>Художественно-прикладные и ремесленные навыки; Артистические, музыкальные и спортивно-игровые навыки; Педагогические и наставнические навыки (кулинария, быт, учёба)</t>
        </is>
      </c>
      <c r="I392" s="32" t="inlineStr">
        <is>
          <t>По формату занятия</t>
        </is>
      </c>
      <c r="J392" s="31" t="inlineStr">
        <is>
          <t>К занятиям по четвергам в нашей студии готовятся по-особенному. Здесь не краски, глина или нити. Здесь ручки, тетради и главное - внимательность. По четвергам наши подопечные пишут диктанты под руководством бабушки Нины. ⠀ Вчера вечером мы перенеслись из засыпанной снегом Москвы ...</t>
        </is>
      </c>
    </row>
    <row r="393" ht="30" customHeight="1">
      <c r="A393" s="23" t="n">
        <v>6276</v>
      </c>
      <c r="B393" s="24" t="inlineStr">
        <is>
          <t>2022-01-28</t>
        </is>
      </c>
      <c r="C393" s="25">
        <f>HYPERLINK("https://vk.com/wall-1825701_6276", "Открыть пост")</f>
        <v/>
      </c>
      <c r="D393" s="26" t="inlineStr">
        <is>
          <t>Ярмарки, фестивали и благотворительные базары</t>
        </is>
      </c>
      <c r="E393" s="26" t="inlineStr">
        <is>
          <t>Ярмарки, фестивали и благотворительные базары</t>
        </is>
      </c>
      <c r="F393" s="26" t="inlineStr">
        <is>
          <t>Подопечные фонда «Дети Марии» (общая группа детей и подростков)</t>
        </is>
      </c>
      <c r="G393" s="26" t="inlineStr">
        <is>
          <t>Студия фонда / выездная площадка</t>
        </is>
      </c>
      <c r="H393" s="26" t="inlineStr">
        <is>
          <t>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t>
        </is>
      </c>
      <c r="I393" s="27" t="inlineStr">
        <is>
          <t>По формату занятия</t>
        </is>
      </c>
      <c r="J393" s="26" t="inlineStr">
        <is>
          <t>Полтора месяца работала наша виртуальная новогодняя ярмарка на Planeta.ru - пришло время подводить итоги! За это время нам удалось собрать 71 255 рублей! ⠀ У нас практически сразу раскупили все керамические елочные игрушки и теплые неколючие варежки, так что к следующей ярмарке м...</t>
        </is>
      </c>
    </row>
    <row r="394" ht="30" customHeight="1">
      <c r="A394" s="28" t="n">
        <v>6273</v>
      </c>
      <c r="B394" s="29" t="inlineStr">
        <is>
          <t>2022-01-24</t>
        </is>
      </c>
      <c r="C394" s="30">
        <f>HYPERLINK("https://vk.com/wall-1825701_6273", "Открыть пост")</f>
        <v/>
      </c>
      <c r="D394" s="31" t="inlineStr">
        <is>
          <t>Кулинарные, образовательные и социально-бытовые занятия</t>
        </is>
      </c>
      <c r="E394" s="31" t="inlineStr">
        <is>
          <t>Кулинарные, образовательные и социально-бытовые занятия</t>
        </is>
      </c>
      <c r="F394" s="31" t="inlineStr">
        <is>
          <t>Подростки и взрослые с ментальными особенностями и ОВЗ (ПНИ / Социальные дома); Воспитанники ЦССВ, ДДИ и детских домов-интернатов; Выпускники интернатов и детских домов (молодые взрослые)</t>
        </is>
      </c>
      <c r="G394" s="31" t="inlineStr">
        <is>
          <t>Студия фонда / выездная площадка</t>
        </is>
      </c>
      <c r="H394" s="31" t="inlineStr">
        <is>
          <t>Коммуникативные навыки, эмпатия и тьюторское сопровождение; Педагогические и наставнические навыки (кулинария, быт, учёба); Организационные, ивент- и ярмарочные навыки; Мобильность, выездное сопровождение и автоволонтёрство</t>
        </is>
      </c>
      <c r="I394" s="32" t="inlineStr">
        <is>
          <t>По формату занятия</t>
        </is>
      </c>
      <c r="J394" s="31" t="inlineStr">
        <is>
          <t>У нас потрясающие новости – наш проект «Тренировочная квартира» получил грант Фонд президентских грантов ! На его развитие выделено 3 909 650 рублей! ⠀ Что это за проект? ⠀ Обычный жизненный путь ребят из детского дома для детей с умственной отсталостью - по достижении 18 (либо 2...</t>
        </is>
      </c>
    </row>
    <row r="395" ht="30" customHeight="1">
      <c r="A395" s="23" t="n">
        <v>6270</v>
      </c>
      <c r="B395" s="24" t="inlineStr">
        <is>
          <t>2022-01-18</t>
        </is>
      </c>
      <c r="C395" s="25">
        <f>HYPERLINK("https://vk.com/wall-1825701_6270", "Открыть пост")</f>
        <v/>
      </c>
      <c r="D395" s="26" t="inlineStr">
        <is>
          <t>Творческие мастер-классы и художественные студии</t>
        </is>
      </c>
      <c r="E395" s="26" t="inlineStr">
        <is>
          <t>Творческие мастер-классы и художественные студии; Кулинарные, образовательные и социально-бытовые занятия</t>
        </is>
      </c>
      <c r="F395" s="26" t="inlineStr">
        <is>
          <t>Подопечные фонда «Дети Марии» (общая группа детей и подростков)</t>
        </is>
      </c>
      <c r="G395" s="26" t="inlineStr">
        <is>
          <t>Студия фонда / выездная площадка</t>
        </is>
      </c>
      <c r="H395" s="26" t="inlineStr">
        <is>
          <t>Художественно-прикладные и ремесленные навыки; Артистические, музыкальные и спортивно-игровые навыки; Педагогические и наставнические навыки (кулинария, быт, учёба)</t>
        </is>
      </c>
      <c r="I395" s="27" t="inlineStr">
        <is>
          <t>По формату занятия</t>
        </is>
      </c>
      <c r="J395" s="26" t="inlineStr">
        <is>
          <t>Иногда даже взрослым нужно вернуться за парту. Зачем? Чтобы найти самый короткий и верный путь к цели. ⠀ Практически весь прошлый год трое наших коллег провели за виртуальной «партой» и готовы рассказать, чему это их научило! ⠀ Все началось с мечты. Собственно, с этого все велики...</t>
        </is>
      </c>
    </row>
    <row r="396" ht="30" customHeight="1">
      <c r="A396" s="28" t="n">
        <v>6269</v>
      </c>
      <c r="B396" s="29" t="inlineStr">
        <is>
          <t>2022-01-17</t>
        </is>
      </c>
      <c r="C396" s="30">
        <f>HYPERLINK("https://vk.com/wall-1825701_6269", "Открыть пост")</f>
        <v/>
      </c>
      <c r="D396" s="31" t="inlineStr">
        <is>
          <t>Творческие мастер-классы и художественные студии</t>
        </is>
      </c>
      <c r="E396" s="31" t="inlineStr">
        <is>
          <t>Творческие мастер-классы и художественные студии; Праздники, дни рождения и клубные встречи</t>
        </is>
      </c>
      <c r="F396" s="31" t="inlineStr">
        <is>
          <t>Подопечные фонда «Дети Марии» (общая группа детей и подростков)</t>
        </is>
      </c>
      <c r="G396" s="31" t="inlineStr">
        <is>
          <t>Студия фонда / выездная площадка</t>
        </is>
      </c>
      <c r="H396" s="31" t="inlineStr">
        <is>
          <t>Художественно-прикладные и ремесленные навыки; Организационные, ивент- и ярмарочные навыки; Медиа, фото/видеосъёмка и культурная медиация</t>
        </is>
      </c>
      <c r="I396" s="32" t="inlineStr">
        <is>
          <t>По формату занятия</t>
        </is>
      </c>
      <c r="J396" s="31" t="inlineStr">
        <is>
          <t>Перед вами совсем свежие фотографии из наших студий, а значит, занятия возобновились! ⠀ Мы приглашаем всех наших старых добрых друзей в студии и очень ждём знакомства с новыми. ⠀ Керамика, живопись, валяние, пинг-понг, чаепития, стекло в технике Тиффани (вот это вы просто обязаны...</t>
        </is>
      </c>
    </row>
    <row r="397" ht="30" customHeight="1">
      <c r="A397" s="23" t="n">
        <v>6268</v>
      </c>
      <c r="B397" s="24" t="inlineStr">
        <is>
          <t>2022-01-14</t>
        </is>
      </c>
      <c r="C397" s="25">
        <f>HYPERLINK("https://vk.com/wall-1825701_6268", "Открыть пост")</f>
        <v/>
      </c>
      <c r="D397" s="26" t="inlineStr">
        <is>
          <t>Выставки, экскурсии и культурные выходы</t>
        </is>
      </c>
      <c r="E397" s="26" t="inlineStr">
        <is>
          <t>Выставки, экскурсии и культурные выходы; Творческие мастер-классы и художественные студии</t>
        </is>
      </c>
      <c r="F397" s="26" t="inlineStr">
        <is>
          <t>Подопечные фонда «Дети Марии» (общая группа детей и подростков)</t>
        </is>
      </c>
      <c r="G397" s="26" t="inlineStr">
        <is>
          <t>ТВЕРСКАЯ15</t>
        </is>
      </c>
      <c r="H397" s="26" t="inlineStr">
        <is>
          <t>Художественно-прикладные и ремесленные навыки; Коммуникативные навыки, эмпатия и тьюторское сопровождение</t>
        </is>
      </c>
      <c r="I397" s="27" t="inlineStr">
        <is>
          <t>По формату занятия</t>
        </is>
      </c>
      <c r="J397" s="26" t="inlineStr">
        <is>
          <t>Если вы еще не придумали, куда отвести детей в выходные, — приходите к нам на выставку! ⠀ В Инклюзивном культурном центре «ТВЕРСКАЯ15» последние дни открыта выставка работ наших подопечных за 2021 год. Они трудились, рисовали, творили, открывали для себя новые и неизведанные темы...</t>
        </is>
      </c>
    </row>
    <row r="398" ht="30" customHeight="1">
      <c r="A398" s="28" t="n">
        <v>6266</v>
      </c>
      <c r="B398" s="29" t="inlineStr">
        <is>
          <t>2022-01-12</t>
        </is>
      </c>
      <c r="C398" s="30">
        <f>HYPERLINK("https://vk.com/wall-1825701_6266", "Открыть пост")</f>
        <v/>
      </c>
      <c r="D398" s="31" t="inlineStr">
        <is>
          <t>Творческие мастер-классы и художественные студии</t>
        </is>
      </c>
      <c r="E398" s="31" t="inlineStr">
        <is>
          <t>Творческие мастер-классы и художественные студии</t>
        </is>
      </c>
      <c r="F398" s="31" t="inlineStr">
        <is>
          <t>Подопечные фонда «Дети Марии» (общая группа детей и подростков)</t>
        </is>
      </c>
      <c r="G398" s="31" t="inlineStr">
        <is>
          <t>Студия фонда / выездная площадка</t>
        </is>
      </c>
      <c r="H398" s="31" t="inlineStr">
        <is>
          <t>Художественно-прикладные и ремесленные навыки; Коммуникативные навыки, эмпатия и тьюторское сопровождение</t>
        </is>
      </c>
      <c r="I398" s="32" t="inlineStr">
        <is>
          <t>По формату занятия</t>
        </is>
      </c>
      <c r="J398" s="31" t="inlineStr">
        <is>
          <t>Мы уверены, что рисование – это волшебство. Мы дорожим каждым рисунком, который создают наши дети, и знаем, что порой усадить ребят за занятия бывает непросто. Но что если рисунок ребенка можно «оживить»? Что если его можно сделать мультфильмом? А что если это порадует не только ...</t>
        </is>
      </c>
    </row>
    <row r="399" ht="30" customHeight="1">
      <c r="A399" s="23" t="n">
        <v>6262</v>
      </c>
      <c r="B399" s="24" t="inlineStr">
        <is>
          <t>2022-01-07</t>
        </is>
      </c>
      <c r="C399" s="25">
        <f>HYPERLINK("https://vk.com/wall-1825701_6262", "Открыть пост")</f>
        <v/>
      </c>
      <c r="D399" s="26" t="inlineStr">
        <is>
          <t>Выставки, экскурсии и культурные выходы</t>
        </is>
      </c>
      <c r="E399" s="26" t="inlineStr">
        <is>
          <t>Выставки, экскурсии и культурные выходы; Спортивные и активные мероприятия; Творческие мастер-классы и художественные студии</t>
        </is>
      </c>
      <c r="F399" s="26" t="inlineStr">
        <is>
          <t>Подопечные фонда «Дети Марии» (общая группа детей и подростков)</t>
        </is>
      </c>
      <c r="G399" s="26" t="inlineStr">
        <is>
          <t>Студия фонда / выездная площадка</t>
        </is>
      </c>
      <c r="H399" s="26" t="inlineStr">
        <is>
          <t>Артистические, музыкальные и спортивно-игровые навыки</t>
        </is>
      </c>
      <c r="I399" s="27" t="inlineStr">
        <is>
          <t>По формату занятия</t>
        </is>
      </c>
      <c r="J399" s="26" t="inlineStr">
        <is>
          <t>Рождественское утро – лучшее время, чтобы поделиться воспоминаниями о наших «ёлках», тем более, что их было много и все разные! 🎄 Мы постарались сделать так, чтобы интересно было каждому зрителю – и большому, и маленькому. Поэтому на наших ёлках детей ждали сказочные представлени...</t>
        </is>
      </c>
    </row>
    <row r="400" ht="30" customHeight="1">
      <c r="A400" s="28" t="n">
        <v>6260</v>
      </c>
      <c r="B400" s="29" t="inlineStr">
        <is>
          <t>2022-01-04</t>
        </is>
      </c>
      <c r="C400" s="30">
        <f>HYPERLINK("https://vk.com/wall-1825701_6260", "Открыть пост")</f>
        <v/>
      </c>
      <c r="D400" s="31" t="inlineStr">
        <is>
          <t>Ярмарки, фестивали и благотворительные базары</t>
        </is>
      </c>
      <c r="E400" s="31" t="inlineStr">
        <is>
          <t>Ярмарки, фестивали и благотворительные базары</t>
        </is>
      </c>
      <c r="F400" s="31" t="inlineStr">
        <is>
          <t>Воспитанники ЦССВ, ДДИ и детских домов-интернатов</t>
        </is>
      </c>
      <c r="G400" s="31" t="inlineStr">
        <is>
          <t>Студия фонда / выездная площадка</t>
        </is>
      </c>
      <c r="H400"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t>
        </is>
      </c>
      <c r="I400" s="32" t="inlineStr">
        <is>
          <t>По формату занятия</t>
        </is>
      </c>
      <c r="J400" s="31" t="inlineStr">
        <is>
          <t>Люди, которые работают и учатся в наших студиях, общаются через творчество. ⠀ Беспокоятся, чтобы друзья всегда были в тепле, и создают для них шерстяные повязки на голову – яркие, тёплые и совсем не колючие. А если простуда все-таки настигла – есть маленькие мятные ингаляторы с к...</t>
        </is>
      </c>
    </row>
    <row r="401" ht="30" customHeight="1">
      <c r="A401" s="23" t="n">
        <v>6259</v>
      </c>
      <c r="B401" s="24" t="inlineStr">
        <is>
          <t>2021-12-31</t>
        </is>
      </c>
      <c r="C401" s="25">
        <f>HYPERLINK("https://vk.com/wall-1825701_6259", "Открыть пост")</f>
        <v/>
      </c>
      <c r="D401" s="26" t="inlineStr">
        <is>
          <t>Творческие мастер-классы и художественные студии</t>
        </is>
      </c>
      <c r="E401" s="26" t="inlineStr">
        <is>
          <t>Творческие мастер-классы и художественные студии; Ярмарки, фестивали и благотворительные базары; Выставки, экскурсии и культурные выходы; Кулинарные, образовательные и социально-бытовые занятия</t>
        </is>
      </c>
      <c r="F401" s="26" t="inlineStr">
        <is>
          <t>Подростки и взрослые с ментальными особенностями и ОВЗ (ПНИ / Социальные дома); Воспитанники ЦССВ, ДДИ и детских домов-интернатов; Выпускники интернатов и детских домов (молодые взрослые)</t>
        </is>
      </c>
      <c r="G401" s="26" t="inlineStr">
        <is>
          <t>Студия фонда / выездная площадка</t>
        </is>
      </c>
      <c r="H401" s="26"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 Организационные, ивент- и ярмарочные навыки</t>
        </is>
      </c>
      <c r="I401" s="27" t="inlineStr">
        <is>
          <t>По формату занятия</t>
        </is>
      </c>
      <c r="J401" s="26" t="inlineStr">
        <is>
          <t>🎄Сегодня самый волшебный день в году – день, когда загаданные желания сбываются, а слова любви попадают в самое сердце. Именно поэтому нам так важно сегодня сказать вам спасибо за то, что вы рядом. За то, что мы вместе растём, творим, помогаем, радуемся. За вашу поддержку и такое...</t>
        </is>
      </c>
    </row>
    <row r="402" ht="30" customHeight="1">
      <c r="A402" s="28" t="n">
        <v>6257</v>
      </c>
      <c r="B402" s="29" t="inlineStr">
        <is>
          <t>2021-12-28</t>
        </is>
      </c>
      <c r="C402" s="30">
        <f>HYPERLINK("https://vk.com/wall-1825701_6257", "Открыть пост")</f>
        <v/>
      </c>
      <c r="D402" s="31" t="inlineStr">
        <is>
          <t>Ярмарки, фестивали и благотворительные базары</t>
        </is>
      </c>
      <c r="E402" s="31" t="inlineStr">
        <is>
          <t>Ярмарки, фестивали и благотворительные базары; Творческие мастер-классы и художественные студии</t>
        </is>
      </c>
      <c r="F402" s="31" t="inlineStr">
        <is>
          <t>Воспитанники ЦССВ, ДДИ и детских домов-интернатов</t>
        </is>
      </c>
      <c r="G402" s="31" t="inlineStr">
        <is>
          <t>ТВЕРСКАЯ 15</t>
        </is>
      </c>
      <c r="H402" s="31"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 Организационные, ивент- и ярмарочные навыки; Медиа, фото/видеосъёмка и культурная медиация</t>
        </is>
      </c>
      <c r="I402" s="32" t="inlineStr">
        <is>
          <t>По формату занятия</t>
        </is>
      </c>
      <c r="J402" s="31" t="inlineStr">
        <is>
          <t>Не верится, что уже конец декабря! 😳😳А мы не успели рассказать, что было интересного в течение месяца. Две ярмарки в первую же неделю декабря – вот такое выдалось бурное начало самого волшебного месяца! 🤩 В пятницу, 3 декабря, Даша и Соня побывали на новогодней ярмарке в компании...</t>
        </is>
      </c>
    </row>
    <row r="403" ht="30" customHeight="1">
      <c r="A403" s="23" t="n">
        <v>6243</v>
      </c>
      <c r="B403" s="24" t="inlineStr">
        <is>
          <t>2021-12-16</t>
        </is>
      </c>
      <c r="C403" s="25">
        <f>HYPERLINK("https://vk.com/wall-1825701_6243", "Открыть пост")</f>
        <v/>
      </c>
      <c r="D403" s="26" t="inlineStr">
        <is>
          <t>Кулинарные, образовательные и социально-бытовые занятия</t>
        </is>
      </c>
      <c r="E403" s="26" t="inlineStr">
        <is>
          <t>Кулинарные, образовательные и социально-бытовые занятия</t>
        </is>
      </c>
      <c r="F403" s="26" t="inlineStr">
        <is>
          <t>Подопечные фонда «Дети Марии» (общая группа детей и подростков)</t>
        </is>
      </c>
      <c r="G403" s="26" t="inlineStr">
        <is>
          <t>Студия фонда / выездная площадка</t>
        </is>
      </c>
      <c r="H403" s="26" t="inlineStr">
        <is>
          <t>Коммуникативные навыки, эмпатия и тьюторское сопровождение</t>
        </is>
      </c>
      <c r="I403" s="27" t="inlineStr">
        <is>
          <t>Да (в тексте)</t>
        </is>
      </c>
      <c r="J403" s="26" t="inlineStr">
        <is>
          <t>10 декабря закончилось обучение в Школе наставников, которую мы провели совместно с Благотворительным фондом "Здесь и Сейчас" . Наши наставники и подопечные уже ждут скорого знакомства друг с другом. А пока волонтёры-наставники делятся своими впечатлениями от прошедших курсов: «Х...</t>
        </is>
      </c>
    </row>
    <row r="404" ht="30" customHeight="1">
      <c r="A404" s="28" t="n">
        <v>6241</v>
      </c>
      <c r="B404" s="29" t="inlineStr">
        <is>
          <t>2021-12-03</t>
        </is>
      </c>
      <c r="C404" s="30">
        <f>HYPERLINK("https://vk.com/wall-1825701_6241", "Открыть пост")</f>
        <v/>
      </c>
      <c r="D404" s="31" t="inlineStr">
        <is>
          <t>Творческие мастер-классы и художественные студии</t>
        </is>
      </c>
      <c r="E404" s="31" t="inlineStr">
        <is>
          <t>Творческие мастер-классы и художественные студии; Выставки, экскурсии и культурные выходы; Кулинарные, образовательные и социально-бытовые занятия; Праздники, дни рождения и клубные встречи</t>
        </is>
      </c>
      <c r="F404" s="31" t="inlineStr">
        <is>
          <t>Выпускники интернатов и детских домов (молодые взрослые)</t>
        </is>
      </c>
      <c r="G404" s="31" t="inlineStr">
        <is>
          <t>Студия фонда / выездная площадка</t>
        </is>
      </c>
      <c r="H404" s="31" t="inlineStr">
        <is>
          <t>Художественно-прикладные и ремесленные навыки; Коммуникативные навыки, эмпатия и тьюторское сопровождение; Организационные, ивент- и ярмарочные навыки; Мобильность, выездное сопровождение и автоволонтёрство; Медиа, фото/видеосъёмка и культурная медиация</t>
        </is>
      </c>
      <c r="I404" s="32" t="inlineStr">
        <is>
          <t>Да (в тексте)</t>
        </is>
      </c>
      <c r="J404" s="31" t="inlineStr">
        <is>
          <t>По пятницам в Тренировочной квартире всегда по-особенному – там ждут гостей. Осенью в одну из квартир приходили сотрудники фонда «Абсолют-Помощь», который помогает реализовывать этот проект. Цель визита – неформальная, познакомиться с девушками, которые проживают сейчас в квартир...</t>
        </is>
      </c>
    </row>
    <row r="405" ht="30" customHeight="1">
      <c r="A405" s="23" t="n">
        <v>6238</v>
      </c>
      <c r="B405" s="24" t="inlineStr">
        <is>
          <t>2021-11-30</t>
        </is>
      </c>
      <c r="C405" s="25">
        <f>HYPERLINK("https://vk.com/wall-1825701_6238", "Открыть пост")</f>
        <v/>
      </c>
      <c r="D405" s="26" t="inlineStr">
        <is>
          <t>Ярмарки, фестивали и благотворительные базары</t>
        </is>
      </c>
      <c r="E405" s="26" t="inlineStr">
        <is>
          <t>Ярмарки, фестивали и благотворительные базары</t>
        </is>
      </c>
      <c r="F405" s="26" t="inlineStr">
        <is>
          <t>Подопечные фонда «Дети Марии» (общая группа детей и подростков)</t>
        </is>
      </c>
      <c r="G405" s="26" t="inlineStr">
        <is>
          <t>Студия фонда / выездная площадка</t>
        </is>
      </c>
      <c r="H405" s="26" t="inlineStr">
        <is>
          <t>Коммуникативные навыки, эмпатия и тьюторское сопровождение; Организационные, ивент- и ярмарочные навыки</t>
        </is>
      </c>
      <c r="I405" s="27" t="inlineStr">
        <is>
          <t>По формату занятия</t>
        </is>
      </c>
      <c r="J405" s="26" t="inlineStr">
        <is>
          <t>Друзья, сегодня особенный день. Благотворительное собрание «Все вместе», Росбанк и Planeta.ru запускают новогоднюю онлайн-ярмарку «Планета добрых подарков». Это благотворительный маркет, и наш фонд представляет там свою сувенирную продукцию, средства от продажи которой пойдут на ...</t>
        </is>
      </c>
    </row>
    <row r="406" ht="30" customHeight="1">
      <c r="A406" s="28" t="n">
        <v>6237</v>
      </c>
      <c r="B406" s="29" t="inlineStr">
        <is>
          <t>2021-11-27</t>
        </is>
      </c>
      <c r="C406" s="30">
        <f>HYPERLINK("https://vk.com/wall-1825701_6237", "Открыть пост")</f>
        <v/>
      </c>
      <c r="D406" s="31" t="inlineStr">
        <is>
          <t>Кулинарные, образовательные и социально-бытовые занятия</t>
        </is>
      </c>
      <c r="E406" s="31" t="inlineStr">
        <is>
          <t>Кулинарные, образовательные и социально-бытовые занятия</t>
        </is>
      </c>
      <c r="F406" s="31" t="inlineStr">
        <is>
          <t>Подопечные фонда «Дети Марии» (общая группа детей и подростков)</t>
        </is>
      </c>
      <c r="G406" s="31" t="inlineStr">
        <is>
          <t>Студия фонда / выездная площадка</t>
        </is>
      </c>
      <c r="H406" s="31" t="inlineStr">
        <is>
          <t>Коммуникативные навыки, эмпатия и тьюторское сопровождение; Педагогические и наставнические навыки (кулинария, быт, учёба); Мобильность, выездное сопровождение и автоволонтёрство</t>
        </is>
      </c>
      <c r="I406" s="32" t="inlineStr">
        <is>
          <t>Да (в тексте)</t>
        </is>
      </c>
      <c r="J406" s="31" t="inlineStr">
        <is>
          <t>В рамках проекта «Индивидуальное сопровождение» наш подопечный Леша ходит на уроки по финансовой грамотности. Теперь Леша умеет спланировать бюджет, заполнить квитанции по счетчикам и посчитать НДФЛ. О занятиях с Лешей рассказывает его педагог и волонтер нашего фонда Ольга Калаги...</t>
        </is>
      </c>
    </row>
    <row r="407" ht="30" customHeight="1">
      <c r="A407" s="23" t="n">
        <v>6236</v>
      </c>
      <c r="B407" s="24" t="inlineStr">
        <is>
          <t>2021-11-16</t>
        </is>
      </c>
      <c r="C407" s="25">
        <f>HYPERLINK("https://vk.com/wall-1825701_6236", "Открыть пост")</f>
        <v/>
      </c>
      <c r="D407" s="26" t="inlineStr">
        <is>
          <t>Ярмарки, фестивали и благотворительные базары</t>
        </is>
      </c>
      <c r="E407" s="26" t="inlineStr">
        <is>
          <t>Ярмарки, фестивали и благотворительные базары</t>
        </is>
      </c>
      <c r="F407" s="26" t="inlineStr">
        <is>
          <t>Подопечные фонда «Дети Марии» (общая группа детей и подростков)</t>
        </is>
      </c>
      <c r="G407" s="26" t="inlineStr">
        <is>
          <t>ТВЕРСКАЯ 15</t>
        </is>
      </c>
      <c r="H407" s="26" t="inlineStr">
        <is>
          <t>Коммуникативные навыки, эмпатия и тьюторское сопровождение; Организационные, ивент- и ярмарочные навыки</t>
        </is>
      </c>
      <c r="I407" s="27" t="inlineStr">
        <is>
          <t>По формату занятия</t>
        </is>
      </c>
      <c r="J407" s="26" t="inlineStr">
        <is>
          <t>Эта уточка уже участвует в благотворительном онлайн-базаре. А вы? Радуемся всем изделиям и очень гордимся, как здорово ребята всё придумали. На нашем благотворительном базаре кого только не встретишь: и чудо-льва с чудо-рыбой, и доброго фея, и жар-птицу. Работы получились по-сказ...</t>
        </is>
      </c>
    </row>
    <row r="408" ht="30" customHeight="1">
      <c r="A408" s="28" t="n">
        <v>6235</v>
      </c>
      <c r="B408" s="29" t="inlineStr">
        <is>
          <t>2021-11-14</t>
        </is>
      </c>
      <c r="C408" s="30">
        <f>HYPERLINK("https://vk.com/wall-1825701_6235", "Открыть пост")</f>
        <v/>
      </c>
      <c r="D408" s="31" t="inlineStr">
        <is>
          <t>Кулинарные, образовательные и социально-бытовые занятия</t>
        </is>
      </c>
      <c r="E408" s="31" t="inlineStr">
        <is>
          <t>Кулинарные, образовательные и социально-бытовые занятия; Выставки, экскурсии и культурные выходы; Творческие мастер-классы и художественные студии</t>
        </is>
      </c>
      <c r="F408" s="31" t="inlineStr">
        <is>
          <t>Выпускники интернатов и детских домов (молодые взрослые)</t>
        </is>
      </c>
      <c r="G408" s="31" t="inlineStr">
        <is>
          <t>Студия фонда / выездная площадка</t>
        </is>
      </c>
      <c r="H408"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Мобильность, выездное сопровождение и автоволонтёрство</t>
        </is>
      </c>
      <c r="I408" s="32" t="inlineStr">
        <is>
          <t>По формату занятия</t>
        </is>
      </c>
      <c r="J408" s="31" t="inlineStr">
        <is>
          <t>Наши ребята из Тренировочной квартиры вместе с педагогами и руководителем проекта Марией Полянской побывали в «Доброколледже». «Доброколледж» — это инклюзивная площадка, на которой девушки и юноши с особыми потребностями обучаются необходимым навыкам. Столярная и вязальная мастер...</t>
        </is>
      </c>
    </row>
    <row r="409" ht="30" customHeight="1">
      <c r="A409" s="23" t="n">
        <v>6233</v>
      </c>
      <c r="B409" s="24" t="inlineStr">
        <is>
          <t>2021-11-11</t>
        </is>
      </c>
      <c r="C409" s="25">
        <f>HYPERLINK("https://vk.com/wall-1825701_6233", "Открыть пост")</f>
        <v/>
      </c>
      <c r="D409" s="26" t="inlineStr">
        <is>
          <t>Спектакли, концерты и музыкально-театральные занятия</t>
        </is>
      </c>
      <c r="E409" s="26" t="inlineStr">
        <is>
          <t>Спектакли, концерты и музыкально-театральные занятия</t>
        </is>
      </c>
      <c r="F409" s="26" t="inlineStr">
        <is>
          <t>Подопечные фонда «Дети Марии» (общая группа детей и подростков)</t>
        </is>
      </c>
      <c r="G409" s="26" t="inlineStr">
        <is>
          <t>интернатов «Мамин театр»</t>
        </is>
      </c>
      <c r="H409" s="26" t="inlineStr">
        <is>
          <t>Коммуникативные навыки, эмпатия и тьюторское сопровождение; Артистические, музыкальные и спортивно-игровые навыки; Мобильность, выездное сопровождение и автоволонтёрство</t>
        </is>
      </c>
      <c r="I409" s="27" t="inlineStr">
        <is>
          <t>По формату занятия</t>
        </is>
      </c>
      <c r="J409" s="26" t="inlineStr">
        <is>
          <t>У нас есть хорошие друзья — Арт-чердак «Мамин театр». Это независимый театральный проект, которому сейчас нужна поддержка. Команда «Маминого театра» собирает средства на гастрольные показы спектакля «Дорогой дневник». Гастроли пройдут в удалённых от Москвы школах-интернатах для с...</t>
        </is>
      </c>
    </row>
    <row r="410" ht="30" customHeight="1">
      <c r="A410" s="28" t="n">
        <v>6230</v>
      </c>
      <c r="B410" s="29" t="inlineStr">
        <is>
          <t>2021-11-10</t>
        </is>
      </c>
      <c r="C410" s="30">
        <f>HYPERLINK("https://vk.com/wall-1825701_6230", "Открыть пост")</f>
        <v/>
      </c>
      <c r="D410" s="31" t="inlineStr">
        <is>
          <t>Творческие мастер-классы и художественные студии</t>
        </is>
      </c>
      <c r="E410" s="31" t="inlineStr">
        <is>
          <t>Творческие мастер-классы и художественные студии; Ярмарки, фестивали и благотворительные базары</t>
        </is>
      </c>
      <c r="F410" s="31" t="inlineStr">
        <is>
          <t>Воспитанники ЦССВ, ДДИ и детских домов-интернатов</t>
        </is>
      </c>
      <c r="G410" s="31" t="inlineStr">
        <is>
          <t>ТВЕРСКАЯ15</t>
        </is>
      </c>
      <c r="H410" s="31" t="inlineStr">
        <is>
          <t>Художественно-прикладные и ремесленные навыки; Коммуникативные навыки, эмпатия и тьюторское сопровождение; Организационные, ивент- и ярмарочные навыки</t>
        </is>
      </c>
      <c r="I410" s="32" t="inlineStr">
        <is>
          <t>По формату занятия</t>
        </is>
      </c>
      <c r="J410" s="31" t="inlineStr">
        <is>
          <t>C 10 до 25 ноября работает благотворительный онлайн-базар фонда «Дети Марии» и инклюзивного культурного центра ТВЕРСКАЯ15. На базаре представлены авторские и коллективные работы наших подопечных — живопись, керамика, батик, мозаика, витражи, валяные и лоскутные панно, гобелены. У...</t>
        </is>
      </c>
    </row>
    <row r="411" ht="30" customHeight="1">
      <c r="A411" s="23" t="n">
        <v>6228</v>
      </c>
      <c r="B411" s="24" t="inlineStr">
        <is>
          <t>2021-11-08</t>
        </is>
      </c>
      <c r="C411" s="25">
        <f>HYPERLINK("https://vk.com/wall-1825701_6228", "Открыть пост")</f>
        <v/>
      </c>
      <c r="D411" s="26" t="inlineStr">
        <is>
          <t>Творческие мастер-классы и художественные студии</t>
        </is>
      </c>
      <c r="E411" s="26" t="inlineStr">
        <is>
          <t>Творческие мастер-классы и художественные студии</t>
        </is>
      </c>
      <c r="F411" s="26" t="inlineStr">
        <is>
          <t>Воспитанники ЦССВ, ДДИ и детских домов-интернатов</t>
        </is>
      </c>
      <c r="G411" s="26" t="inlineStr">
        <is>
          <t>ЦССВ №1, ЦССВ «Спутник»</t>
        </is>
      </c>
      <c r="H411" s="26"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t>
        </is>
      </c>
      <c r="I411" s="27" t="inlineStr">
        <is>
          <t>Да (в тексте)</t>
        </is>
      </c>
      <c r="J411" s="26" t="inlineStr">
        <is>
          <t>Второй понедельник ноября — День сирот. Этот день — про наших детей, наших удивительных и разных подопечных. Мы очень хотим сделать так, чтобы они выросли счастливыми. Наши программы помогают детям через творчество открыть себя, познать мир и довериться ему. Это непростой и длите...</t>
        </is>
      </c>
    </row>
    <row r="412" ht="30" customHeight="1">
      <c r="A412" s="28" t="n">
        <v>6225</v>
      </c>
      <c r="B412" s="29" t="inlineStr">
        <is>
          <t>2021-10-29</t>
        </is>
      </c>
      <c r="C412" s="30">
        <f>HYPERLINK("https://vk.com/wall-1825701_6225", "Открыть пост")</f>
        <v/>
      </c>
      <c r="D412" s="31" t="inlineStr">
        <is>
          <t>Творческие мастер-классы и художественные студии</t>
        </is>
      </c>
      <c r="E412" s="31" t="inlineStr">
        <is>
          <t>Творческие мастер-классы и художественные студии; Кулинарные, образовательные и социально-бытовые занятия</t>
        </is>
      </c>
      <c r="F412" s="31" t="inlineStr">
        <is>
          <t>Подопечные фонда «Дети Марии» (общая группа детей и подростков)</t>
        </is>
      </c>
      <c r="G412" s="31" t="inlineStr">
        <is>
          <t>ТВЕРСКАЯ 15</t>
        </is>
      </c>
      <c r="H412" s="31" t="inlineStr">
        <is>
          <t>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t>
        </is>
      </c>
      <c r="I412" s="32" t="inlineStr">
        <is>
          <t>По формату занятия</t>
        </is>
      </c>
      <c r="J412" s="31" t="inlineStr">
        <is>
          <t>На занятиях в Инклюзивный культурный центр «ТВЕРСКАЯ 15» ребята вместе с нашей преподавательницей Дашей Каменской придумывают игровой алфавит. Старшие объясняют малышам, как запоминать буквы легко и весело. Игорь решил, что буква «К» будет в форме папки, внутри которой поселятся ...</t>
        </is>
      </c>
    </row>
    <row r="413" ht="30" customHeight="1">
      <c r="A413" s="23" t="n">
        <v>6218</v>
      </c>
      <c r="B413" s="24" t="inlineStr">
        <is>
          <t>2021-10-19</t>
        </is>
      </c>
      <c r="C413" s="25">
        <f>HYPERLINK("https://vk.com/wall-1825701_6218", "Открыть пост")</f>
        <v/>
      </c>
      <c r="D413" s="26" t="inlineStr">
        <is>
          <t>Выездные лагеря, дача и сезонные программы</t>
        </is>
      </c>
      <c r="E413" s="26" t="inlineStr">
        <is>
          <t>Выездные лагеря, дача и сезонные программы; Спектакли, концерты и музыкально-театральные занятия</t>
        </is>
      </c>
      <c r="F413" s="26" t="inlineStr">
        <is>
          <t>Дети и семьи (в т.ч. приёмные семьи и программа в Беслане)</t>
        </is>
      </c>
      <c r="G413" s="26" t="inlineStr">
        <is>
          <t>Беслан</t>
        </is>
      </c>
      <c r="H413" s="26" t="inlineStr">
        <is>
          <t>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Мобильность, выездное сопровождение и автоволонтёрство</t>
        </is>
      </c>
      <c r="I413" s="27" t="inlineStr">
        <is>
          <t>По формату занятия</t>
        </is>
      </c>
      <c r="J413" s="26" t="inlineStr">
        <is>
          <t>«Дарить радость и улыбки — это лучшая работа», — говорит больничная клоунесса Марлен. Марлен приезжает в Россию из Нидерландов. В родной стране она работает учителем и консультантом для людей с особыми потребностями, а также создает инклюзивные театральные постановки. Марлен — бо...</t>
        </is>
      </c>
    </row>
    <row r="414" ht="30" customHeight="1">
      <c r="A414" s="28" t="n">
        <v>6217</v>
      </c>
      <c r="B414" s="29" t="inlineStr">
        <is>
          <t>2021-10-16</t>
        </is>
      </c>
      <c r="C414" s="30">
        <f>HYPERLINK("https://vk.com/wall-1825701_6217", "Открыть пост")</f>
        <v/>
      </c>
      <c r="D414" s="31" t="inlineStr">
        <is>
          <t>Кулинарные, образовательные и социально-бытовые занятия</t>
        </is>
      </c>
      <c r="E414" s="31" t="inlineStr">
        <is>
          <t>Кулинарные, образовательные и социально-бытовые занятия; Творческие мастер-классы и художественные студии; Спектакли, концерты и музыкально-театральные занятия</t>
        </is>
      </c>
      <c r="F414" s="31" t="inlineStr">
        <is>
          <t>Подопечные фонда «Дети Марии» (общая группа детей и подростков)</t>
        </is>
      </c>
      <c r="G414" s="31" t="inlineStr">
        <is>
          <t>Студия фонда / выездная площадка</t>
        </is>
      </c>
      <c r="H414" s="31" t="inlineStr">
        <is>
          <t>Артистические, музыкальные и спортивно-игровые навыки; Педагогические и наставнические навыки (кулинария, быт, учёба)</t>
        </is>
      </c>
      <c r="I414" s="32" t="inlineStr">
        <is>
          <t>По формату занятия</t>
        </is>
      </c>
      <c r="J414" s="31" t="inlineStr">
        <is>
          <t>По четвергам в нашей студии на Дмитровке всегда что-то происходит: кто-то играет на гитаре, кто-то решает задачки и пишет диктанты. А кто-то готовит что-нибудь вкусное на кулинарных мастер-классах — например, блины со всевозможными начинками. Приходите и вы — каждый четверг в 18:...</t>
        </is>
      </c>
    </row>
    <row r="415" ht="30" customHeight="1">
      <c r="A415" s="23" t="n">
        <v>6203</v>
      </c>
      <c r="B415" s="24" t="inlineStr">
        <is>
          <t>2021-09-19</t>
        </is>
      </c>
      <c r="C415" s="25">
        <f>HYPERLINK("https://vk.com/wall-1825701_6203", "Открыть пост")</f>
        <v/>
      </c>
      <c r="D415" s="26" t="inlineStr">
        <is>
          <t>Творческие мастер-классы и художественные студии</t>
        </is>
      </c>
      <c r="E415" s="26" t="inlineStr">
        <is>
          <t>Творческие мастер-классы и художественные студии; Кулинарные, образовательные и социально-бытовые занятия; Выездные лагеря, дача и сезонные программы</t>
        </is>
      </c>
      <c r="F415" s="26" t="inlineStr">
        <is>
          <t>Подростки и взрослые с ментальными особенностями и ОВЗ (ПНИ / Социальные дома); Воспитанники ЦССВ, ДДИ и детских домов-интернатов</t>
        </is>
      </c>
      <c r="G415" s="26" t="inlineStr">
        <is>
          <t>Студия фонда / выездная площадка</t>
        </is>
      </c>
      <c r="H415" s="26"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 Мобильность, выездное сопровождение и автоволонтёрство</t>
        </is>
      </c>
      <c r="I415" s="27" t="inlineStr">
        <is>
          <t>По формату занятия</t>
        </is>
      </c>
      <c r="J415" s="26" t="inlineStr">
        <is>
          <t>Традиционно чудесные субботы — по субботам в наши загородные мастерские приезжают ребята из Филимонковского детского дома. В этот раз мы позанимались русским языком и чтением, прослушали урок по финансовой грамотности. А еще были мастер-классы по любимой керамике, кулинарии и рук...</t>
        </is>
      </c>
    </row>
    <row r="416" ht="30" customHeight="1">
      <c r="A416" s="28" t="n">
        <v>6200</v>
      </c>
      <c r="B416" s="29" t="inlineStr">
        <is>
          <t>2021-09-14</t>
        </is>
      </c>
      <c r="C416" s="30">
        <f>HYPERLINK("https://vk.com/wall-1825701_6200", "Открыть пост")</f>
        <v/>
      </c>
      <c r="D416" s="31" t="inlineStr">
        <is>
          <t>Выездные лагеря, дача и сезонные программы</t>
        </is>
      </c>
      <c r="E416" s="31" t="inlineStr">
        <is>
          <t>Выездные лагеря, дача и сезонные программы; Творческие мастер-классы и художественные студии</t>
        </is>
      </c>
      <c r="F416" s="31" t="inlineStr">
        <is>
          <t>Выпускники интернатов и детских домов (молодые взрослые); Дети и семьи (в т.ч. приёмные семьи и программа в Беслане)</t>
        </is>
      </c>
      <c r="G416" s="31" t="inlineStr">
        <is>
          <t>Беслан</t>
        </is>
      </c>
      <c r="H416" s="31" t="inlineStr">
        <is>
          <t>Коммуникативные навыки, эмпатия и тьюторское сопровождение; Артистические, музыкальные и спортивно-игровые навыки; Мобильность, выездное сопровождение и автоволонтёрство; Медиа, фото/видеосъёмка и культурная медиация</t>
        </is>
      </c>
      <c r="I416" s="32" t="inlineStr">
        <is>
          <t>Да (в тексте)</t>
        </is>
      </c>
      <c r="J416" s="31" t="inlineStr">
        <is>
          <t>«Мы остались живы. Мы продолжаем дышать. Мы можем любить, мы строим семьи, справляемся с трудностями. Мы хотим мира и добра во всем мире. Мы всегда помним!» — так пишет Ира Гуриева, выпускница Школы №1 и сотрудница нашего фонда. С любовью и трепетом смотрим на фотографии из поезд...</t>
        </is>
      </c>
    </row>
    <row r="417" ht="30" customHeight="1">
      <c r="A417" s="23" t="n">
        <v>6198</v>
      </c>
      <c r="B417" s="24" t="inlineStr">
        <is>
          <t>2021-09-10</t>
        </is>
      </c>
      <c r="C417" s="25">
        <f>HYPERLINK("https://vk.com/wall-1825701_6198", "Открыть пост")</f>
        <v/>
      </c>
      <c r="D417" s="26" t="inlineStr">
        <is>
          <t>Творческие мастер-классы и художественные студии</t>
        </is>
      </c>
      <c r="E417" s="26" t="inlineStr">
        <is>
          <t>Творческие мастер-классы и художественные студии</t>
        </is>
      </c>
      <c r="F417" s="26" t="inlineStr">
        <is>
          <t>Подопечные фонда «Дети Марии» (общая группа детей и подростков)</t>
        </is>
      </c>
      <c r="G417" s="26" t="inlineStr">
        <is>
          <t>ТВЕРСКАЯ 15</t>
        </is>
      </c>
      <c r="H417" s="26" t="inlineStr">
        <is>
          <t>Коммуникативные навыки, эмпатия и тьюторское сопровождение</t>
        </is>
      </c>
      <c r="I417" s="27" t="inlineStr">
        <is>
          <t>По формату занятия</t>
        </is>
      </c>
      <c r="J417" s="26" t="inlineStr">
        <is>
          <t>13 сентября — день очень важный для нашего фонда. Это день рождения Ильи Сегаловича — сооснователя Яндекс и мужа Марии Елисеевой. Илья объединял вокруг себя людей, даря радость и щедро делясь своим интеллектом, эрудицией и чувством юмора. Он вдохновлял и поддерживал благотворител...</t>
        </is>
      </c>
    </row>
    <row r="418" ht="30" customHeight="1">
      <c r="A418" s="28" t="n">
        <v>6187</v>
      </c>
      <c r="B418" s="29" t="inlineStr">
        <is>
          <t>2021-09-01</t>
        </is>
      </c>
      <c r="C418" s="30">
        <f>HYPERLINK("https://vk.com/wall-1825701_6187", "Открыть пост")</f>
        <v/>
      </c>
      <c r="D418" s="31" t="inlineStr">
        <is>
          <t>Творческие мастер-классы и художественные студии</t>
        </is>
      </c>
      <c r="E418" s="31" t="inlineStr">
        <is>
          <t>Творческие мастер-классы и художественные студии</t>
        </is>
      </c>
      <c r="F418" s="31" t="inlineStr">
        <is>
          <t>Подростки и взрослые с ментальными особенностями и ОВЗ (ПНИ / Социальные дома); Воспитанники ЦССВ, ДДИ и детских домов-интернатов</t>
        </is>
      </c>
      <c r="G418" s="31" t="inlineStr">
        <is>
          <t>Студия фонда / выездная площадка</t>
        </is>
      </c>
      <c r="H418"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t>
        </is>
      </c>
      <c r="I418" s="32" t="inlineStr">
        <is>
          <t>По формату занятия</t>
        </is>
      </c>
      <c r="J418" s="31" t="inlineStr">
        <is>
          <t>Осень в этом году строго по расписанию — с хмурым небом и дождиком. Но мы всё равно очень рады: ведь на Дмитровке и Новинском начинается новый учебный год, и планы у нас необъятные. Вот, что нас ждёт в сентябре: — будем рисовать — и валять (что? игрушки из шерсти!), — лепить крас...</t>
        </is>
      </c>
    </row>
    <row r="419" ht="30" customHeight="1">
      <c r="A419" s="23" t="n">
        <v>6184</v>
      </c>
      <c r="B419" s="24" t="inlineStr">
        <is>
          <t>2021-08-27</t>
        </is>
      </c>
      <c r="C419" s="25">
        <f>HYPERLINK("https://vk.com/wall-1825701_6184", "Открыть пост")</f>
        <v/>
      </c>
      <c r="D419" s="26" t="inlineStr">
        <is>
          <t>Творческие мастер-классы и художественные студии</t>
        </is>
      </c>
      <c r="E419" s="26" t="inlineStr">
        <is>
          <t>Творческие мастер-классы и художественные студии; Ярмарки, фестивали и благотворительные базары</t>
        </is>
      </c>
      <c r="F419" s="26" t="inlineStr">
        <is>
          <t>Подопечные фонда «Дети Марии» (общая группа детей и подростков)</t>
        </is>
      </c>
      <c r="G419" s="26" t="inlineStr">
        <is>
          <t>Студия фонда / выездная площадка</t>
        </is>
      </c>
      <c r="H419" s="26" t="inlineStr">
        <is>
          <t>Коммуникативные навыки, эмпатия и тьюторское сопровождение; Организационные, ивент- и ярмарочные навыки</t>
        </is>
      </c>
      <c r="I419" s="27" t="inlineStr">
        <is>
          <t>По формату занятия</t>
        </is>
      </c>
      <c r="J419" s="26" t="inlineStr">
        <is>
          <t>У нас радостные новости: мы приняли участие в благотворительном аукционе Meet For Charity. В пользу нашего фонда разыгрывалась встреча с Михаилом Ворониным — бизнесменом и основателем первого в России бизнес-форума «Атланты». ⚡• Встречу с Михаилом выиграли за 150 000 рублей. Эти ...</t>
        </is>
      </c>
    </row>
    <row r="420" ht="30" customHeight="1">
      <c r="A420" s="28" t="n">
        <v>6179</v>
      </c>
      <c r="B420" s="29" t="inlineStr">
        <is>
          <t>2021-06-28</t>
        </is>
      </c>
      <c r="C420" s="30">
        <f>HYPERLINK("https://vk.com/wall-1825701_6179", "Открыть пост")</f>
        <v/>
      </c>
      <c r="D420" s="31" t="inlineStr">
        <is>
          <t>Творческие мастер-классы и художественные студии</t>
        </is>
      </c>
      <c r="E420" s="31" t="inlineStr">
        <is>
          <t>Творческие мастер-классы и художественные студии</t>
        </is>
      </c>
      <c r="F420" s="31" t="inlineStr">
        <is>
          <t>Воспитанники ЦССВ, ДДИ и детских домов-интернатов</t>
        </is>
      </c>
      <c r="G420" s="31" t="inlineStr">
        <is>
          <t>ЦССВ №1, ЦССВ «Юнона»</t>
        </is>
      </c>
      <c r="H420"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t>
        </is>
      </c>
      <c r="I420" s="32" t="inlineStr">
        <is>
          <t>По формату занятия</t>
        </is>
      </c>
      <c r="J420" s="31" t="inlineStr">
        <is>
          <t>Ура! Каникулы! 🥳 Вот и завершились творческие мастер-классы для наших подопечных из ЦССВ №1, ЦССВ «Юнона», РЦСУ «Спутник». На завершающих занятиях преподаватели провели импровизированный праздник с весёлой музыкой, лимонадом и свежими ягодами и фруктами. Что ещё для счастья надо?...</t>
        </is>
      </c>
    </row>
    <row r="421" ht="30" customHeight="1">
      <c r="A421" s="23" t="n">
        <v>6177</v>
      </c>
      <c r="B421" s="24" t="inlineStr">
        <is>
          <t>2021-06-01</t>
        </is>
      </c>
      <c r="C421" s="25">
        <f>HYPERLINK("https://vk.com/wall-1825701_6177", "Открыть пост")</f>
        <v/>
      </c>
      <c r="D421" s="26" t="inlineStr">
        <is>
          <t>Выездные лагеря, дача и сезонные программы</t>
        </is>
      </c>
      <c r="E421" s="26" t="inlineStr">
        <is>
          <t>Выездные лагеря, дача и сезонные программы; Спортивные и активные мероприятия</t>
        </is>
      </c>
      <c r="F421" s="26" t="inlineStr">
        <is>
          <t>Подопечные фонда «Дети Марии» (общая группа детей и подростков)</t>
        </is>
      </c>
      <c r="G421" s="26" t="inlineStr">
        <is>
          <t>Студия фонда / выездная площадка</t>
        </is>
      </c>
      <c r="H421"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 Мобильность, выездное сопровождение и автоволонтёрство</t>
        </is>
      </c>
      <c r="I421" s="27" t="inlineStr">
        <is>
          <t>По формату занятия</t>
        </is>
      </c>
      <c r="J421" s="26" t="inlineStr">
        <is>
          <t>Лето! Ах, лето! 🏖 Для каждого ребёнка это особенное время года: каникулы, поездки в лагерь, на море, к бабушке в деревню. Можно кататься на велосипеде весь день и есть мороженое 🍨🍦 . Как здорово, что именно 1 июня связано с важным днём — Днём защиты детей. Это один из самых стары...</t>
        </is>
      </c>
    </row>
    <row r="422" ht="30" customHeight="1">
      <c r="A422" s="28" t="n">
        <v>6173</v>
      </c>
      <c r="B422" s="29" t="inlineStr">
        <is>
          <t>2021-05-02</t>
        </is>
      </c>
      <c r="C422" s="30">
        <f>HYPERLINK("https://vk.com/wall-1825701_6173", "Открыть пост")</f>
        <v/>
      </c>
      <c r="D422" s="31" t="inlineStr">
        <is>
          <t>Творческие мастер-классы и художественные студии</t>
        </is>
      </c>
      <c r="E422" s="31" t="inlineStr">
        <is>
          <t>Творческие мастер-классы и художественные студии; Кулинарные, образовательные и социально-бытовые занятия; Спектакли, концерты и музыкально-театральные занятия; Праздники, дни рождения и клубные встречи</t>
        </is>
      </c>
      <c r="F422" s="31" t="inlineStr">
        <is>
          <t>Выпускники интернатов и детских домов (молодые взрослые)</t>
        </is>
      </c>
      <c r="G422" s="31" t="inlineStr">
        <is>
          <t>Тверская 15, ТВЕРСКАЯ 15</t>
        </is>
      </c>
      <c r="H422"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 Мобильность, выездное сопровождение и автоволонтёрство; Медиа, фото/видеосъёмка и культурная медиация</t>
        </is>
      </c>
      <c r="I422" s="32" t="inlineStr">
        <is>
          <t>Да (в тексте)</t>
        </is>
      </c>
      <c r="J422" s="31" t="inlineStr">
        <is>
          <t>Не верится, что прошло уже 2 недели со дня рождения студии! А мы так и не рассказали вам про праздник 🙄 Дело в шляпе! Можно считать, что именно с этой фразы команда фонда начала активную подготовку ко дню рождения студии 😉 К сожалению, в 2020 году не было возможности всем собрать...</t>
        </is>
      </c>
    </row>
    <row r="423" ht="30" customHeight="1">
      <c r="A423" s="23" t="n">
        <v>6172</v>
      </c>
      <c r="B423" s="24" t="inlineStr">
        <is>
          <t>2021-04-18</t>
        </is>
      </c>
      <c r="C423" s="25">
        <f>HYPERLINK("https://vk.com/wall-1825701_6172", "Открыть пост")</f>
        <v/>
      </c>
      <c r="D423" s="26" t="inlineStr">
        <is>
          <t>Кулинарные, образовательные и социально-бытовые занятия</t>
        </is>
      </c>
      <c r="E423" s="26" t="inlineStr">
        <is>
          <t>Кулинарные, образовательные и социально-бытовые занятия</t>
        </is>
      </c>
      <c r="F423" s="26" t="inlineStr">
        <is>
          <t>Подопечные фонда «Дети Марии» (общая группа детей и подростков)</t>
        </is>
      </c>
      <c r="G423" s="26" t="inlineStr">
        <is>
          <t>Студия фонда / выездная площадка</t>
        </is>
      </c>
      <c r="H423" s="26" t="inlineStr">
        <is>
          <t>Артистические, музыкальные и спортивно-игровые навыки; Организационные, ивент- и ярмарочные навыки</t>
        </is>
      </c>
      <c r="I423" s="27" t="inlineStr">
        <is>
          <t>Да (в тексте)</t>
        </is>
      </c>
      <c r="J423" s="26" t="inlineStr">
        <is>
          <t>В Экоцентре «Собиратор» Собиратор прошёл экоурок для наших подопечных 🌿 Ребятам рассказали всё о переработке и сортировке вторсырья. Своими впечатлениями делятся сотрудники фонда Соня и Даша: «С нового года мы решили снова собирать доброкрышечки и начать сортировать вторсырьё. По...</t>
        </is>
      </c>
    </row>
    <row r="424" ht="30" customHeight="1">
      <c r="A424" s="28" t="n">
        <v>6169</v>
      </c>
      <c r="B424" s="29" t="inlineStr">
        <is>
          <t>2021-04-08</t>
        </is>
      </c>
      <c r="C424" s="30">
        <f>HYPERLINK("https://vk.com/wall-1825701_6169", "Открыть пост")</f>
        <v/>
      </c>
      <c r="D424" s="31" t="inlineStr">
        <is>
          <t>Выставки, экскурсии и культурные выходы</t>
        </is>
      </c>
      <c r="E424" s="31" t="inlineStr">
        <is>
          <t>Выставки, экскурсии и культурные выходы; Кулинарные, образовательные и социально-бытовые занятия; Творческие мастер-классы и художественные студии</t>
        </is>
      </c>
      <c r="F424" s="31" t="inlineStr">
        <is>
          <t>Подопечные фонда «Дети Марии» (общая группа детей и подростков)</t>
        </is>
      </c>
      <c r="G424" s="31" t="inlineStr">
        <is>
          <t>Студия фонда / выездная площадка</t>
        </is>
      </c>
      <c r="H424" s="31" t="inlineStr">
        <is>
          <t>Коммуникативные навыки, эмпатия и тьюторское сопровождение; Педагогические и наставнические навыки (кулинария, быт, учёба); Мобильность, выездное сопровождение и автоволонтёрство</t>
        </is>
      </c>
      <c r="I424" s="32" t="inlineStr">
        <is>
          <t>Да (в тексте)</t>
        </is>
      </c>
      <c r="J424" s="31" t="inlineStr">
        <is>
          <t>Что вдохновило нашего подопечного учить английский язык? Вы не поверите – малиновое тирамису 😉 В начале весны мы с ребятами ходили на очень вкусный мастер-класс к шеф-повару отеля "Арарат Парк Хаятт" Даниэлю Джаллуизи. Даниэле из Италии, поэтому делился с нами секретами приготовл...</t>
        </is>
      </c>
    </row>
    <row r="425" ht="30" customHeight="1">
      <c r="A425" s="23" t="n">
        <v>6155</v>
      </c>
      <c r="B425" s="24" t="inlineStr">
        <is>
          <t>2021-03-01</t>
        </is>
      </c>
      <c r="C425" s="25">
        <f>HYPERLINK("https://vk.com/wall-1825701_6155", "Открыть пост")</f>
        <v/>
      </c>
      <c r="D425" s="26" t="inlineStr">
        <is>
          <t>Кулинарные, образовательные и социально-бытовые занятия</t>
        </is>
      </c>
      <c r="E425" s="26" t="inlineStr">
        <is>
          <t>Кулинарные, образовательные и социально-бытовые занятия; Творческие мастер-классы и художественные студии</t>
        </is>
      </c>
      <c r="F425" s="26" t="inlineStr">
        <is>
          <t>Подопечные фонда «Дети Марии» (общая группа детей и подростков)</t>
        </is>
      </c>
      <c r="G425" s="26" t="inlineStr">
        <is>
          <t>Студия фонда / выездная площадка</t>
        </is>
      </c>
      <c r="H425" s="26" t="inlineStr">
        <is>
          <t>Художественно-прикладные и ремесленные навыки; Педагогические и наставнические навыки (кулинария, быт, учёба)</t>
        </is>
      </c>
      <c r="I425" s="27" t="inlineStr">
        <is>
          <t>По формату занятия</t>
        </is>
      </c>
      <c r="J425" s="26" t="inlineStr">
        <is>
          <t>В нашей студии кипит работа! Под руководством Алексея Шиловского - кулинарный мастер-класс в полном разгаре! Сегодня, Лёша с ребятами готовит капустные 🥬 стейки (о них мы вам расскажем чуть позже, а пока поделимся рецептом вареников с 🥔 картошкой, жареным луком и укропом. Для это...</t>
        </is>
      </c>
    </row>
    <row r="426" ht="30" customHeight="1">
      <c r="A426" s="28" t="n">
        <v>6154</v>
      </c>
      <c r="B426" s="29" t="inlineStr">
        <is>
          <t>2021-02-28</t>
        </is>
      </c>
      <c r="C426" s="30">
        <f>HYPERLINK("https://vk.com/wall-1825701_6154", "Открыть пост")</f>
        <v/>
      </c>
      <c r="D426" s="31" t="inlineStr">
        <is>
          <t>Волонтёрские встречи, обучение и дни открытых дверей</t>
        </is>
      </c>
      <c r="E426" s="31" t="inlineStr">
        <is>
          <t>Волонтёрские встречи, обучение и дни открытых дверей</t>
        </is>
      </c>
      <c r="F426" s="31" t="inlineStr">
        <is>
          <t>Подопечные фонда «Дети Марии» (общая группа детей и подростков)</t>
        </is>
      </c>
      <c r="G426" s="31" t="inlineStr">
        <is>
          <t>Студия фонда / выездная площадка</t>
        </is>
      </c>
      <c r="H426" s="31" t="inlineStr">
        <is>
          <t>Художественно-прикладные и ремесленные навыки; Организационные, ивент- и ярмарочные навыки</t>
        </is>
      </c>
      <c r="I426" s="32" t="inlineStr">
        <is>
          <t>По формату занятия</t>
        </is>
      </c>
      <c r="J426" s="31" t="inlineStr">
        <is>
          <t>Весна наступает зиме на пятки, природа оживает. Подходит время дачно-огородного сезона и посадки 🌳 деревьев! Это полезное мероприятие не только для природы (маленький вклад против глобального потепления), но и для нашего🍀 здоровья! День физического труда на свежем воздухе, для бо...</t>
        </is>
      </c>
    </row>
    <row r="427" ht="30" customHeight="1">
      <c r="A427" s="23" t="n">
        <v>6149</v>
      </c>
      <c r="B427" s="24" t="inlineStr">
        <is>
          <t>2021-02-25</t>
        </is>
      </c>
      <c r="C427" s="25">
        <f>HYPERLINK("https://vk.com/wall-1825701_6149", "Открыть пост")</f>
        <v/>
      </c>
      <c r="D427" s="26" t="inlineStr">
        <is>
          <t>Праздники, дни рождения и клубные встречи</t>
        </is>
      </c>
      <c r="E427" s="26" t="inlineStr">
        <is>
          <t>Праздники, дни рождения и клубные встречи; Кулинарные, образовательные и социально-бытовые занятия</t>
        </is>
      </c>
      <c r="F427" s="26" t="inlineStr">
        <is>
          <t>Подопечные фонда «Дети Марии» (общая группа детей и подростков)</t>
        </is>
      </c>
      <c r="G427" s="26" t="inlineStr">
        <is>
          <t>Студия фонда / выездная площадка</t>
        </is>
      </c>
      <c r="H427" s="26" t="inlineStr">
        <is>
          <t>Педагогические и наставнические навыки (кулинария, быт, учёба); Организационные, ивент- и ярмарочные навыки</t>
        </is>
      </c>
      <c r="I427" s="27" t="inlineStr">
        <is>
          <t>Да (в тексте)</t>
        </is>
      </c>
      <c r="J427" s="26" t="inlineStr">
        <is>
          <t>Сегодня, 25 февраля отмечается международный день 🥞 блина! Хотим поделиться с вами забавными фактами, связанными с этим вкусным 😋, золотистым лакомством! 🔹 Высота самой высокой стопки блинов - составила 82 см. Ее соорудили в честь празднования Масленицы сотрудники телеканала Food...</t>
        </is>
      </c>
    </row>
    <row r="428" ht="30" customHeight="1">
      <c r="A428" s="28" t="n">
        <v>6136</v>
      </c>
      <c r="B428" s="29" t="inlineStr">
        <is>
          <t>2021-02-18</t>
        </is>
      </c>
      <c r="C428" s="30">
        <f>HYPERLINK("https://vk.com/wall-1825701_6136", "Открыть пост")</f>
        <v/>
      </c>
      <c r="D428" s="31" t="inlineStr">
        <is>
          <t>Творческие мастер-классы и художественные студии</t>
        </is>
      </c>
      <c r="E428" s="31" t="inlineStr">
        <is>
          <t>Творческие мастер-классы и художественные студии; Кулинарные, образовательные и социально-бытовые занятия; Спектакли, концерты и музыкально-театральные занятия</t>
        </is>
      </c>
      <c r="F428" s="31" t="inlineStr">
        <is>
          <t>Подростки и взрослые с ментальными особенностями и ОВЗ (ПНИ / Социальные дома); Воспитанники ЦССВ, ДДИ и детских домов-интернатов</t>
        </is>
      </c>
      <c r="G428" s="31" t="inlineStr">
        <is>
          <t>Студия фонда / выездная площадка</t>
        </is>
      </c>
      <c r="H428"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t>
        </is>
      </c>
      <c r="I428" s="32" t="inlineStr">
        <is>
          <t>Да (в тексте)</t>
        </is>
      </c>
      <c r="J428" s="31" t="inlineStr">
        <is>
          <t>«Не было бы счастья, да несчастье помогло» Так начала рассказ о себе Екатерина Минсафина – создатель и руководитель благотворительного фонда "Во имя мира"! Наш фонд знаком с Катюшей давно: больше 10-ти лет она "случайно" приехала к нам в гости вместе со своей одногруппницей по ун...</t>
        </is>
      </c>
    </row>
    <row r="429" ht="30" customHeight="1">
      <c r="A429" s="23" t="n">
        <v>6135</v>
      </c>
      <c r="B429" s="24" t="inlineStr">
        <is>
          <t>2021-02-17</t>
        </is>
      </c>
      <c r="C429" s="25">
        <f>HYPERLINK("https://vk.com/wall-1825701_6135", "Открыть пост")</f>
        <v/>
      </c>
      <c r="D429" s="26" t="inlineStr">
        <is>
          <t>Кулинарные, образовательные и социально-бытовые занятия</t>
        </is>
      </c>
      <c r="E429" s="26" t="inlineStr">
        <is>
          <t>Кулинарные, образовательные и социально-бытовые занятия</t>
        </is>
      </c>
      <c r="F429" s="26" t="inlineStr">
        <is>
          <t>Выпускники интернатов и детских домов (молодые взрослые)</t>
        </is>
      </c>
      <c r="G429" s="26" t="inlineStr">
        <is>
          <t>Студия фонда / выездная площадка</t>
        </is>
      </c>
      <c r="H429" s="26" t="inlineStr">
        <is>
          <t>Коммуникативные навыки, эмпатия и тьюторское сопровождение; Педагогические и наставнические навыки (кулинария, быт, учёба)</t>
        </is>
      </c>
      <c r="I429" s="27" t="inlineStr">
        <is>
          <t>По формату занятия</t>
        </is>
      </c>
      <c r="J429" s="26" t="inlineStr">
        <is>
          <t>В прошедшую пятницу к нам в гости пришли две очаровательные 👭 девушки из Высшей Школы Экономики. Мария и Диля, создательницы проекта prosex_project, приехали в Фонд с лекцией для наших взрослых ребят и девчонок. Вот, что они рассказывают: "Фонд "Дети Марии" принял нас очень тепло...</t>
        </is>
      </c>
    </row>
    <row r="430" ht="30" customHeight="1">
      <c r="A430" s="28" t="n">
        <v>6115</v>
      </c>
      <c r="B430" s="29" t="inlineStr">
        <is>
          <t>2021-02-13</t>
        </is>
      </c>
      <c r="C430" s="30">
        <f>HYPERLINK("https://vk.com/wall-1825701_6115", "Открыть пост")</f>
        <v/>
      </c>
      <c r="D430" s="31" t="inlineStr">
        <is>
          <t>Творческие мастер-классы и художественные студии</t>
        </is>
      </c>
      <c r="E430" s="31" t="inlineStr">
        <is>
          <t>Творческие мастер-классы и художественные студии; Выставки, экскурсии и культурные выходы</t>
        </is>
      </c>
      <c r="F430" s="31" t="inlineStr">
        <is>
          <t>Широкая аудитория, гости и благотворители (открытые события)</t>
        </is>
      </c>
      <c r="G430" s="31" t="inlineStr">
        <is>
          <t>Студия фонда / выездная площадка</t>
        </is>
      </c>
      <c r="H430" s="31" t="inlineStr">
        <is>
          <t>Художественно-прикладные и ремесленные навыки; Артистические, музыкальные и спортивно-игровые навыки; Мобильность, выездное сопровождение и автоволонтёрство</t>
        </is>
      </c>
      <c r="I430" s="32" t="inlineStr">
        <is>
          <t>По формату занятия</t>
        </is>
      </c>
      <c r="J430" s="31" t="inlineStr">
        <is>
          <t>Самым, пожалуй, известным голландским живописцем является 🎨 Рембрандт Харменс ван Рейн. Его 🖼• картины занимают почётное место в самых престижных галереях и музеях мира, и ещё при жизни он прославился в качестве художника, в совершенстве владеющего умением играть со светом и теня...</t>
        </is>
      </c>
    </row>
    <row r="431" ht="30" customHeight="1">
      <c r="A431" s="23" t="n">
        <v>6083</v>
      </c>
      <c r="B431" s="24" t="inlineStr">
        <is>
          <t>2021-02-06</t>
        </is>
      </c>
      <c r="C431" s="25">
        <f>HYPERLINK("https://vk.com/wall-1825701_6083", "Открыть пост")</f>
        <v/>
      </c>
      <c r="D431" s="26" t="inlineStr">
        <is>
          <t>Выставки, экскурсии и культурные выходы</t>
        </is>
      </c>
      <c r="E431" s="26" t="inlineStr">
        <is>
          <t>Выставки, экскурсии и культурные выходы</t>
        </is>
      </c>
      <c r="F431" s="26" t="inlineStr">
        <is>
          <t>Широкая аудитория, гости и благотворители (открытые события)</t>
        </is>
      </c>
      <c r="G431" s="26" t="inlineStr">
        <is>
          <t>Студия фонда / выездная площадка</t>
        </is>
      </c>
      <c r="H431" s="26" t="inlineStr">
        <is>
          <t>Коммуникативные навыки, эмпатия и тьюторское сопровождение</t>
        </is>
      </c>
      <c r="I431" s="27" t="inlineStr">
        <is>
          <t>По формату занятия</t>
        </is>
      </c>
      <c r="J431" s="26" t="inlineStr">
        <is>
          <t>Сегодня мы поговорим о современном искусстве. На выставке в Майами продали работу за $120 тысяч, но один из посетителей ее съел... Такое бывает? Как оказалось, это обыкновенный банан 🍌 приклеенный к стене серым скотчем Его создал художник Маурицио Каттелан, известный и другими пр...</t>
        </is>
      </c>
    </row>
    <row r="432" ht="30" customHeight="1">
      <c r="A432" s="28" t="n">
        <v>6081</v>
      </c>
      <c r="B432" s="29" t="inlineStr">
        <is>
          <t>2021-02-05</t>
        </is>
      </c>
      <c r="C432" s="30">
        <f>HYPERLINK("https://vk.com/wall-1825701_6081", "Открыть пост")</f>
        <v/>
      </c>
      <c r="D432" s="31" t="inlineStr">
        <is>
          <t>Творческие мастер-классы и художественные студии</t>
        </is>
      </c>
      <c r="E432" s="31" t="inlineStr">
        <is>
          <t>Творческие мастер-классы и художественные студии</t>
        </is>
      </c>
      <c r="F432" s="31" t="inlineStr">
        <is>
          <t>Воспитанники ЦССВ, ДДИ и детских домов-интернатов</t>
        </is>
      </c>
      <c r="G432" s="31" t="inlineStr">
        <is>
          <t>ЦССВ «Юнона«, Тверская 15</t>
        </is>
      </c>
      <c r="H432" s="31" t="inlineStr">
        <is>
          <t>Художественно-прикладные и ремесленные навыки; Коммуникативные навыки, эмпатия и тьюторское сопровождение; Организационные, ивент- и ярмарочные навыки</t>
        </is>
      </c>
      <c r="I432" s="32" t="inlineStr">
        <is>
          <t>По формату занятия</t>
        </is>
      </c>
      <c r="J432" s="31" t="inlineStr">
        <is>
          <t>Ура! После длительного перерыва мы снова встретились с ребятами из ЦССВ "Юнона". В среду в дружественной организации "Тверская 15" прошли первые занятия после длительного перерыва. Даша Каменская вместе с Дашей придумывали и сделали персонажей в технике оригами, чтобы потом снять...</t>
        </is>
      </c>
    </row>
    <row r="433" ht="30" customHeight="1">
      <c r="A433" s="23" t="n">
        <v>6068</v>
      </c>
      <c r="B433" s="24" t="inlineStr">
        <is>
          <t>2021-02-01</t>
        </is>
      </c>
      <c r="C433" s="25">
        <f>HYPERLINK("https://vk.com/wall-1825701_6068", "Открыть пост")</f>
        <v/>
      </c>
      <c r="D433" s="26" t="inlineStr">
        <is>
          <t>Кулинарные, образовательные и социально-бытовые занятия</t>
        </is>
      </c>
      <c r="E433" s="26" t="inlineStr">
        <is>
          <t>Кулинарные, образовательные и социально-бытовые занятия; Творческие мастер-классы и художественные студии</t>
        </is>
      </c>
      <c r="F433" s="26" t="inlineStr">
        <is>
          <t>Выпускники интернатов и детских домов (молодые взрослые)</t>
        </is>
      </c>
      <c r="G433" s="26" t="inlineStr">
        <is>
          <t>Студия фонда / выездная площадка</t>
        </is>
      </c>
      <c r="H433" s="26" t="inlineStr">
        <is>
          <t>Художественно-прикладные и ремесленные навыки; Педагогические и наставнические навыки (кулинария, быт, учёба)</t>
        </is>
      </c>
      <c r="I433" s="27" t="inlineStr">
        <is>
          <t>Да (в тексте)</t>
        </is>
      </c>
      <c r="J433" s="26" t="inlineStr">
        <is>
          <t>По понедельникам в студии на Дмитровке особенно вкусно пахнет – кулинарный 🍽 мастер-класс у нас! Пока ребята готовят кое что вкусненькое с Алессандрой из 🇮🇹 Италии, мы поделимся с вами рецептом очень вкусных пельменей, которые лепили на прошлой неделе с Лёшей Шиловским выпускники...</t>
        </is>
      </c>
    </row>
    <row r="434" ht="30" customHeight="1">
      <c r="A434" s="28" t="n">
        <v>6057</v>
      </c>
      <c r="B434" s="29" t="inlineStr">
        <is>
          <t>2021-01-29</t>
        </is>
      </c>
      <c r="C434" s="30">
        <f>HYPERLINK("https://vk.com/wall-1825701_6057", "Открыть пост")</f>
        <v/>
      </c>
      <c r="D434" s="31" t="inlineStr">
        <is>
          <t>Спектакли, концерты и музыкально-театральные занятия</t>
        </is>
      </c>
      <c r="E434" s="31" t="inlineStr">
        <is>
          <t>Спектакли, концерты и музыкально-театральные занятия</t>
        </is>
      </c>
      <c r="F434" s="31" t="inlineStr">
        <is>
          <t>Подопечные фонда «Дети Марии» (общая группа детей и подростков)</t>
        </is>
      </c>
      <c r="G434" s="31" t="inlineStr">
        <is>
          <t>Студия фонда / выездная площадка</t>
        </is>
      </c>
      <c r="H434" s="31" t="inlineStr">
        <is>
          <t>Коммуникативные навыки, эмпатия и тьюторское сопровождение; Артистические, музыкальные и спортивно-игровые навыки</t>
        </is>
      </c>
      <c r="I434" s="32" t="inlineStr">
        <is>
          <t>По формату занятия</t>
        </is>
      </c>
      <c r="J434" s="31" t="inlineStr">
        <is>
          <t>С Семейным Театром "Колыбель" мы познакомились осенью того года, а уже актёры этого театра успели сыграть несколько спектаклей для наших подопечных! 😍 Спектакли невероятно добрые и душевные, трогательные, согревающие 🌞 теплотой. Мы верим, что в этом году обязательно ❤• встретимся...</t>
        </is>
      </c>
    </row>
    <row r="435" ht="30" customHeight="1">
      <c r="A435" s="23" t="n">
        <v>6056</v>
      </c>
      <c r="B435" s="24" t="inlineStr">
        <is>
          <t>2021-01-29</t>
        </is>
      </c>
      <c r="C435" s="25">
        <f>HYPERLINK("https://vk.com/wall-1825701_6056", "Открыть пост")</f>
        <v/>
      </c>
      <c r="D435" s="26" t="inlineStr">
        <is>
          <t>Творческие мастер-классы и художественные студии</t>
        </is>
      </c>
      <c r="E435" s="26" t="inlineStr">
        <is>
          <t>Творческие мастер-классы и художественные студии; Кулинарные, образовательные и социально-бытовые занятия</t>
        </is>
      </c>
      <c r="F435" s="26" t="inlineStr">
        <is>
          <t>Воспитанники ЦССВ, ДДИ и детских домов-интернатов</t>
        </is>
      </c>
      <c r="G435" s="26" t="inlineStr">
        <is>
          <t>Студия фонда / выездная площадка</t>
        </is>
      </c>
      <c r="H435" s="26" t="inlineStr">
        <is>
          <t>Художественно-прикладные и ремесленные навыки; Артистические, музыкальные и спортивно-игровые навыки; Педагогические и наставнические навыки (кулинария, быт, учёба)</t>
        </is>
      </c>
      <c r="I435" s="27" t="inlineStr">
        <is>
          <t>По формату занятия</t>
        </is>
      </c>
      <c r="J435" s="26" t="inlineStr">
        <is>
          <t>💥Четверги в нашем фонде особенно насыщенные! И кулинарный мастер-класс Лёши Шиловского 👨‍🍳 со вкуснейшими блинами, и валяние из шерсти с нашим любимым преподавателем Марией Ивановной 😍 . На киноклубе смотрели известный фильм Ричарда Кёртиса "Рок волна" 📽• . А ребята из РООИ "Раду...</t>
        </is>
      </c>
    </row>
    <row r="436" ht="30" customHeight="1">
      <c r="A436" s="28" t="n">
        <v>6053</v>
      </c>
      <c r="B436" s="29" t="inlineStr">
        <is>
          <t>2021-01-28</t>
        </is>
      </c>
      <c r="C436" s="30">
        <f>HYPERLINK("https://vk.com/wall-1825701_6053", "Открыть пост")</f>
        <v/>
      </c>
      <c r="D436" s="31" t="inlineStr">
        <is>
          <t>Кулинарные, образовательные и социально-бытовые занятия</t>
        </is>
      </c>
      <c r="E436" s="31" t="inlineStr">
        <is>
          <t>Кулинарные, образовательные и социально-бытовые занятия; Спектакли, концерты и музыкально-театральные занятия</t>
        </is>
      </c>
      <c r="F436" s="31" t="inlineStr">
        <is>
          <t>Подопечные фонда «Дети Марии» (общая группа детей и подростков)</t>
        </is>
      </c>
      <c r="G436" s="31" t="inlineStr">
        <is>
          <t>Студия фонда / выездная площадка</t>
        </is>
      </c>
      <c r="H436" s="31" t="inlineStr">
        <is>
          <t>Коммуникативные навыки, эмпатия и тьюторское сопровождение; Артистические, музыкальные и спортивно-игровые навыки</t>
        </is>
      </c>
      <c r="I436" s="32" t="inlineStr">
        <is>
          <t>По формату занятия</t>
        </is>
      </c>
      <c r="J436" s="31" t="inlineStr">
        <is>
          <t>Вам тоже хочется хорошей музыки и тепла в этот зимний пасмурный день? 😉 Тогда приглашаем к нам в гости — в нашу Студию, где даже в самые хмурые дни всегда душевно и весело ☀ Особенно сегодня, когда в "Киноклубе на Дмитровке" покажут музыкальный 🎶 фильм Ричарда Кёртиса - "Рок волн...</t>
        </is>
      </c>
    </row>
    <row r="437" ht="30" customHeight="1">
      <c r="A437" s="23" t="n">
        <v>6046</v>
      </c>
      <c r="B437" s="24" t="inlineStr">
        <is>
          <t>2021-01-25</t>
        </is>
      </c>
      <c r="C437" s="25">
        <f>HYPERLINK("https://vk.com/wall-1825701_6046", "Открыть пост")</f>
        <v/>
      </c>
      <c r="D437" s="26" t="inlineStr">
        <is>
          <t>Кулинарные, образовательные и социально-бытовые занятия</t>
        </is>
      </c>
      <c r="E437" s="26" t="inlineStr">
        <is>
          <t>Кулинарные, образовательные и социально-бытовые занятия; Творческие мастер-классы и художественные студии</t>
        </is>
      </c>
      <c r="F437" s="26" t="inlineStr">
        <is>
          <t>Подопечные фонда «Дети Марии» (общая группа детей и подростков)</t>
        </is>
      </c>
      <c r="G437" s="26" t="inlineStr">
        <is>
          <t>Студия фонда / выездная площадка</t>
        </is>
      </c>
      <c r="H437" s="26" t="inlineStr">
        <is>
          <t>Педагогические и наставнические навыки (кулинария, быт, учёба)</t>
        </is>
      </c>
      <c r="I437" s="27" t="inlineStr">
        <is>
          <t>Да (в тексте)</t>
        </is>
      </c>
      <c r="J437" s="26" t="inlineStr">
        <is>
          <t>Понедельник день тяжёлый? 💪 Только не у нас! В нашей студии кипит работа! Под руководством Алексея Шиловского проходит самый настоящий мужской кулинарный мастер-класс! Меню на сегодня такое: 🥟 Вареники с картошкой и жаренным луком. 🥟 Вареники с овощами и сыром 🥟 Пельмени с мясом ...</t>
        </is>
      </c>
    </row>
    <row r="438" ht="30" customHeight="1">
      <c r="A438" s="28" t="n">
        <v>6038</v>
      </c>
      <c r="B438" s="29" t="inlineStr">
        <is>
          <t>2021-01-23</t>
        </is>
      </c>
      <c r="C438" s="30">
        <f>HYPERLINK("https://vk.com/wall-1825701_6038", "Открыть пост")</f>
        <v/>
      </c>
      <c r="D438" s="31" t="inlineStr">
        <is>
          <t>Выставки, экскурсии и культурные выходы</t>
        </is>
      </c>
      <c r="E438" s="31" t="inlineStr">
        <is>
          <t>Выставки, экскурсии и культурные выходы</t>
        </is>
      </c>
      <c r="F438" s="31" t="inlineStr">
        <is>
          <t>Подопечные фонда «Дети Марии» (общая группа детей и подростков)</t>
        </is>
      </c>
      <c r="G438" s="31" t="inlineStr">
        <is>
          <t>Студия фонда / выездная площадка</t>
        </is>
      </c>
      <c r="H438" s="31" t="inlineStr">
        <is>
          <t>Коммуникативные навыки, эмпатия и тьюторское сопровождение; Артистические, музыкальные и спортивно-игровые навыки; Медиа, фото/видеосъёмка и культурная медиация</t>
        </is>
      </c>
      <c r="I438" s="32" t="inlineStr">
        <is>
          <t>По формату занятия</t>
        </is>
      </c>
      <c r="J438" s="31" t="inlineStr">
        <is>
          <t>☝Наверняка вы знаете этого знаменитого испанского художника, гения сюрреализма и дадаизма!? Мы в вас не сомневались!😉 Сальвадор Дали родился в Испании (11 мая 1904 года) в городе Фигерасе, провинция Жирона, в семье зажиточного нотариуса. Многогранный человек, эксцентричный и влюб...</t>
        </is>
      </c>
    </row>
    <row r="439" ht="30" customHeight="1">
      <c r="A439" s="23" t="n">
        <v>6036</v>
      </c>
      <c r="B439" s="24" t="inlineStr">
        <is>
          <t>2021-01-22</t>
        </is>
      </c>
      <c r="C439" s="25">
        <f>HYPERLINK("https://vk.com/wall-1825701_6036", "Открыть пост")</f>
        <v/>
      </c>
      <c r="D439" s="26" t="inlineStr">
        <is>
          <t>Творческие мастер-классы и художественные студии</t>
        </is>
      </c>
      <c r="E439" s="26" t="inlineStr">
        <is>
          <t>Творческие мастер-классы и художественные студии</t>
        </is>
      </c>
      <c r="F439" s="26" t="inlineStr">
        <is>
          <t>Воспитанники ЦССВ, ДДИ и детских домов-интернатов</t>
        </is>
      </c>
      <c r="G439" s="26" t="inlineStr">
        <is>
          <t>Студия фонда / выездная площадка</t>
        </is>
      </c>
      <c r="H439" s="26"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 Медиа, фото/видеосъёмка и культурная медиация</t>
        </is>
      </c>
      <c r="I439" s="27" t="inlineStr">
        <is>
          <t>Да (в тексте)</t>
        </is>
      </c>
      <c r="J439" s="26" t="inlineStr">
        <is>
          <t>В декабре ❄• волонтёры крупной компании провели для наших подопечных из ЦССВ 1 онлайн-чтения 📚 при поддержке консалтингового агентства You Social. 👶 Для младшей группы ведущая Антонина подобрала "Зимнюю сказку" - историю о маленьком бездомном 🐈 котёнке, который находит хозяйку. В...</t>
        </is>
      </c>
    </row>
    <row r="440" ht="30" customHeight="1">
      <c r="A440" s="28" t="n">
        <v>6035</v>
      </c>
      <c r="B440" s="29" t="inlineStr">
        <is>
          <t>2021-01-21</t>
        </is>
      </c>
      <c r="C440" s="30">
        <f>HYPERLINK("https://vk.com/wall-1825701_6035", "Открыть пост")</f>
        <v/>
      </c>
      <c r="D440" s="31" t="inlineStr">
        <is>
          <t>Кулинарные, образовательные и социально-бытовые занятия</t>
        </is>
      </c>
      <c r="E440" s="31" t="inlineStr">
        <is>
          <t>Кулинарные, образовательные и социально-бытовые занятия; Творческие мастер-классы и художественные студии</t>
        </is>
      </c>
      <c r="F440" s="31" t="inlineStr">
        <is>
          <t>Подопечные фонда «Дети Марии» (общая группа детей и подростков)</t>
        </is>
      </c>
      <c r="G440" s="31" t="inlineStr">
        <is>
          <t>Студия фонда / выездная площадка</t>
        </is>
      </c>
      <c r="H440" s="31" t="inlineStr">
        <is>
          <t>Коммуникативные навыки, эмпатия и тьюторское сопровождение</t>
        </is>
      </c>
      <c r="I440" s="32" t="inlineStr">
        <is>
          <t>По формату занятия</t>
        </is>
      </c>
      <c r="J440" s="31" t="inlineStr">
        <is>
          <t>Вам тоже хочется уюта и тепла в морозный снежный день? 🙆🏼‍♀❄ Тогда приглашаем к нам в гости — в нашу Студию, где даже в самые морозные дни всегда душевно и весело ☀ Особенно сегодня, когда в киноклубе 📽• на Дмитровке будем смотреть кукольный мультфильм от Уэса Андерсона - «Беспод...</t>
        </is>
      </c>
    </row>
    <row r="441" ht="30" customHeight="1">
      <c r="A441" s="23" t="n">
        <v>6028</v>
      </c>
      <c r="B441" s="24" t="inlineStr">
        <is>
          <t>2021-01-18</t>
        </is>
      </c>
      <c r="C441" s="25">
        <f>HYPERLINK("https://vk.com/wall-1825701_6028", "Открыть пост")</f>
        <v/>
      </c>
      <c r="D441" s="26" t="inlineStr">
        <is>
          <t>Кулинарные, образовательные и социально-бытовые занятия</t>
        </is>
      </c>
      <c r="E441" s="26" t="inlineStr">
        <is>
          <t>Кулинарные, образовательные и социально-бытовые занятия; Творческие мастер-классы и художественные студии</t>
        </is>
      </c>
      <c r="F441" s="26" t="inlineStr">
        <is>
          <t>Подопечные фонда «Дети Марии» (общая группа детей и подростков)</t>
        </is>
      </c>
      <c r="G441" s="26" t="inlineStr">
        <is>
          <t>Студия фонда / выездная площадка</t>
        </is>
      </c>
      <c r="H441" s="26" t="inlineStr">
        <is>
          <t>Педагогические и наставнические навыки (кулинария, быт, учёба)</t>
        </is>
      </c>
      <c r="I441" s="27" t="inlineStr">
        <is>
          <t>Да (в тексте)</t>
        </is>
      </c>
      <c r="J441" s="26" t="inlineStr">
        <is>
          <t>🇮🇹 Ciao! Сегодня на очереди итальянская 🍝 паста! Та-д-а-а-ам! В нашей студии на Дмитровке уже несколько раз проходил дистанционный кулинарный мастер-класс с волонтером из Италии Алессандрой! Научились по Zoom готовить традиционные итальянские блюда: брускетты с томатами 🥖, кар...</t>
        </is>
      </c>
    </row>
    <row r="442" ht="30" customHeight="1">
      <c r="A442" s="28" t="n">
        <v>6015</v>
      </c>
      <c r="B442" s="29" t="inlineStr">
        <is>
          <t>2021-01-15</t>
        </is>
      </c>
      <c r="C442" s="30">
        <f>HYPERLINK("https://vk.com/wall-1825701_6015", "Открыть пост")</f>
        <v/>
      </c>
      <c r="D442" s="31" t="inlineStr">
        <is>
          <t>Ярмарки, фестивали и благотворительные базары</t>
        </is>
      </c>
      <c r="E442" s="31" t="inlineStr">
        <is>
          <t>Ярмарки, фестивали и благотворительные базары</t>
        </is>
      </c>
      <c r="F442" s="31" t="inlineStr">
        <is>
          <t>Подопечные фонда «Дети Марии» (общая группа детей и подростков)</t>
        </is>
      </c>
      <c r="G442" s="31" t="inlineStr">
        <is>
          <t>Студия фонда / выездная площадка</t>
        </is>
      </c>
      <c r="H442" s="31" t="inlineStr">
        <is>
          <t>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t>
        </is>
      </c>
      <c r="I442" s="32" t="inlineStr">
        <is>
          <t>По формату занятия</t>
        </is>
      </c>
      <c r="J442" s="31" t="inlineStr">
        <is>
          <t>#ЩедрыйВторник2020 прошел, а приятные воспоминания и 🤗 счастливые лица обладателей наших новогодних игрушек, открыток, календарей, теплых варежек останутся в памяти надолго! Мы, от всей души, благодарим ♥• краудфандинговую платформу PLANETA.RU @planeta_ru за прекрасную ярмарку «П...</t>
        </is>
      </c>
    </row>
    <row r="443" ht="30" customHeight="1">
      <c r="A443" s="23" t="n">
        <v>6009</v>
      </c>
      <c r="B443" s="24" t="inlineStr">
        <is>
          <t>2021-01-12</t>
        </is>
      </c>
      <c r="C443" s="25">
        <f>HYPERLINK("https://vk.com/wall-1825701_6009", "Открыть пост")</f>
        <v/>
      </c>
      <c r="D443" s="26" t="inlineStr">
        <is>
          <t>Творческие мастер-классы и художественные студии</t>
        </is>
      </c>
      <c r="E443" s="26" t="inlineStr">
        <is>
          <t>Творческие мастер-классы и художественные студии</t>
        </is>
      </c>
      <c r="F443" s="26" t="inlineStr">
        <is>
          <t>Воспитанники ЦССВ, ДДИ и детских домов-интернатов; Широкая аудитория, гости и благотворители (открытые события)</t>
        </is>
      </c>
      <c r="G443" s="26" t="inlineStr">
        <is>
          <t>ТВЕРСКАЯ 15, тверская15</t>
        </is>
      </c>
      <c r="H443" s="26" t="inlineStr">
        <is>
          <t>Художественно-прикладные и ремесленные навыки; Коммуникативные навыки, эмпатия и тьюторское сопровождение</t>
        </is>
      </c>
      <c r="I443" s="27" t="inlineStr">
        <is>
          <t>Да (в тексте)</t>
        </is>
      </c>
      <c r="J443" s="26" t="inlineStr">
        <is>
          <t>🎨 Волонтеры-художники, отзовитесь! Вы нужны нам, как воздух! В эту пятницу 15 ЯНВАРЯ, мы продолжаем роспись настенных панелей!🚀 Жаль, конечно, что из-за пандемии многие детские дома и интернаты закрыты на карантин и расписывать стены там пока нельзя. Но несмотря на это, наш проек...</t>
        </is>
      </c>
    </row>
    <row r="444" ht="30" customHeight="1">
      <c r="A444" s="28" t="n">
        <v>6008</v>
      </c>
      <c r="B444" s="29" t="inlineStr">
        <is>
          <t>2021-01-11</t>
        </is>
      </c>
      <c r="C444" s="30">
        <f>HYPERLINK("https://vk.com/wall-1825701_6008", "Открыть пост")</f>
        <v/>
      </c>
      <c r="D444" s="31" t="inlineStr">
        <is>
          <t>Выставки, экскурсии и культурные выходы</t>
        </is>
      </c>
      <c r="E444" s="31" t="inlineStr">
        <is>
          <t>Выставки, экскурсии и культурные выходы; Праздники, дни рождения и клубные встречи</t>
        </is>
      </c>
      <c r="F444" s="31" t="inlineStr">
        <is>
          <t>Подопечные фонда «Дети Марии» (общая группа детей и подростков)</t>
        </is>
      </c>
      <c r="G444" s="31" t="inlineStr">
        <is>
          <t>Студия фонда / выездная площадка</t>
        </is>
      </c>
      <c r="H444" s="31" t="inlineStr">
        <is>
          <t>Организационные, ивент- и ярмарочные навыки</t>
        </is>
      </c>
      <c r="I444" s="32" t="inlineStr">
        <is>
          <t>По формату занятия</t>
        </is>
      </c>
      <c r="J444" s="31" t="inlineStr">
        <is>
          <t>Дорогие друзья! Мы вернулись после больших новогодних праздников!😊 В офисе работа кипит, творческий процесс полным ходом 🤯 обсуждаем задачи на ближайшее время. Мы готовы к новым интересным приключениям! ❗Кстати, напоминаем, что до 15 января вы можете посетить нашу ежегодную онлай...</t>
        </is>
      </c>
    </row>
    <row r="445" ht="30" customHeight="1">
      <c r="A445" s="23" t="n">
        <v>6007</v>
      </c>
      <c r="B445" s="24" t="inlineStr">
        <is>
          <t>2020-12-31</t>
        </is>
      </c>
      <c r="C445" s="25">
        <f>HYPERLINK("https://vk.com/wall-1825701_6007", "Открыть пост")</f>
        <v/>
      </c>
      <c r="D445" s="26" t="inlineStr">
        <is>
          <t>Выездные лагеря, дача и сезонные программы</t>
        </is>
      </c>
      <c r="E445" s="26" t="inlineStr">
        <is>
          <t>Выездные лагеря, дача и сезонные программы; Творческие мастер-классы и художественные студии</t>
        </is>
      </c>
      <c r="F445" s="26" t="inlineStr">
        <is>
          <t>Подростки и взрослые с ментальными особенностями и ОВЗ (ПНИ / Социальные дома); Воспитанники ЦССВ, ДДИ и детских домов-интернатов; Выпускники интернатов и детских домов (молодые взрослые); Дети и семьи (в т.ч. приёмные семьи и программа в Беслане)</t>
        </is>
      </c>
      <c r="G445" s="26" t="inlineStr">
        <is>
          <t>Беслан</t>
        </is>
      </c>
      <c r="H445" s="26" t="inlineStr">
        <is>
          <t>Художественно-прикладные и ремесленные навыки; Коммуникативные навыки, эмпатия и тьюторское сопровождение; Мобильность, выездное сопровождение и автоволонтёрство</t>
        </is>
      </c>
      <c r="I445" s="27" t="inlineStr">
        <is>
          <t>По формату занятия</t>
        </is>
      </c>
      <c r="J445" s="26" t="inlineStr">
        <is>
          <t>31 декабря зажигаются свечи и огни. Наступает пора волшебства. В эту чудесную зимнюю ночь желаем вам и вашим близким здоровья и счастья, добрых поступков и приятных открытий. Пусть этот год станет особенно счастливым и незабываемым✨ Спасибо за поддержку, участие в жизни наших под...</t>
        </is>
      </c>
    </row>
    <row r="446" ht="30" customHeight="1">
      <c r="A446" s="28" t="n">
        <v>6005</v>
      </c>
      <c r="B446" s="29" t="inlineStr">
        <is>
          <t>2020-12-29</t>
        </is>
      </c>
      <c r="C446" s="30">
        <f>HYPERLINK("https://vk.com/wall-1825701_6005", "Открыть пост")</f>
        <v/>
      </c>
      <c r="D446" s="31" t="inlineStr">
        <is>
          <t>Творческие мастер-классы и художественные студии</t>
        </is>
      </c>
      <c r="E446" s="31" t="inlineStr">
        <is>
          <t>Творческие мастер-классы и художественные студии</t>
        </is>
      </c>
      <c r="F446" s="31" t="inlineStr">
        <is>
          <t>Подопечные фонда «Дети Марии» (общая группа детей и подростков)</t>
        </is>
      </c>
      <c r="G446" s="31" t="inlineStr">
        <is>
          <t>Студия фонда / выездная площадка</t>
        </is>
      </c>
      <c r="H446"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t>
        </is>
      </c>
      <c r="I446" s="32" t="inlineStr">
        <is>
          <t>По формату занятия</t>
        </is>
      </c>
      <c r="J446" s="31" t="inlineStr">
        <is>
          <t>Рождественская картина завершена, а глиняные игрушки раскрашены. Программа ежедневных творческих занятий в 2020 году подходит к концу. Последнее в этом году занятие прошло и в Русской Монтессори Школе им. Святого Георгия. Благодарим ребят за фантазию и упорство, а преподавателей ...</t>
        </is>
      </c>
    </row>
    <row r="447" ht="30" customHeight="1">
      <c r="A447" s="23" t="n">
        <v>5985</v>
      </c>
      <c r="B447" s="24" t="inlineStr">
        <is>
          <t>2020-12-19</t>
        </is>
      </c>
      <c r="C447" s="25">
        <f>HYPERLINK("https://vk.com/wall-1825701_5985", "Открыть пост")</f>
        <v/>
      </c>
      <c r="D447" s="26" t="inlineStr">
        <is>
          <t>Выездные лагеря, дача и сезонные программы</t>
        </is>
      </c>
      <c r="E447" s="26" t="inlineStr">
        <is>
          <t>Выездные лагеря, дача и сезонные программы</t>
        </is>
      </c>
      <c r="F447" s="26" t="inlineStr">
        <is>
          <t>Подростки и взрослые с ментальными особенностями и ОВЗ (ПНИ / Социальные дома); Воспитанники ЦССВ, ДДИ и детских домов-интернатов</t>
        </is>
      </c>
      <c r="G447" s="26" t="inlineStr">
        <is>
          <t>Студия фонда / выездная площадка</t>
        </is>
      </c>
      <c r="H447" s="26" t="inlineStr">
        <is>
          <t>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t>
        </is>
      </c>
      <c r="I447" s="27" t="inlineStr">
        <is>
          <t>Да (в тексте)</t>
        </is>
      </c>
      <c r="J447" s="26" t="inlineStr">
        <is>
          <t>Как поётся в песне у Паперного: «Мы любим танцы, танцы, танцы! Ча-ча-ча, ча-ча-ча, ча-ча-ча» 👯 💃🏻🕺🏻Учим танцы с волонтером Ханной — и современные, и классические. Ребята из Филимонковского детского дома уже умеют и хип-хоп, и вальс. Учатся очень быстро, буквально схватывают на ле...</t>
        </is>
      </c>
    </row>
    <row r="448" ht="30" customHeight="1">
      <c r="A448" s="28" t="n">
        <v>5983</v>
      </c>
      <c r="B448" s="29" t="inlineStr">
        <is>
          <t>2020-12-16</t>
        </is>
      </c>
      <c r="C448" s="30">
        <f>HYPERLINK("https://vk.com/wall-1825701_5983", "Открыть пост")</f>
        <v/>
      </c>
      <c r="D448" s="31" t="inlineStr">
        <is>
          <t>Кулинарные, образовательные и социально-бытовые занятия</t>
        </is>
      </c>
      <c r="E448" s="31" t="inlineStr">
        <is>
          <t>Кулинарные, образовательные и социально-бытовые занятия</t>
        </is>
      </c>
      <c r="F448" s="31" t="inlineStr">
        <is>
          <t>Подопечные фонда «Дети Марии» (общая группа детей и подростков)</t>
        </is>
      </c>
      <c r="G448" s="31" t="inlineStr">
        <is>
          <t>Студия фонда / выездная площадка</t>
        </is>
      </c>
      <c r="H448" s="31" t="inlineStr">
        <is>
          <t>Педагогические и наставнические навыки (кулинария, быт, учёба)</t>
        </is>
      </c>
      <c r="I448" s="32" t="inlineStr">
        <is>
          <t>По формату занятия</t>
        </is>
      </c>
      <c r="J448" s="31" t="inlineStr">
        <is>
          <t>👨🏻‍🍳 Как прекрасно, когда готовят мужчины! Лёша и Игорь сделали на всех пирожные «Картошка». Очень просто и вкусно! Алексей поделился рецептом для большой компании. Вам понадобятся: 🧇 Вафельная крошка (1,5 кг) 🍯 Сгущенка (2 банки) 🧈 Сливочное масло (2 пачки) 🍫 Какао-порошок (0,5 ...</t>
        </is>
      </c>
    </row>
    <row r="449" ht="30" customHeight="1">
      <c r="A449" s="23" t="n">
        <v>5982</v>
      </c>
      <c r="B449" s="24" t="inlineStr">
        <is>
          <t>2020-12-15</t>
        </is>
      </c>
      <c r="C449" s="25">
        <f>HYPERLINK("https://vk.com/wall-1825701_5982", "Открыть пост")</f>
        <v/>
      </c>
      <c r="D449" s="26" t="inlineStr">
        <is>
          <t>Выставки, экскурсии и культурные выходы</t>
        </is>
      </c>
      <c r="E449" s="26" t="inlineStr">
        <is>
          <t>Выставки, экскурсии и культурные выходы; Творческие мастер-классы и художественные студии</t>
        </is>
      </c>
      <c r="F449" s="26" t="inlineStr">
        <is>
          <t>Подростки и взрослые с ментальными особенностями и ОВЗ (ПНИ / Социальные дома); Воспитанники ЦССВ, ДДИ и детских домов-интернатов; Выпускники интернатов и детских домов (молодые взрослые)</t>
        </is>
      </c>
      <c r="G449" s="26" t="inlineStr">
        <is>
          <t>ТВЕРСКАЯ 15</t>
        </is>
      </c>
      <c r="H449" s="26" t="inlineStr">
        <is>
          <t>Художественно-прикладные и ремесленные навыки; Коммуникативные навыки, эмпатия и тьюторское сопровождение</t>
        </is>
      </c>
      <c r="I449" s="27" t="inlineStr">
        <is>
          <t>По формату занятия</t>
        </is>
      </c>
      <c r="J449" s="26" t="inlineStr">
        <is>
          <t>Дорогие друзья! Сегодня состоится открытие Ежегодной художественной выставки Благотворительного фонда «Дети Марии» Инклюзивный культурный центр «ТВЕРСКАЯ 15». Выставка впервые пройдёт онлайн — круглосуточно, бесплатно и на радость всем! 📌 Ссылка на выставку: http://mariaschi...</t>
        </is>
      </c>
    </row>
    <row r="450" ht="30" customHeight="1">
      <c r="A450" s="28" t="n">
        <v>5979</v>
      </c>
      <c r="B450" s="29" t="inlineStr">
        <is>
          <t>2020-12-14</t>
        </is>
      </c>
      <c r="C450" s="30">
        <f>HYPERLINK("https://vk.com/wall-1825701_5979", "Открыть пост")</f>
        <v/>
      </c>
      <c r="D450" s="31" t="inlineStr">
        <is>
          <t>Творческие мастер-классы и художественные студии</t>
        </is>
      </c>
      <c r="E450" s="31" t="inlineStr">
        <is>
          <t>Творческие мастер-классы и художественные студии</t>
        </is>
      </c>
      <c r="F450" s="31" t="inlineStr">
        <is>
          <t>Широкая аудитория, гости и благотворители (открытые события)</t>
        </is>
      </c>
      <c r="G450" s="31" t="inlineStr">
        <is>
          <t>ТВЕРСКАЯ 15</t>
        </is>
      </c>
      <c r="H450" s="31" t="inlineStr">
        <is>
          <t>Художественно-прикладные и ремесленные навыки; Коммуникативные навыки, эмпатия и тьюторское сопровождение</t>
        </is>
      </c>
      <c r="I450" s="32" t="inlineStr">
        <is>
          <t>По формату занятия</t>
        </is>
      </c>
      <c r="J450" s="31" t="inlineStr">
        <is>
          <t>У вас же был список планов на 2020 год? 📝 Если среди целей были — пробовать что-то новое, научиться рисовать и устраивать себе отдых, но дистанционка и работа не оставили шанса — не грустите. Всё еще можно успеть! До нового года осталось 18 дней. Найдите время и приходите к нам н...</t>
        </is>
      </c>
    </row>
    <row r="451" ht="30" customHeight="1">
      <c r="A451" s="23" t="n">
        <v>5977</v>
      </c>
      <c r="B451" s="24" t="inlineStr">
        <is>
          <t>2020-12-14</t>
        </is>
      </c>
      <c r="C451" s="25">
        <f>HYPERLINK("https://vk.com/wall-1825701_5977", "Открыть пост")</f>
        <v/>
      </c>
      <c r="D451" s="26" t="inlineStr">
        <is>
          <t>Выставки, экскурсии и культурные выходы</t>
        </is>
      </c>
      <c r="E451" s="26" t="inlineStr">
        <is>
          <t>Выставки, экскурсии и культурные выходы; Творческие мастер-классы и художественные студии</t>
        </is>
      </c>
      <c r="F451" s="26" t="inlineStr">
        <is>
          <t>Подопечные фонда «Дети Марии» (общая группа детей и подростков)</t>
        </is>
      </c>
      <c r="G451" s="26" t="inlineStr">
        <is>
          <t>Студия фонда / выездная площадка</t>
        </is>
      </c>
      <c r="H451" s="26" t="inlineStr">
        <is>
          <t>Организационные, ивент- и ярмарочные навыки; Мобильность, выездное сопровождение и автоволонтёрство</t>
        </is>
      </c>
      <c r="I451" s="27" t="inlineStr">
        <is>
          <t>Да (в тексте)</t>
        </is>
      </c>
      <c r="J451" s="26" t="inlineStr">
        <is>
          <t>Для занятий в студии часто приходится заказывать товары, которые привозят в большом количестве упаковки. Что же с ней делать? 🤔🤭 ♻• Наши коллеги Даша и Соня решили не выбрасывать картонные коробки, бумагу и плёнку, а собрали их и отправились в Экоцентр Собиратора. Собиратор — это...</t>
        </is>
      </c>
    </row>
    <row r="452" ht="30" customHeight="1">
      <c r="A452" s="28" t="n">
        <v>5976</v>
      </c>
      <c r="B452" s="29" t="inlineStr">
        <is>
          <t>2020-12-11</t>
        </is>
      </c>
      <c r="C452" s="30">
        <f>HYPERLINK("https://vk.com/wall-1825701_5976", "Открыть пост")</f>
        <v/>
      </c>
      <c r="D452" s="31" t="inlineStr">
        <is>
          <t>Творческие мастер-классы и художественные студии</t>
        </is>
      </c>
      <c r="E452" s="31" t="inlineStr">
        <is>
          <t>Творческие мастер-классы и художественные студии</t>
        </is>
      </c>
      <c r="F452" s="31" t="inlineStr">
        <is>
          <t>Подростки и взрослые с ментальными особенностями и ОВЗ (ПНИ / Социальные дома)</t>
        </is>
      </c>
      <c r="G452" s="31" t="inlineStr">
        <is>
          <t>ПНИ № 30</t>
        </is>
      </c>
      <c r="H452" s="31"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t>
        </is>
      </c>
      <c r="I452" s="32" t="inlineStr">
        <is>
          <t>По формату занятия</t>
        </is>
      </c>
      <c r="J452" s="31" t="inlineStr">
        <is>
          <t>У нас прекрасная новость! Мы начали сотрудничать с новым ПНИ № 30. Преподаватели Анна и Вера ездили к ребятам знакомиться. Яркие жуки с геометрическими орнаментами — вот первый результат совместного творчества. Два раза в неделю ребята занимаются с преподавателями по Zoom. Учатся...</t>
        </is>
      </c>
    </row>
    <row r="453" ht="30" customHeight="1">
      <c r="A453" s="23" t="n">
        <v>5975</v>
      </c>
      <c r="B453" s="24" t="inlineStr">
        <is>
          <t>2020-12-10</t>
        </is>
      </c>
      <c r="C453" s="25">
        <f>HYPERLINK("https://vk.com/wall-1825701_5975", "Открыть пост")</f>
        <v/>
      </c>
      <c r="D453" s="26" t="inlineStr">
        <is>
          <t>Творческие мастер-классы и художественные студии</t>
        </is>
      </c>
      <c r="E453" s="26" t="inlineStr">
        <is>
          <t>Творческие мастер-классы и художественные студии; Выездные лагеря, дача и сезонные программы; Ярмарки, фестивали и благотворительные базары; Выставки, экскурсии и культурные выходы; Спортивные и активные мероприятия</t>
        </is>
      </c>
      <c r="F453" s="26" t="inlineStr">
        <is>
          <t>Подопечные фонда «Дети Марии» (общая группа детей и подростков)</t>
        </is>
      </c>
      <c r="G453" s="26" t="inlineStr">
        <is>
          <t>Студия фонда / выездная площадка</t>
        </is>
      </c>
      <c r="H453"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Мобильность, выездное сопровождение и автоволонтёрство; Медиа, фото/видеосъёмка и культурная медиация</t>
        </is>
      </c>
      <c r="I453" s="27" t="inlineStr">
        <is>
          <t>По формату занятия</t>
        </is>
      </c>
      <c r="J453" s="26" t="inlineStr">
        <is>
          <t>Вы верите в то, что детские мечты могут сбыться? Мы расскажем вам историю о том, как мечта одного мальчика воплотилась в жизнь ✨ 17 лет назад в студию «Дети Марии» приехала группа ребят из лагеря для чеченских беженцев в Ингушетии. Одного из них звали Амир — на фото он в розовой ...</t>
        </is>
      </c>
    </row>
    <row r="454" ht="30" customHeight="1">
      <c r="A454" s="28" t="n">
        <v>5970</v>
      </c>
      <c r="B454" s="29" t="inlineStr">
        <is>
          <t>2020-12-04</t>
        </is>
      </c>
      <c r="C454" s="30">
        <f>HYPERLINK("https://vk.com/wall-1825701_5970", "Открыть пост")</f>
        <v/>
      </c>
      <c r="D454" s="31" t="inlineStr">
        <is>
          <t>Ярмарки, фестивали и благотворительные базары</t>
        </is>
      </c>
      <c r="E454" s="31" t="inlineStr">
        <is>
          <t>Ярмарки, фестивали и благотворительные базары; Творческие мастер-классы и художественные студии</t>
        </is>
      </c>
      <c r="F454" s="31" t="inlineStr">
        <is>
          <t>Подростки и взрослые с ментальными особенностями и ОВЗ (ПНИ / Социальные дома); Воспитанники ЦССВ, ДДИ и детских домов-интернатов; Выпускники интернатов и детских домов (молодые взрослые)</t>
        </is>
      </c>
      <c r="G454" s="31" t="inlineStr">
        <is>
          <t>Студия фонда / выездная площадка</t>
        </is>
      </c>
      <c r="H454"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t>
        </is>
      </c>
      <c r="I454" s="32" t="inlineStr">
        <is>
          <t>Да (в тексте)</t>
        </is>
      </c>
      <c r="J454" s="31" t="inlineStr">
        <is>
          <t>🎁 Атмосфера добра и праздника, подарки и поддержка — всё это на Новогодней благотворительной онлайн-ярмарке на Planeta.ru! До 7 января 2021 года вы можете выбрать подарки, сделанные подопечными и волонтерами благотворительных фондов. ✨БФ «Дети Марии» — в числе участников: https:/...</t>
        </is>
      </c>
    </row>
    <row r="455" ht="30" customHeight="1">
      <c r="A455" s="23" t="n">
        <v>5967</v>
      </c>
      <c r="B455" s="24" t="inlineStr">
        <is>
          <t>2020-12-02</t>
        </is>
      </c>
      <c r="C455" s="25">
        <f>HYPERLINK("https://vk.com/wall-1825701_5967", "Открыть пост")</f>
        <v/>
      </c>
      <c r="D455" s="26" t="inlineStr">
        <is>
          <t>Творческие мастер-классы и художественные студии</t>
        </is>
      </c>
      <c r="E455" s="26" t="inlineStr">
        <is>
          <t>Творческие мастер-классы и художественные студии</t>
        </is>
      </c>
      <c r="F455" s="26" t="inlineStr">
        <is>
          <t>Подопечные фонда «Дети Марии» (общая группа детей и подростков)</t>
        </is>
      </c>
      <c r="G455" s="26" t="inlineStr">
        <is>
          <t>Студия фонда / выездная площадка</t>
        </is>
      </c>
      <c r="H455" s="26"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t>
        </is>
      </c>
      <c r="I455" s="27" t="inlineStr">
        <is>
          <t>По формату занятия</t>
        </is>
      </c>
      <c r="J455" s="26" t="inlineStr">
        <is>
          <t>🤔 Это важно — заниматься творчеством? Мы считаем, что да! Творчество помогает переключиться с учебы или работы, отвлечься от тревог. Поэтому, когда студия на Новинском закрылась, мы постарались дать возможность всем, кто приходил к нам, продолжить творческие занятия. Преподавател...</t>
        </is>
      </c>
    </row>
    <row r="456" ht="30" customHeight="1">
      <c r="A456" s="28" t="n">
        <v>5958</v>
      </c>
      <c r="B456" s="29" t="inlineStr">
        <is>
          <t>2020-11-24</t>
        </is>
      </c>
      <c r="C456" s="30">
        <f>HYPERLINK("https://vk.com/wall-1825701_5958", "Открыть пост")</f>
        <v/>
      </c>
      <c r="D456" s="31" t="inlineStr">
        <is>
          <t>Кулинарные, образовательные и социально-бытовые занятия</t>
        </is>
      </c>
      <c r="E456" s="31" t="inlineStr">
        <is>
          <t>Кулинарные, образовательные и социально-бытовые занятия; Творческие мастер-классы и художественные студии</t>
        </is>
      </c>
      <c r="F456" s="31" t="inlineStr">
        <is>
          <t>Подопечные фонда «Дети Марии» (общая группа детей и подростков)</t>
        </is>
      </c>
      <c r="G456" s="31" t="inlineStr">
        <is>
          <t>Студия фонда / выездная площадка</t>
        </is>
      </c>
      <c r="H456" s="31" t="inlineStr">
        <is>
          <t>Педагогические и наставнические навыки (кулинария, быт, учёба)</t>
        </is>
      </c>
      <c r="I456" s="32" t="inlineStr">
        <is>
          <t>Да (в тексте)</t>
        </is>
      </c>
      <c r="J456" s="31" t="inlineStr">
        <is>
          <t>🇮🇹 Бонжорно! А у нас на Дмитровке прошел кулинарный мастер-класс с итальянским волонтером Алессандрой. Готовили фаршированные помидоры и поняли, что просто не можем скрывать от мира этот гениальный рецепт, поэтому делимся с вами 👨🏻‍🍳 Вам понадобятся: 🍅 Помидоры (10-12 штук) 🧀 Тёр...</t>
        </is>
      </c>
    </row>
    <row r="457" ht="30" customHeight="1">
      <c r="A457" s="23" t="n">
        <v>5956</v>
      </c>
      <c r="B457" s="24" t="inlineStr">
        <is>
          <t>2020-11-23</t>
        </is>
      </c>
      <c r="C457" s="25">
        <f>HYPERLINK("https://vk.com/wall-1825701_5956", "Открыть пост")</f>
        <v/>
      </c>
      <c r="D457" s="26" t="inlineStr">
        <is>
          <t>Творческие мастер-классы и художественные студии</t>
        </is>
      </c>
      <c r="E457" s="26" t="inlineStr">
        <is>
          <t>Творческие мастер-классы и художественные студии</t>
        </is>
      </c>
      <c r="F457" s="26" t="inlineStr">
        <is>
          <t>Подопечные фонда «Дети Марии» (общая группа детей и подростков)</t>
        </is>
      </c>
      <c r="G457" s="26" t="inlineStr">
        <is>
          <t>Студия фонда / выездная площадка</t>
        </is>
      </c>
      <c r="H457" s="26" t="inlineStr">
        <is>
          <t>Коммуникативные навыки, эмпатия и тьюторское сопровождение; Педагогические и наставнические навыки (кулинария, быт, учёба); Мобильность, выездное сопровождение и автоволонтёрство</t>
        </is>
      </c>
      <c r="I457" s="27" t="inlineStr">
        <is>
          <t>По формату занятия</t>
        </is>
      </c>
      <c r="J457" s="26" t="inlineStr">
        <is>
          <t>📚 Индивидуальные занятия на Дмитровке. Об одной из учениц рассказывает преподаватель Ясин Омар: 💬 Она — очень трудолюбивая! Сейчас готовится к сдаче экзаменов по географии и информатике, регулярно приходит на занятия в студию, решает пробные варианты. И с каждым разом её балл все...</t>
        </is>
      </c>
    </row>
    <row r="458" ht="30" customHeight="1">
      <c r="A458" s="28" t="n">
        <v>5954</v>
      </c>
      <c r="B458" s="29" t="inlineStr">
        <is>
          <t>2020-11-22</t>
        </is>
      </c>
      <c r="C458" s="30">
        <f>HYPERLINK("https://vk.com/wall-1825701_5954", "Открыть пост")</f>
        <v/>
      </c>
      <c r="D458" s="31" t="inlineStr">
        <is>
          <t>Выездные лагеря, дача и сезонные программы</t>
        </is>
      </c>
      <c r="E458" s="31" t="inlineStr">
        <is>
          <t>Выездные лагеря, дача и сезонные программы</t>
        </is>
      </c>
      <c r="F458" s="31" t="inlineStr">
        <is>
          <t>Воспитанники ЦССВ, ДДИ и детских домов-интернатов</t>
        </is>
      </c>
      <c r="G458" s="31" t="inlineStr">
        <is>
          <t>Студия фонда / выездная площадка</t>
        </is>
      </c>
      <c r="H458" s="31" t="inlineStr">
        <is>
          <t>Коммуникативные навыки, эмпатия и тьюторское сопровождение</t>
        </is>
      </c>
      <c r="I458" s="32" t="inlineStr">
        <is>
          <t>По формату занятия</t>
        </is>
      </c>
      <c r="J458" s="31" t="inlineStr">
        <is>
          <t>Идея зародилась давно, тихо жила в студии на Дмитровке рядом с коробкой «Добрых крышечек», бывала в гостях в Учме — пряталась рядом с контейнерами для раздельного сбора мусора во время летней программы, а сейчас, наконец, проросла 🌱 Мы решили делиться с вами интересными фактами и...</t>
        </is>
      </c>
    </row>
    <row r="459" ht="30" customHeight="1">
      <c r="A459" s="23" t="n">
        <v>5952</v>
      </c>
      <c r="B459" s="24" t="inlineStr">
        <is>
          <t>2020-11-20</t>
        </is>
      </c>
      <c r="C459" s="25">
        <f>HYPERLINK("https://vk.com/wall-1825701_5952", "Открыть пост")</f>
        <v/>
      </c>
      <c r="D459" s="26" t="inlineStr">
        <is>
          <t>Творческие мастер-классы и художественные студии</t>
        </is>
      </c>
      <c r="E459" s="26" t="inlineStr">
        <is>
          <t>Творческие мастер-классы и художественные студии</t>
        </is>
      </c>
      <c r="F459" s="26" t="inlineStr">
        <is>
          <t>Подростки и взрослые с ментальными особенностями и ОВЗ (ПНИ / Социальные дома); Воспитанники ЦССВ, ДДИ и детских домов-интернатов</t>
        </is>
      </c>
      <c r="G459" s="26" t="inlineStr">
        <is>
          <t>ЦССВ №1</t>
        </is>
      </c>
      <c r="H459" s="26" t="inlineStr">
        <is>
          <t>Художественно-прикладные и ремесленные навыки; Артистические, музыкальные и спортивно-игровые навыки; Педагогические и наставнические навыки (кулинария, быт, учёба)</t>
        </is>
      </c>
      <c r="I459" s="27" t="inlineStr">
        <is>
          <t>По формату занятия</t>
        </is>
      </c>
      <c r="J459" s="26" t="inlineStr">
        <is>
          <t>У нас хорошая новость! ☀• Мы начали сотрудничать с новым детским домом — Центром содействия семейному воспитанию имени Г. И. Россолимо. Это первый в России детский дом для детей-сирот с особенностями развития. Наши чудесные преподаватели Вера Ивановна и Любовь Ивановна ведут заня...</t>
        </is>
      </c>
    </row>
    <row r="460" ht="30" customHeight="1">
      <c r="A460" s="28" t="n">
        <v>5951</v>
      </c>
      <c r="B460" s="29" t="inlineStr">
        <is>
          <t>2020-11-19</t>
        </is>
      </c>
      <c r="C460" s="30">
        <f>HYPERLINK("https://vk.com/wall-1825701_5951", "Открыть пост")</f>
        <v/>
      </c>
      <c r="D460" s="31" t="inlineStr">
        <is>
          <t>Кулинарные, образовательные и социально-бытовые занятия</t>
        </is>
      </c>
      <c r="E460" s="31" t="inlineStr">
        <is>
          <t>Кулинарные, образовательные и социально-бытовые занятия; Творческие мастер-классы и художественные студии</t>
        </is>
      </c>
      <c r="F460" s="31" t="inlineStr">
        <is>
          <t>Подопечные фонда «Дети Марии» (общая группа детей и подростков)</t>
        </is>
      </c>
      <c r="G460" s="31" t="inlineStr">
        <is>
          <t>Студия фонда / выездная площадка</t>
        </is>
      </c>
      <c r="H460" s="31" t="inlineStr">
        <is>
          <t>Педагогические и наставнические навыки (кулинария, быт, учёба)</t>
        </is>
      </c>
      <c r="I460" s="32" t="inlineStr">
        <is>
          <t>Да (в тексте)</t>
        </is>
      </c>
      <c r="J460" s="31" t="inlineStr">
        <is>
          <t>🇮🇹 Ciao! А у нас в студии на Дмитровке уже дважды был дистанционный кулинарный мастер-класс с волонтером Алессандрой из Италии! Научились по Zoom готовить брускетты с томатами и карбонару 🍅🥖 Это не только вкусно, но и полезно. Во время занятия ребята слушают английскую речь, стар...</t>
        </is>
      </c>
    </row>
    <row r="461" ht="30" customHeight="1">
      <c r="A461" s="23" t="n">
        <v>5948</v>
      </c>
      <c r="B461" s="24" t="inlineStr">
        <is>
          <t>2020-11-17</t>
        </is>
      </c>
      <c r="C461" s="25">
        <f>HYPERLINK("https://vk.com/wall-1825701_5948", "Открыть пост")</f>
        <v/>
      </c>
      <c r="D461" s="26" t="inlineStr">
        <is>
          <t>Ярмарки, фестивали и благотворительные базары</t>
        </is>
      </c>
      <c r="E461" s="26" t="inlineStr">
        <is>
          <t>Ярмарки, фестивали и благотворительные базары; Выездные лагеря, дача и сезонные программы; Спортивные и активные мероприятия</t>
        </is>
      </c>
      <c r="F461" s="26" t="inlineStr">
        <is>
          <t>Подростки и взрослые с ментальными особенностями и ОВЗ (ПНИ / Социальные дома); Воспитанники ЦССВ, ДДИ и детских домов-интернатов</t>
        </is>
      </c>
      <c r="G461" s="26" t="inlineStr">
        <is>
          <t>Студия фонда / выездная площадка</t>
        </is>
      </c>
      <c r="H461" s="26" t="inlineStr">
        <is>
          <t>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 Медиа, фото/видеосъёмка и культурная медиация</t>
        </is>
      </c>
      <c r="I461" s="27" t="inlineStr">
        <is>
          <t>По формату занятия</t>
        </is>
      </c>
      <c r="J461" s="26" t="inlineStr">
        <is>
          <t>Воздушная тематика бала и зажигательные ритмы джаза определили настроение вечера. И в завершении праздника — сольное выступление легендарной Софи Окран! Гости стали зрителями танцевального перформанса «Живые полотна» от Lika Mellow. Танец объединял картины трёх художников: Лика М...</t>
        </is>
      </c>
    </row>
    <row r="462" ht="30" customHeight="1">
      <c r="A462" s="28" t="n">
        <v>5942</v>
      </c>
      <c r="B462" s="29" t="inlineStr">
        <is>
          <t>2020-11-16</t>
        </is>
      </c>
      <c r="C462" s="30">
        <f>HYPERLINK("https://vk.com/wall-1825701_5942", "Открыть пост")</f>
        <v/>
      </c>
      <c r="D462" s="31" t="inlineStr">
        <is>
          <t>Кулинарные, образовательные и социально-бытовые занятия</t>
        </is>
      </c>
      <c r="E462" s="31" t="inlineStr">
        <is>
          <t>Кулинарные, образовательные и социально-бытовые занятия; Творческие мастер-классы и художественные студии; Праздники, дни рождения и клубные встречи</t>
        </is>
      </c>
      <c r="F462" s="31" t="inlineStr">
        <is>
          <t>Подопечные фонда «Дети Марии» (общая группа детей и подростков)</t>
        </is>
      </c>
      <c r="G462" s="31" t="inlineStr">
        <is>
          <t>Студия фонда / выездная площадка</t>
        </is>
      </c>
      <c r="H462" s="31" t="inlineStr">
        <is>
          <t>Педагогические и наставнические навыки (кулинария, быт, учёба); Организационные, ивент- и ярмарочные навыки</t>
        </is>
      </c>
      <c r="I462" s="32" t="inlineStr">
        <is>
          <t>По формату занятия</t>
        </is>
      </c>
      <c r="J462" s="31" t="inlineStr">
        <is>
          <t>Благодарим сотрудников Created in Moscow за вкусные подарки для наших подопечных. Ребята принесли нам на Дмитровку много-много вкусностей: и конфеты, и пряники, и печенье 🍪 Мы всегда рады принять продукты — чай, печенье, конфеты, фрукты, овощи и др. Каждый день в студию приходят ...</t>
        </is>
      </c>
    </row>
    <row r="463" ht="30" customHeight="1">
      <c r="A463" s="23" t="n">
        <v>5938</v>
      </c>
      <c r="B463" s="24" t="inlineStr">
        <is>
          <t>2020-11-11</t>
        </is>
      </c>
      <c r="C463" s="25">
        <f>HYPERLINK("https://vk.com/wall-1825701_5938", "Открыть пост")</f>
        <v/>
      </c>
      <c r="D463" s="26" t="inlineStr">
        <is>
          <t>Спортивные и активные мероприятия</t>
        </is>
      </c>
      <c r="E463" s="26" t="inlineStr">
        <is>
          <t>Спортивные и активные мероприятия; Ярмарки, фестивали и благотворительные базары</t>
        </is>
      </c>
      <c r="F463" s="26" t="inlineStr">
        <is>
          <t>Подопечные фонда «Дети Марии» (общая группа детей и подростков)</t>
        </is>
      </c>
      <c r="G463" s="26" t="inlineStr">
        <is>
          <t>Студия фонда / выездная площадка</t>
        </is>
      </c>
      <c r="H463" s="26" t="inlineStr">
        <is>
          <t>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t>
        </is>
      </c>
      <c r="I463" s="27" t="inlineStr">
        <is>
          <t>По формату занятия</t>
        </is>
      </c>
      <c r="J463" s="26" t="inlineStr">
        <is>
          <t>🤔 Помните Яндекс-лошадок, которые встречают гостей у главного входа в московский офис компании? 🐎 Этих лошадок зовут «Вечерняя Москва» и «Весёлый клоун», они были расписаны нашими ребятами в 2004 году, а потом их купили на благотворительном аукционе Илья Сегалович и Аркадий Волож...</t>
        </is>
      </c>
    </row>
    <row r="464" ht="30" customHeight="1">
      <c r="A464" s="28" t="n">
        <v>5937</v>
      </c>
      <c r="B464" s="29" t="inlineStr">
        <is>
          <t>2020-11-10</t>
        </is>
      </c>
      <c r="C464" s="30">
        <f>HYPERLINK("https://vk.com/wall-1825701_5937", "Открыть пост")</f>
        <v/>
      </c>
      <c r="D464" s="31" t="inlineStr">
        <is>
          <t>Выездные лагеря, дача и сезонные программы</t>
        </is>
      </c>
      <c r="E464" s="31" t="inlineStr">
        <is>
          <t>Выездные лагеря, дача и сезонные программы</t>
        </is>
      </c>
      <c r="F464" s="31" t="inlineStr">
        <is>
          <t>Выпускники интернатов и детских домов (молодые взрослые)</t>
        </is>
      </c>
      <c r="G464" s="31" t="inlineStr">
        <is>
          <t>Студия фонда / выездная площадка</t>
        </is>
      </c>
      <c r="H464" s="31" t="inlineStr">
        <is>
          <t>Коммуникативные навыки, эмпатия и тьюторское сопровождение</t>
        </is>
      </c>
      <c r="I464" s="32" t="inlineStr">
        <is>
          <t>Да (в тексте)</t>
        </is>
      </c>
      <c r="J464" s="31" t="inlineStr">
        <is>
          <t>🤘🏻Поздравляем всех со Всемирным днём молодежи! И хотим сказать пару слов нашим юным волонтерам и друзьям 💭 Ребята, мы вас очень любим! Ваша открытость миру, креативность и поддержка невероятно ценны для нас. Молодость, как известно — время открытий, приключений, веселья, время бе...</t>
        </is>
      </c>
    </row>
    <row r="465" ht="30" customHeight="1">
      <c r="A465" s="23" t="n">
        <v>5935</v>
      </c>
      <c r="B465" s="24" t="inlineStr">
        <is>
          <t>2020-11-09</t>
        </is>
      </c>
      <c r="C465" s="25">
        <f>HYPERLINK("https://vk.com/wall-1825701_5935", "Открыть пост")</f>
        <v/>
      </c>
      <c r="D465" s="26" t="inlineStr">
        <is>
          <t>Спектакли, концерты и музыкально-театральные занятия</t>
        </is>
      </c>
      <c r="E465" s="26" t="inlineStr">
        <is>
          <t>Спектакли, концерты и музыкально-театральные занятия</t>
        </is>
      </c>
      <c r="F465" s="26" t="inlineStr">
        <is>
          <t>Подопечные фонда «Дети Марии» (общая группа детей и подростков)</t>
        </is>
      </c>
      <c r="G465" s="26" t="inlineStr">
        <is>
          <t>Студия фонда / выездная площадка</t>
        </is>
      </c>
      <c r="H465" s="26" t="inlineStr">
        <is>
          <t>Артистические, музыкальные и спортивно-игровые навыки</t>
        </is>
      </c>
      <c r="I465" s="27" t="inlineStr">
        <is>
          <t>По формату занятия</t>
        </is>
      </c>
      <c r="J465" s="26" t="inlineStr">
        <is>
          <t>Еще раз убедились в мудрости слов — «Не имей сто рублей, а имей сто друзей» 🎭 Наши новые друзья из детского центра «Сказкадариум» специально для нас пригласили арт-чердак «Мамин театр».7 ноября мамы-выпускницы интернатов с детьми, а также ребята из школы Святого Георгия побывали ...</t>
        </is>
      </c>
    </row>
    <row r="466" ht="30" customHeight="1">
      <c r="A466" s="28" t="n">
        <v>5930</v>
      </c>
      <c r="B466" s="29" t="inlineStr">
        <is>
          <t>2020-11-08</t>
        </is>
      </c>
      <c r="C466" s="30">
        <f>HYPERLINK("https://vk.com/wall-1825701_5930", "Открыть пост")</f>
        <v/>
      </c>
      <c r="D466" s="31" t="inlineStr">
        <is>
          <t>Творческие мастер-классы и художественные студии</t>
        </is>
      </c>
      <c r="E466" s="31" t="inlineStr">
        <is>
          <t>Творческие мастер-классы и художественные студии; Выездные лагеря, дача и сезонные программы</t>
        </is>
      </c>
      <c r="F466" s="31" t="inlineStr">
        <is>
          <t>Подростки и взрослые с ментальными особенностями и ОВЗ (ПНИ / Социальные дома); Воспитанники ЦССВ, ДДИ и детских домов-интернатов; Дети и семьи (в т.ч. приёмные семьи и программа в Беслане)</t>
        </is>
      </c>
      <c r="G466" s="31" t="inlineStr">
        <is>
          <t>Беслан</t>
        </is>
      </c>
      <c r="H466"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t>
        </is>
      </c>
      <c r="I466" s="32" t="inlineStr">
        <is>
          <t>Да (в тексте)</t>
        </is>
      </c>
      <c r="J466" s="31" t="inlineStr">
        <is>
          <t>Любимые Филимонки снова с нами ❤ В начале ноября дети из Филимонковского детского дома после изоляции приехали в загородные мастерские. В этот день у Марии собрались друзья: в гостях были даже преподаватели из Беслана! День получился очень насыщенный: рисование, столярное дело, т...</t>
        </is>
      </c>
    </row>
    <row r="467" ht="30" customHeight="1">
      <c r="A467" s="23" t="n">
        <v>5929</v>
      </c>
      <c r="B467" s="24" t="inlineStr">
        <is>
          <t>2020-11-07</t>
        </is>
      </c>
      <c r="C467" s="25">
        <f>HYPERLINK("https://vk.com/wall-1825701_5929", "Открыть пост")</f>
        <v/>
      </c>
      <c r="D467" s="26" t="inlineStr">
        <is>
          <t>Творческие мастер-классы и художественные студии</t>
        </is>
      </c>
      <c r="E467" s="26" t="inlineStr">
        <is>
          <t>Творческие мастер-классы и художественные студии; Выставки, экскурсии и культурные выходы</t>
        </is>
      </c>
      <c r="F467" s="26" t="inlineStr">
        <is>
          <t>Подопечные фонда «Дети Марии» (общая группа детей и подростков)</t>
        </is>
      </c>
      <c r="G467" s="26" t="inlineStr">
        <is>
          <t>Студия фонда / выездная площадка</t>
        </is>
      </c>
      <c r="H467" s="26" t="inlineStr">
        <is>
          <t>Художественно-прикладные и ремесленные навыки</t>
        </is>
      </c>
      <c r="I467" s="27" t="inlineStr">
        <is>
          <t>По формату занятия</t>
        </is>
      </c>
      <c r="J467" s="26" t="inlineStr">
        <is>
          <t>🇫🇷 Есть во Франции одна прекрасная традиция, и началась она аж в 1667 году — что вы думаете это такое? Ответ: Парижский салон или Salon de peinture et de sculpture 👨🏻‍🎨 Сейчас Парижский салон — одна из наиболее престижных выставок искусства, а появился он как повод познакомить та...</t>
        </is>
      </c>
    </row>
    <row r="468" ht="30" customHeight="1">
      <c r="A468" s="28" t="n">
        <v>5927</v>
      </c>
      <c r="B468" s="29" t="inlineStr">
        <is>
          <t>2020-11-05</t>
        </is>
      </c>
      <c r="C468" s="30">
        <f>HYPERLINK("https://vk.com/wall-1825701_5927", "Открыть пост")</f>
        <v/>
      </c>
      <c r="D468" s="31" t="inlineStr">
        <is>
          <t>Кулинарные, образовательные и социально-бытовые занятия</t>
        </is>
      </c>
      <c r="E468" s="31" t="inlineStr">
        <is>
          <t>Кулинарные, образовательные и социально-бытовые занятия</t>
        </is>
      </c>
      <c r="F468" s="31" t="inlineStr">
        <is>
          <t>Подопечные фонда «Дети Марии» (общая группа детей и подростков)</t>
        </is>
      </c>
      <c r="G468" s="31" t="inlineStr">
        <is>
          <t>Студия фонда / выездная площадка</t>
        </is>
      </c>
      <c r="H468" s="31" t="inlineStr">
        <is>
          <t>Коммуникативные навыки, эмпатия и тьюторское сопровождение</t>
        </is>
      </c>
      <c r="I468" s="32" t="inlineStr">
        <is>
          <t>По формату занятия</t>
        </is>
      </c>
      <c r="J468" s="31" t="inlineStr">
        <is>
          <t>Вам тоже хочется уюта и тепла в осенние деньки? 🙆🏼‍♀•🌧 Тогда приглашаем к нам в гости — в студии даже в дождливые хмурые дни всегда душевно, тепло и уютно ☀• Особенно сегодня, когда в киноклубе на Дмитровке будем смотреть фильм «Каспер» про маленькое дружелюбное привидение 👻 🗓 че...</t>
        </is>
      </c>
    </row>
    <row r="469" ht="30" customHeight="1">
      <c r="A469" s="23" t="n">
        <v>5926</v>
      </c>
      <c r="B469" s="24" t="inlineStr">
        <is>
          <t>2020-11-04</t>
        </is>
      </c>
      <c r="C469" s="25">
        <f>HYPERLINK("https://vk.com/wall-1825701_5926", "Открыть пост")</f>
        <v/>
      </c>
      <c r="D469" s="26" t="inlineStr">
        <is>
          <t>Ярмарки, фестивали и благотворительные базары</t>
        </is>
      </c>
      <c r="E469" s="26" t="inlineStr">
        <is>
          <t>Ярмарки, фестивали и благотворительные базары; Творческие мастер-классы и художественные студии</t>
        </is>
      </c>
      <c r="F469" s="26" t="inlineStr">
        <is>
          <t>Воспитанники ЦССВ, ДДИ и детских домов-интернатов; Широкая аудитория, гости и благотворители (открытые события)</t>
        </is>
      </c>
      <c r="G469" s="26" t="inlineStr">
        <is>
          <t>Студия фонда / выездная площадка</t>
        </is>
      </c>
      <c r="H469" s="26" t="inlineStr">
        <is>
          <t>Художественно-прикладные и ремесленные навыки; Коммуникативные навыки, эмпатия и тьюторское сопровождение; Организационные, ивент- и ярмарочные навыки</t>
        </is>
      </c>
      <c r="I469" s="27" t="inlineStr">
        <is>
          <t>По формату занятия</t>
        </is>
      </c>
      <c r="J469" s="26" t="inlineStr">
        <is>
          <t>Дорогие друзья! В эти сложные времена мы благодарим Вас за внимание и поддержку ❤• С 1 по 12 ноября мы приглашаем Вас и Ваших коллег/друзей принять участие в Тихом интернет-аукционе: http://silentauction.ru/ На Тихом аукционе представлены авторские и коллективные работы наших дет...</t>
        </is>
      </c>
    </row>
    <row r="470" ht="30" customHeight="1">
      <c r="A470" s="28" t="n">
        <v>5923</v>
      </c>
      <c r="B470" s="29" t="inlineStr">
        <is>
          <t>2020-10-30</t>
        </is>
      </c>
      <c r="C470" s="30">
        <f>HYPERLINK("https://vk.com/wall-1825701_5923", "Открыть пост")</f>
        <v/>
      </c>
      <c r="D470" s="31" t="inlineStr">
        <is>
          <t>Выставки, экскурсии и культурные выходы</t>
        </is>
      </c>
      <c r="E470" s="31" t="inlineStr">
        <is>
          <t>Выставки, экскурсии и культурные выходы; Творческие мастер-классы и художественные студии</t>
        </is>
      </c>
      <c r="F470" s="31" t="inlineStr">
        <is>
          <t>Подростки и взрослые с ментальными особенностями и ОВЗ (ПНИ / Социальные дома)</t>
        </is>
      </c>
      <c r="G470" s="31" t="inlineStr">
        <is>
          <t>Студия фонда / выездная площадка</t>
        </is>
      </c>
      <c r="H470"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Мобильность, выездное сопровождение и автоволонтёрство</t>
        </is>
      </c>
      <c r="I470" s="32" t="inlineStr">
        <is>
          <t>По формату занятия</t>
        </is>
      </c>
      <c r="J470" s="31" t="inlineStr">
        <is>
          <t>Сегодня хотим поблагодарить наших друзей — компанию Skadden. Сотрудники компании давно поддерживают наших ребят. До пандемии Skadden устраивала для взрослых людей с ментальными особенностями из психоневрологических интернатов экскурсии в музей Пушкина, Экспериментариум и другие и...</t>
        </is>
      </c>
    </row>
    <row r="471" ht="30" customHeight="1">
      <c r="A471" s="23" t="n">
        <v>5922</v>
      </c>
      <c r="B471" s="24" t="inlineStr">
        <is>
          <t>2020-10-30</t>
        </is>
      </c>
      <c r="C471" s="25">
        <f>HYPERLINK("https://vk.com/wall-1825701_5922", "Открыть пост")</f>
        <v/>
      </c>
      <c r="D471" s="26" t="inlineStr">
        <is>
          <t>Творческие мастер-классы и художественные студии</t>
        </is>
      </c>
      <c r="E471" s="26" t="inlineStr">
        <is>
          <t>Творческие мастер-классы и художественные студии</t>
        </is>
      </c>
      <c r="F471" s="26" t="inlineStr">
        <is>
          <t>Подопечные фонда «Дети Марии» (общая группа детей и подростков)</t>
        </is>
      </c>
      <c r="G471" s="26" t="inlineStr">
        <is>
          <t>Студия фонда / выездная площадка</t>
        </is>
      </c>
      <c r="H471" s="26"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t>
        </is>
      </c>
      <c r="I471" s="27" t="inlineStr">
        <is>
          <t>По формату занятия</t>
        </is>
      </c>
      <c r="J471" s="26" t="inlineStr">
        <is>
          <t>👀 Детское творчество — это весело? Мы подтверждаем — да, очень! 🥰 В начале октября в студию на Дмитровку приходили дети из школы Святого Георгия. Ученики 1-го и 3-го класса устраивали настоящие взрывы креативности 💥 Ребята придумывали сказочных героев, лепили и расписывали ангоба...</t>
        </is>
      </c>
    </row>
    <row r="472" ht="30" customHeight="1">
      <c r="A472" s="28" t="n">
        <v>5918</v>
      </c>
      <c r="B472" s="29" t="inlineStr">
        <is>
          <t>2020-10-26</t>
        </is>
      </c>
      <c r="C472" s="30">
        <f>HYPERLINK("https://vk.com/wall-1825701_5918", "Открыть пост")</f>
        <v/>
      </c>
      <c r="D472" s="31" t="inlineStr">
        <is>
          <t>Творческие мастер-классы и художественные студии</t>
        </is>
      </c>
      <c r="E472" s="31" t="inlineStr">
        <is>
          <t>Творческие мастер-классы и художественные студии</t>
        </is>
      </c>
      <c r="F472" s="31" t="inlineStr">
        <is>
          <t>Подопечные фонда «Дети Марии» (общая группа детей и подростков)</t>
        </is>
      </c>
      <c r="G472" s="31" t="inlineStr">
        <is>
          <t>Студия фонда / выездная площадка</t>
        </is>
      </c>
      <c r="H472" s="31" t="inlineStr">
        <is>
          <t>Художественно-прикладные и ремесленные навыки; Коммуникативные навыки, эмпатия и тьюторское сопровождение</t>
        </is>
      </c>
      <c r="I472" s="32" t="inlineStr">
        <is>
          <t>По формату занятия</t>
        </is>
      </c>
      <c r="J472" s="31" t="inlineStr">
        <is>
          <t>Друзья, в связи с указом Мэра Москвы студия на Новинском бульваре будет закрыта до 1 ноября. Студия на Дмитровке работает, но только со взрослыми участниками. Так что если вы давно думали о творческих занятиях — присоединяйтесь! Расписание ниже: 📆 Вторник Рисование и живопись с А...</t>
        </is>
      </c>
    </row>
    <row r="473" ht="30" customHeight="1">
      <c r="A473" s="23" t="n">
        <v>5917</v>
      </c>
      <c r="B473" s="24" t="inlineStr">
        <is>
          <t>2020-10-22</t>
        </is>
      </c>
      <c r="C473" s="25">
        <f>HYPERLINK("https://vk.com/wall-1825701_5917", "Открыть пост")</f>
        <v/>
      </c>
      <c r="D473" s="26" t="inlineStr">
        <is>
          <t>Творческие мастер-классы и художественные студии</t>
        </is>
      </c>
      <c r="E473" s="26" t="inlineStr">
        <is>
          <t>Творческие мастер-классы и художественные студии</t>
        </is>
      </c>
      <c r="F473" s="26" t="inlineStr">
        <is>
          <t>Подростки и взрослые с ментальными особенностями и ОВЗ (ПНИ / Социальные дома); Выпускники интернатов и детских домов (молодые взрослые)</t>
        </is>
      </c>
      <c r="G473" s="26" t="inlineStr">
        <is>
          <t>Студия фонда / выездная площадка</t>
        </is>
      </c>
      <c r="H473" s="26" t="inlineStr">
        <is>
          <t>Коммуникативные навыки, эмпатия и тьюторское сопровождение</t>
        </is>
      </c>
      <c r="I473" s="27" t="inlineStr">
        <is>
          <t>По формату занятия</t>
        </is>
      </c>
      <c r="J473" s="26" t="inlineStr">
        <is>
          <t>В студии на Дмитровке и в студии на Новинском целый год шли творческие занятия. Дети и взрослые, ребята из ПНИ и выпускники интернатов создали много новых картин в разной технике. Все картины можно посмотреть на сайте в разделе авторские работы: http://mariaschildren.ru/ru/store/...</t>
        </is>
      </c>
    </row>
    <row r="474" ht="30" customHeight="1">
      <c r="A474" s="28" t="n">
        <v>5916</v>
      </c>
      <c r="B474" s="29" t="inlineStr">
        <is>
          <t>2020-10-21</t>
        </is>
      </c>
      <c r="C474" s="30">
        <f>HYPERLINK("https://vk.com/wall-1825701_5916", "Открыть пост")</f>
        <v/>
      </c>
      <c r="D474" s="31" t="inlineStr">
        <is>
          <t>Творческие мастер-классы и художественные студии</t>
        </is>
      </c>
      <c r="E474" s="31" t="inlineStr">
        <is>
          <t>Творческие мастер-классы и художественные студии</t>
        </is>
      </c>
      <c r="F474" s="31" t="inlineStr">
        <is>
          <t>Подростки и взрослые с ментальными особенностями и ОВЗ (ПНИ / Социальные дома)</t>
        </is>
      </c>
      <c r="G474" s="31" t="inlineStr">
        <is>
          <t>ПНИ №16, интерната №16</t>
        </is>
      </c>
      <c r="H474" s="31"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t>
        </is>
      </c>
      <c r="I474" s="32" t="inlineStr">
        <is>
          <t>По формату занятия</t>
        </is>
      </c>
      <c r="J474" s="31" t="inlineStr">
        <is>
          <t>Посмотрите на эти радостные лица! 😊 У ребят из ПНИ №16 было первое занятие после карантина. С преподавателями Аней и Аллой ребята не виделись уже 6 месяцев. Соскучились очень! Очень хотелось обняться, но все меры безопасности были строго соблюдены: маски и защитные костюмы у преп...</t>
        </is>
      </c>
    </row>
    <row r="475" ht="30" customHeight="1">
      <c r="A475" s="23" t="n">
        <v>5909</v>
      </c>
      <c r="B475" s="24" t="inlineStr">
        <is>
          <t>2020-10-16</t>
        </is>
      </c>
      <c r="C475" s="25">
        <f>HYPERLINK("https://vk.com/wall-1825701_5909", "Открыть пост")</f>
        <v/>
      </c>
      <c r="D475" s="26" t="inlineStr">
        <is>
          <t>Творческие мастер-классы и художественные студии</t>
        </is>
      </c>
      <c r="E475" s="26" t="inlineStr">
        <is>
          <t>Творческие мастер-классы и художественные студии; Праздники, дни рождения и клубные встречи</t>
        </is>
      </c>
      <c r="F475" s="26" t="inlineStr">
        <is>
          <t>Подопечные фонда «Дети Марии» (общая группа детей и подростков)</t>
        </is>
      </c>
      <c r="G475" s="26" t="inlineStr">
        <is>
          <t>Студия фонда / выездная площадка</t>
        </is>
      </c>
      <c r="H475" s="26"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 Организационные, ивент- и ярмарочные навыки</t>
        </is>
      </c>
      <c r="I475" s="27" t="inlineStr">
        <is>
          <t>По формату занятия</t>
        </is>
      </c>
      <c r="J475" s="26" t="inlineStr">
        <is>
          <t>Набор для чаепития «Мак» — керамика ручной работы ❤• Керамический заварочный чайник: ширина 21 см, высота 15 см. Только представьте, в нем вкус вашего любимого чайного сбора расцветёт новыми оттенками. У него превосходный дизайн. Им очень удобно пользоваться. Он оснащён ...</t>
        </is>
      </c>
    </row>
    <row r="476" ht="30" customHeight="1">
      <c r="A476" s="28" t="n">
        <v>5908</v>
      </c>
      <c r="B476" s="29" t="inlineStr">
        <is>
          <t>2020-10-15</t>
        </is>
      </c>
      <c r="C476" s="30">
        <f>HYPERLINK("https://vk.com/wall-1825701_5908", "Открыть пост")</f>
        <v/>
      </c>
      <c r="D476" s="31" t="inlineStr">
        <is>
          <t>Кулинарные, образовательные и социально-бытовые занятия</t>
        </is>
      </c>
      <c r="E476" s="31" t="inlineStr">
        <is>
          <t>Кулинарные, образовательные и социально-бытовые занятия; Творческие мастер-классы и художественные студии</t>
        </is>
      </c>
      <c r="F476" s="31" t="inlineStr">
        <is>
          <t>Подростки и взрослые с ментальными особенностями и ОВЗ (ПНИ / Социальные дома)</t>
        </is>
      </c>
      <c r="G476" s="31" t="inlineStr">
        <is>
          <t>Студия фонда / выездная площадка</t>
        </is>
      </c>
      <c r="H476"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Мобильность, выездное сопровождение и автоволонтёрство</t>
        </is>
      </c>
      <c r="I476" s="32" t="inlineStr">
        <is>
          <t>Да (в тексте)</t>
        </is>
      </c>
      <c r="J476" s="31" t="inlineStr">
        <is>
          <t>«А ты весь английский знаешь или половину?» — спрашивает Кирилл. Раньше он жил в психоневрологическом интернате и приезжал в студию на творческие занятия. Сейчас он живет с мамой и часто приходит на Дмитровку навестить друзей и научиться чему-нибудь новому. Знать весь английский ...</t>
        </is>
      </c>
    </row>
    <row r="477" ht="30" customHeight="1">
      <c r="A477" s="23" t="n">
        <v>5905</v>
      </c>
      <c r="B477" s="24" t="inlineStr">
        <is>
          <t>2020-10-14</t>
        </is>
      </c>
      <c r="C477" s="25">
        <f>HYPERLINK("https://vk.com/wall-1825701_5905", "Открыть пост")</f>
        <v/>
      </c>
      <c r="D477" s="26" t="inlineStr">
        <is>
          <t>Творческие мастер-классы и художественные студии</t>
        </is>
      </c>
      <c r="E477" s="26" t="inlineStr">
        <is>
          <t>Творческие мастер-классы и художественные студии; Выездные лагеря, дача и сезонные программы</t>
        </is>
      </c>
      <c r="F477" s="26" t="inlineStr">
        <is>
          <t>Подростки и взрослые с ментальными особенностями и ОВЗ (ПНИ / Социальные дома); Воспитанники ЦССВ, ДДИ и детских домов-интернатов</t>
        </is>
      </c>
      <c r="G477" s="26" t="inlineStr">
        <is>
          <t>Студия фонда / выездная площадка</t>
        </is>
      </c>
      <c r="H477" s="26" t="inlineStr">
        <is>
          <t>Художественно-прикладные и ремесленные навыки; Коммуникативные навыки, эмпатия и тьюторское сопровождение</t>
        </is>
      </c>
      <c r="I477" s="27" t="inlineStr">
        <is>
          <t>По формату занятия</t>
        </is>
      </c>
      <c r="J477" s="26" t="inlineStr">
        <is>
          <t>В сентябре в загородных мастерских у Марии прошло два занятия с ребятами из Филимонковского детского дома. Дети рисовали, лепили, работали в столярной мастерской, участвовали в тренинге. Мы скучали по вам, наши творческие и зажигательные Филимонки! ❤ Занятия проводились в рамках ...</t>
        </is>
      </c>
    </row>
    <row r="478" ht="30" customHeight="1">
      <c r="A478" s="28" t="n">
        <v>5903</v>
      </c>
      <c r="B478" s="29" t="inlineStr">
        <is>
          <t>2020-10-13</t>
        </is>
      </c>
      <c r="C478" s="30">
        <f>HYPERLINK("https://vk.com/wall-1825701_5903", "Открыть пост")</f>
        <v/>
      </c>
      <c r="D478" s="31" t="inlineStr">
        <is>
          <t>Выездные лагеря, дача и сезонные программы</t>
        </is>
      </c>
      <c r="E478" s="31" t="inlineStr">
        <is>
          <t>Выездные лагеря, дача и сезонные программы; Творческие мастер-классы и художественные студии</t>
        </is>
      </c>
      <c r="F478" s="31" t="inlineStr">
        <is>
          <t>Подростки и взрослые с ментальными особенностями и ОВЗ (ПНИ / Социальные дома); Воспитанники ЦССВ, ДДИ и детских домов-интернатов</t>
        </is>
      </c>
      <c r="G478" s="31" t="inlineStr">
        <is>
          <t>Студия фонда / выездная площадка</t>
        </is>
      </c>
      <c r="H478" s="31" t="inlineStr">
        <is>
          <t>Коммуникативные навыки, эмпатия и тьюторское сопровождение; Педагогические и наставнические навыки (кулинария, быт, учёба); Мобильность, выездное сопровождение и автоволонтёрство</t>
        </is>
      </c>
      <c r="I478" s="32" t="inlineStr">
        <is>
          <t>По формату занятия</t>
        </is>
      </c>
      <c r="J478" s="31" t="inlineStr">
        <is>
          <t>Дети из Филимонковского детского дома — наши давние друзья, неоднократные участники программы зимнего и летнего отдыха «Наша семейка», а также лагеря в Италии, на острове Сардиния. В этом году карантин сделал невозможными наши регулярные занятия с ребятами в творческих мастерских...</t>
        </is>
      </c>
    </row>
    <row r="479" ht="30" customHeight="1">
      <c r="A479" s="23" t="n">
        <v>5899</v>
      </c>
      <c r="B479" s="24" t="inlineStr">
        <is>
          <t>2020-10-12</t>
        </is>
      </c>
      <c r="C479" s="25">
        <f>HYPERLINK("https://vk.com/wall-1825701_5899", "Открыть пост")</f>
        <v/>
      </c>
      <c r="D479" s="26" t="inlineStr">
        <is>
          <t>Творческие мастер-классы и художественные студии</t>
        </is>
      </c>
      <c r="E479" s="26" t="inlineStr">
        <is>
          <t>Творческие мастер-классы и художественные студии</t>
        </is>
      </c>
      <c r="F479" s="26" t="inlineStr">
        <is>
          <t>Подростки и взрослые с ментальными особенностями и ОВЗ (ПНИ / Социальные дома); Воспитанники ЦССВ, ДДИ и детских домов-интернатов; Выпускники интернатов и детских домов (молодые взрослые); Дети и семьи (в т.ч. приёмные семьи и программа в Беслане)</t>
        </is>
      </c>
      <c r="G479" s="26" t="inlineStr">
        <is>
          <t>интерната № 103, Беслан</t>
        </is>
      </c>
      <c r="H479"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 Мобильность, выездное сопровождение и автоволонтёрство</t>
        </is>
      </c>
      <c r="I479" s="27" t="inlineStr">
        <is>
          <t>Да (в тексте)</t>
        </is>
      </c>
      <c r="J479" s="26" t="inlineStr">
        <is>
          <t>Второй день рождения не часто случается, согласитесь. У «Дети Марии» он появился в этом году — 8 июня 2020 года мы официально стали Благотворительным фондом! Проект «Дети Марии» начинался как художественный центр, где мальчишки и девчонки из школ-интернатов и детских домов занима...</t>
        </is>
      </c>
    </row>
    <row r="480" ht="30" customHeight="1">
      <c r="A480" s="28" t="n">
        <v>5895</v>
      </c>
      <c r="B480" s="29" t="inlineStr">
        <is>
          <t>2020-10-08</t>
        </is>
      </c>
      <c r="C480" s="30">
        <f>HYPERLINK("https://vk.com/wall-1825701_5895", "Открыть пост")</f>
        <v/>
      </c>
      <c r="D480" s="31" t="inlineStr">
        <is>
          <t>Спектакли, концерты и музыкально-театральные занятия</t>
        </is>
      </c>
      <c r="E480" s="31" t="inlineStr">
        <is>
          <t>Спектакли, концерты и музыкально-театральные занятия</t>
        </is>
      </c>
      <c r="F480" s="31" t="inlineStr">
        <is>
          <t>Подопечные фонда «Дети Марии» (общая группа детей и подростков)</t>
        </is>
      </c>
      <c r="G480" s="31" t="inlineStr">
        <is>
          <t>Студия фонда / выездная площадка</t>
        </is>
      </c>
      <c r="H480" s="31" t="inlineStr">
        <is>
          <t>Артистические, музыкальные и спортивно-игровые навыки</t>
        </is>
      </c>
      <c r="I480" s="32" t="inlineStr">
        <is>
          <t>По формату занятия</t>
        </is>
      </c>
      <c r="J480" s="31" t="inlineStr">
        <is>
          <t>🎭 «Театр — такая кафедра, с которой можно много сказать миру добра» — сказал как-то Николай Васильевич Гоголь. И мы с ним полностью согласны! 💛 Семейный театр «Колыбель» пригласил наших подопечных в гости. 5 октября семьи с детьми, перенёсшими онкологические заболевания, смотрели...</t>
        </is>
      </c>
    </row>
    <row r="481" ht="30" customHeight="1">
      <c r="A481" s="23" t="n">
        <v>5893</v>
      </c>
      <c r="B481" s="24" t="inlineStr">
        <is>
          <t>2020-10-06</t>
        </is>
      </c>
      <c r="C481" s="25">
        <f>HYPERLINK("https://vk.com/wall-1825701_5893", "Открыть пост")</f>
        <v/>
      </c>
      <c r="D481" s="26" t="inlineStr">
        <is>
          <t>Кулинарные, образовательные и социально-бытовые занятия</t>
        </is>
      </c>
      <c r="E481" s="26" t="inlineStr">
        <is>
          <t>Кулинарные, образовательные и социально-бытовые занятия; Творческие мастер-классы и художественные студии</t>
        </is>
      </c>
      <c r="F481" s="26" t="inlineStr">
        <is>
          <t>Широкая аудитория, гости и благотворители (открытые события)</t>
        </is>
      </c>
      <c r="G481" s="26" t="inlineStr">
        <is>
          <t>Студия фонда / выездная площадка</t>
        </is>
      </c>
      <c r="H481" s="26" t="inlineStr">
        <is>
          <t>Коммуникативные навыки, эмпатия и тьюторское сопровождение</t>
        </is>
      </c>
      <c r="I481" s="27" t="inlineStr">
        <is>
          <t>По формату занятия</t>
        </is>
      </c>
      <c r="J481" s="26" t="inlineStr">
        <is>
          <t>Ура! В студии вновь открывается Киноклуб с Сергей Королёв! Приглашаем всех-всех-всех! 🎬🍿 Будем смотреть короткометражки «Любовь, смерть и роботы» от Netflix. Эта серия короткометражных анимационных фильмов точно не оставит вас равнодушными ❤•+☠•+🤖 С нас — уютная атмосфера, кино и...</t>
        </is>
      </c>
    </row>
    <row r="482" ht="30" customHeight="1">
      <c r="A482" s="28" t="n">
        <v>5889</v>
      </c>
      <c r="B482" s="29" t="inlineStr">
        <is>
          <t>2020-10-04</t>
        </is>
      </c>
      <c r="C482" s="30">
        <f>HYPERLINK("https://vk.com/wall-1825701_5889", "Открыть пост")</f>
        <v/>
      </c>
      <c r="D482" s="31" t="inlineStr">
        <is>
          <t>Творческие мастер-классы и художественные студии</t>
        </is>
      </c>
      <c r="E482" s="31" t="inlineStr">
        <is>
          <t>Творческие мастер-классы и художественные студии</t>
        </is>
      </c>
      <c r="F482" s="31" t="inlineStr">
        <is>
          <t>Подопечные фонда «Дети Марии» (общая группа детей и подростков)</t>
        </is>
      </c>
      <c r="G482" s="31" t="inlineStr">
        <is>
          <t>Студия фонда / выездная площадка</t>
        </is>
      </c>
      <c r="H482" s="31"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t>
        </is>
      </c>
      <c r="I482" s="32" t="inlineStr">
        <is>
          <t>По формату занятия</t>
        </is>
      </c>
      <c r="J482" s="31" t="inlineStr">
        <is>
          <t>👋🏻 Добрый вечер! Сегодня хотим поговорить с вами об искусстве. Как вы думаете, искусство — отражение реальности? 👀 «Искусство не зеркало... а сложная система призм и зеркал» — считал один художник 🧑🏻‍🎨 Этот художник — Дмитрий Краснопевцев. Сейчас его называют классиком «неофиц...</t>
        </is>
      </c>
    </row>
    <row r="483" ht="30" customHeight="1">
      <c r="A483" s="23" t="n">
        <v>5886</v>
      </c>
      <c r="B483" s="24" t="inlineStr">
        <is>
          <t>2020-09-30</t>
        </is>
      </c>
      <c r="C483" s="25">
        <f>HYPERLINK("https://vk.com/wall-1825701_5886", "Открыть пост")</f>
        <v/>
      </c>
      <c r="D483" s="26" t="inlineStr">
        <is>
          <t>Творческие мастер-классы и художественные студии</t>
        </is>
      </c>
      <c r="E483" s="26" t="inlineStr">
        <is>
          <t>Творческие мастер-классы и художественные студии</t>
        </is>
      </c>
      <c r="F483" s="26" t="inlineStr">
        <is>
          <t>Воспитанники ЦССВ, ДДИ и детских домов-интернатов; Дети и семьи (в т.ч. приёмные семьи и программа в Беслане)</t>
        </is>
      </c>
      <c r="G483" s="26" t="inlineStr">
        <is>
          <t>Беслан</t>
        </is>
      </c>
      <c r="H483" s="26" t="inlineStr">
        <is>
          <t>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t>
        </is>
      </c>
      <c r="I483" s="27" t="inlineStr">
        <is>
          <t>Да (в тексте)</t>
        </is>
      </c>
      <c r="J483" s="26" t="inlineStr">
        <is>
          <t>В нашем интернет-магазине можно найти много красивого, душевного и сделанного с любовью детьми и взрослыми на занятиях в студии: http://mariaschildren.ru/ru/store Но сегодня мы хотим представить вам кое-что особенное 🤫 Потрясающие игрушки из фетра ручной работы от нашего друга ❤ ...</t>
        </is>
      </c>
    </row>
    <row r="484" ht="30" customHeight="1">
      <c r="A484" s="28" t="n">
        <v>5885</v>
      </c>
      <c r="B484" s="29" t="inlineStr">
        <is>
          <t>2020-09-29</t>
        </is>
      </c>
      <c r="C484" s="30">
        <f>HYPERLINK("https://vk.com/wall-1825701_5885", "Открыть пост")</f>
        <v/>
      </c>
      <c r="D484" s="31" t="inlineStr">
        <is>
          <t>Выставки, экскурсии и культурные выходы</t>
        </is>
      </c>
      <c r="E484" s="31" t="inlineStr">
        <is>
          <t>Выставки, экскурсии и культурные выходы</t>
        </is>
      </c>
      <c r="F484" s="31" t="inlineStr">
        <is>
          <t>Подопечные фонда «Дети Марии» (общая группа детей и подростков)</t>
        </is>
      </c>
      <c r="G484" s="31" t="inlineStr">
        <is>
          <t>Студия фонда / выездная площадка</t>
        </is>
      </c>
      <c r="H484" s="31" t="inlineStr">
        <is>
          <t>Медиа, фото/видеосъёмка и культурная медиация</t>
        </is>
      </c>
      <c r="I484" s="32" t="inlineStr">
        <is>
          <t>По формату занятия</t>
        </is>
      </c>
      <c r="J484" s="31" t="inlineStr">
        <is>
          <t>🤩 Вы ждали, и оно вернулось! Наше любимое стекло с с Ирой Скимбаторь. Занятия по четвергам и пятницам с 6 часов вечера. Заглядывайте на Дмитровку! ;) 👀 А пока давайте вспомним: техника Тиффани — что же это такое? Соединять кусочки стекла с помощью медной фольги придумал американс...</t>
        </is>
      </c>
    </row>
    <row r="485" ht="30" customHeight="1">
      <c r="A485" s="23" t="n">
        <v>5883</v>
      </c>
      <c r="B485" s="24" t="inlineStr">
        <is>
          <t>2020-09-28</t>
        </is>
      </c>
      <c r="C485" s="25">
        <f>HYPERLINK("https://vk.com/wall-1825701_5883", "Открыть пост")</f>
        <v/>
      </c>
      <c r="D485" s="26" t="inlineStr">
        <is>
          <t>Творческие мастер-классы и художественные студии</t>
        </is>
      </c>
      <c r="E485" s="26" t="inlineStr">
        <is>
          <t>Творческие мастер-классы и художественные студии</t>
        </is>
      </c>
      <c r="F485" s="26" t="inlineStr">
        <is>
          <t>Широкая аудитория, гости и благотворители (открытые события)</t>
        </is>
      </c>
      <c r="G485" s="26" t="inlineStr">
        <is>
          <t>Студия фонда / выездная площадка</t>
        </is>
      </c>
      <c r="H485" s="26" t="inlineStr">
        <is>
          <t>Художественно-прикладные и ремесленные навыки</t>
        </is>
      </c>
      <c r="I485" s="27" t="inlineStr">
        <is>
          <t>По формату занятия</t>
        </is>
      </c>
      <c r="J485" s="26" t="inlineStr">
        <is>
          <t>💭 Хочется переключиться после тяжелого рабочего дня? Тревоги, стресс и дедлайны выбивают из колеи? 🎨 Творчество — один из лучших способов отдохнуть и расслабиться, дать волю воображению и создавать красоту своими руками. Приглашаем вас на наши занятия для взрослых: ⚡ Студия на Дм...</t>
        </is>
      </c>
    </row>
    <row r="486" ht="30" customHeight="1">
      <c r="A486" s="28" t="n">
        <v>5880</v>
      </c>
      <c r="B486" s="29" t="inlineStr">
        <is>
          <t>2020-09-24</t>
        </is>
      </c>
      <c r="C486" s="30">
        <f>HYPERLINK("https://vk.com/wall-1825701_5880", "Открыть пост")</f>
        <v/>
      </c>
      <c r="D486" s="31" t="inlineStr">
        <is>
          <t>Творческие мастер-классы и художественные студии</t>
        </is>
      </c>
      <c r="E486" s="31" t="inlineStr">
        <is>
          <t>Творческие мастер-классы и художественные студии</t>
        </is>
      </c>
      <c r="F486" s="31" t="inlineStr">
        <is>
          <t>Подопечные фонда «Дети Марии» (общая группа детей и подростков)</t>
        </is>
      </c>
      <c r="G486" s="31" t="inlineStr">
        <is>
          <t>Студия фонда / выездная площадка</t>
        </is>
      </c>
      <c r="H486" s="31" t="inlineStr">
        <is>
          <t>Художественно-прикладные и ремесленные навыки; Педагогические и наставнические навыки (кулинария, быт, учёба)</t>
        </is>
      </c>
      <c r="I486" s="32" t="inlineStr">
        <is>
          <t>По формату занятия</t>
        </is>
      </c>
      <c r="J486" s="31" t="inlineStr">
        <is>
          <t>🍂 Сентябрь — самое время начать учиться новому! И малышам, и школьникам, и старшим подросткам. У нас в студии на Новинском много творческих бесплатных занятий для детей разных возрастов. Спешим поделиться с вами расписанием: 📆 Понедельник 📎 15:30-17:30 Гончарное искусство и керам...</t>
        </is>
      </c>
    </row>
    <row r="487" ht="30" customHeight="1">
      <c r="A487" s="23" t="n">
        <v>5878</v>
      </c>
      <c r="B487" s="24" t="inlineStr">
        <is>
          <t>2020-09-23</t>
        </is>
      </c>
      <c r="C487" s="25">
        <f>HYPERLINK("https://vk.com/wall-1825701_5878", "Открыть пост")</f>
        <v/>
      </c>
      <c r="D487" s="26" t="inlineStr">
        <is>
          <t>Ярмарки, фестивали и благотворительные базары</t>
        </is>
      </c>
      <c r="E487" s="26" t="inlineStr">
        <is>
          <t>Ярмарки, фестивали и благотворительные базары</t>
        </is>
      </c>
      <c r="F487" s="26" t="inlineStr">
        <is>
          <t>Подопечные фонда «Дети Марии» (общая группа детей и подростков)</t>
        </is>
      </c>
      <c r="G487" s="26" t="inlineStr">
        <is>
          <t>Студия фонда / выездная площадка</t>
        </is>
      </c>
      <c r="H487" s="26" t="inlineStr">
        <is>
          <t>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t>
        </is>
      </c>
      <c r="I487" s="27" t="inlineStr">
        <is>
          <t>По формату занятия</t>
        </is>
      </c>
      <c r="J487" s="26" t="inlineStr">
        <is>
          <t>Поздравляем Яндекс с 23-летием! 🥳 Очень ценим дружбу и родство с вами, ведь наш сооснователь Илья Сегалович — ещё и автор названий «Дети Марии» и «Яндекс»! А символом нашей дружбы являются две расписные лошадки 🐎🐎 16 лет назад «Дети Марии» расписали двух лошадей — «Веселого клоун...</t>
        </is>
      </c>
    </row>
    <row r="488" ht="30" customHeight="1">
      <c r="A488" s="28" t="n">
        <v>5870</v>
      </c>
      <c r="B488" s="29" t="inlineStr">
        <is>
          <t>2020-09-17</t>
        </is>
      </c>
      <c r="C488" s="30">
        <f>HYPERLINK("https://vk.com/wall-1825701_5870", "Открыть пост")</f>
        <v/>
      </c>
      <c r="D488" s="31" t="inlineStr">
        <is>
          <t>Творческие мастер-классы и художественные студии</t>
        </is>
      </c>
      <c r="E488" s="31" t="inlineStr">
        <is>
          <t>Творческие мастер-классы и художественные студии</t>
        </is>
      </c>
      <c r="F488" s="31" t="inlineStr">
        <is>
          <t>Подопечные фонда «Дети Марии» (общая группа детей и подростков)</t>
        </is>
      </c>
      <c r="G488" s="31" t="inlineStr">
        <is>
          <t>Студия фонда / выездная площадка</t>
        </is>
      </c>
      <c r="H488" s="31" t="inlineStr">
        <is>
          <t>Художественно-прикладные и ремесленные навыки</t>
        </is>
      </c>
      <c r="I488" s="32" t="inlineStr">
        <is>
          <t>По формату занятия</t>
        </is>
      </c>
      <c r="J488" s="31" t="inlineStr">
        <is>
          <t>Наши любимые АНО «Дети» в первый раз пришли на занятие в студию на Новинском. Говорят, понравилось!) Рисовали фантастических птиц и лепили 🎨</t>
        </is>
      </c>
    </row>
    <row r="489" ht="30" customHeight="1">
      <c r="A489" s="23" t="n">
        <v>5869</v>
      </c>
      <c r="B489" s="24" t="inlineStr">
        <is>
          <t>2020-09-16</t>
        </is>
      </c>
      <c r="C489" s="25">
        <f>HYPERLINK("https://vk.com/wall-1825701_5869", "Открыть пост")</f>
        <v/>
      </c>
      <c r="D489" s="26" t="inlineStr">
        <is>
          <t>Творческие мастер-классы и художественные студии</t>
        </is>
      </c>
      <c r="E489" s="26" t="inlineStr">
        <is>
          <t>Творческие мастер-классы и художественные студии</t>
        </is>
      </c>
      <c r="F489" s="26" t="inlineStr">
        <is>
          <t>Воспитанники ЦССВ, ДДИ и детских домов-интернатов</t>
        </is>
      </c>
      <c r="G489" s="26" t="inlineStr">
        <is>
          <t>Студия фонда / выездная площадка</t>
        </is>
      </c>
      <c r="H489" s="26" t="inlineStr">
        <is>
          <t>Художественно-прикладные и ремесленные навыки; Коммуникативные навыки, эмпатия и тьюторское сопровождение</t>
        </is>
      </c>
      <c r="I489" s="27" t="inlineStr">
        <is>
          <t>По формату занятия</t>
        </is>
      </c>
      <c r="J489" s="26" t="inlineStr">
        <is>
          <t>«Просто космос!» — скажете вы ✨ 🪐 🚀 А это не космос, это — впечатления ребят из РС «Спутник» от знакомства с творчеством американских экспрессионистов. Ведь имена Джексон Поллок, Франц Клайн и Марк Ротко вам о чем-нибудь говорят?) Нам теперь — да! Ребята тоже попробовали свои сил...</t>
        </is>
      </c>
    </row>
    <row r="490" ht="30" customHeight="1">
      <c r="A490" s="28" t="n">
        <v>5864</v>
      </c>
      <c r="B490" s="29" t="inlineStr">
        <is>
          <t>2020-09-16</t>
        </is>
      </c>
      <c r="C490" s="30">
        <f>HYPERLINK("https://vk.com/wall-1825701_5864", "Открыть пост")</f>
        <v/>
      </c>
      <c r="D490" s="31" t="inlineStr">
        <is>
          <t>Выставки, экскурсии и культурные выходы</t>
        </is>
      </c>
      <c r="E490" s="31" t="inlineStr">
        <is>
          <t>Выставки, экскурсии и культурные выходы</t>
        </is>
      </c>
      <c r="F490" s="31" t="inlineStr">
        <is>
          <t>Выпускники интернатов и детских домов (молодые взрослые)</t>
        </is>
      </c>
      <c r="G490" s="31" t="inlineStr">
        <is>
          <t>Студия фонда / выездная площадка</t>
        </is>
      </c>
      <c r="H490" s="31" t="inlineStr">
        <is>
          <t>Педагогические и наставнические навыки (кулинария, быт, учёба); Медиа, фото/видеосъёмка и культурная медиация</t>
        </is>
      </c>
      <c r="I490" s="32" t="inlineStr">
        <is>
          <t>Да (в тексте)</t>
        </is>
      </c>
      <c r="J490" s="31" t="inlineStr">
        <is>
          <t>Ясин со старшими ребятами посетили выставку «Время действия сети» наших друзей — фотографа Оксаны Юшко и куратора Соны Степанян. Оксана Юшко — фотограф и визуальный художник, уже много лет она сотрудничает с биологической станции «Рыбачий» на Куршской косе в Балтийском море. Окса...</t>
        </is>
      </c>
    </row>
    <row r="491" ht="30" customHeight="1">
      <c r="A491" s="23" t="n">
        <v>5862</v>
      </c>
      <c r="B491" s="24" t="inlineStr">
        <is>
          <t>2020-09-11</t>
        </is>
      </c>
      <c r="C491" s="25">
        <f>HYPERLINK("https://vk.com/wall-1825701_5862", "Открыть пост")</f>
        <v/>
      </c>
      <c r="D491" s="26" t="inlineStr">
        <is>
          <t>Творческие мастер-классы и художественные студии</t>
        </is>
      </c>
      <c r="E491" s="26" t="inlineStr">
        <is>
          <t>Творческие мастер-классы и художественные студии; Спектакли, концерты и музыкально-театральные занятия</t>
        </is>
      </c>
      <c r="F491" s="26" t="inlineStr">
        <is>
          <t>Подростки и взрослые с ментальными особенностями и ОВЗ (ПНИ / Социальные дома)</t>
        </is>
      </c>
      <c r="G491" s="26" t="inlineStr">
        <is>
          <t>Студия фонда / выездная площадка</t>
        </is>
      </c>
      <c r="H491"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 Мобильность, выездное сопровождение и автоволонтёрство</t>
        </is>
      </c>
      <c r="I491" s="27" t="inlineStr">
        <is>
          <t>Да (в тексте)</t>
        </is>
      </c>
      <c r="J491" s="26" t="inlineStr">
        <is>
          <t>Ежегодный Кораблик «Дети Марии» вышел вчера в Бухту Радости ⛵• Пандемия не изменила нашу любимую традицию, и весенний Кораблик в этом году превратился в осенний праздник в честь начала учебного года 🍁 На борту встретились старые друзья и завязались новые знакомства. С нами на Кор...</t>
        </is>
      </c>
    </row>
    <row r="492" ht="30" customHeight="1">
      <c r="A492" s="28" t="n">
        <v>5860</v>
      </c>
      <c r="B492" s="29" t="inlineStr">
        <is>
          <t>2020-09-10</t>
        </is>
      </c>
      <c r="C492" s="30">
        <f>HYPERLINK("https://vk.com/wall-1825701_5860", "Открыть пост")</f>
        <v/>
      </c>
      <c r="D492" s="31" t="inlineStr">
        <is>
          <t>Творческие мастер-классы и художественные студии</t>
        </is>
      </c>
      <c r="E492" s="31" t="inlineStr">
        <is>
          <t>Творческие мастер-классы и художественные студии; Праздники, дни рождения и клубные встречи</t>
        </is>
      </c>
      <c r="F492" s="31" t="inlineStr">
        <is>
          <t>Подопечные фонда «Дети Марии» (общая группа детей и подростков)</t>
        </is>
      </c>
      <c r="G492" s="31" t="inlineStr">
        <is>
          <t>Студия фонда / выездная площадка</t>
        </is>
      </c>
      <c r="H492" s="31"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 Организационные, ивент- и ярмарочные навыки</t>
        </is>
      </c>
      <c r="I492" s="32" t="inlineStr">
        <is>
          <t>По формату занятия</t>
        </is>
      </c>
      <c r="J492" s="31" t="inlineStr">
        <is>
          <t>Карантин закончился, а друзья — остались ❤• На самоизоляции наши преподаватели занимались с ребятами из АНО «Дети» онлайн. Мы поддерживали друг друга, лепили и рисовали вместе. К занятиям присоединилось много новых участников из разных городов. Рады поделиться, что творчество в ...</t>
        </is>
      </c>
    </row>
    <row r="493" ht="30" customHeight="1">
      <c r="A493" s="23" t="n">
        <v>5859</v>
      </c>
      <c r="B493" s="24" t="inlineStr">
        <is>
          <t>2020-09-09</t>
        </is>
      </c>
      <c r="C493" s="25">
        <f>HYPERLINK("https://vk.com/wall-1825701_5859", "Открыть пост")</f>
        <v/>
      </c>
      <c r="D493" s="26" t="inlineStr">
        <is>
          <t>Творческие мастер-классы и художественные студии</t>
        </is>
      </c>
      <c r="E493" s="26" t="inlineStr">
        <is>
          <t>Творческие мастер-классы и художественные студии</t>
        </is>
      </c>
      <c r="F493" s="26" t="inlineStr">
        <is>
          <t>Подростки и взрослые с ментальными особенностями и ОВЗ (ПНИ / Социальные дома)</t>
        </is>
      </c>
      <c r="G493" s="26" t="inlineStr">
        <is>
          <t>Студия фонда / выездная площадка</t>
        </is>
      </c>
      <c r="H493" s="26" t="inlineStr">
        <is>
          <t>Художественно-прикладные и ремесленные навыки</t>
        </is>
      </c>
      <c r="I493" s="27" t="inlineStr">
        <is>
          <t>Да (в тексте)</t>
        </is>
      </c>
      <c r="J493" s="26" t="inlineStr">
        <is>
          <t>Как вы проводили лето? Поймали жаркое летнее солнце? ☀• Волонтёры и художники «Детей Марии» ездили рисовать в Егорьевский психоневрологический интернат. Нам в этот день действительно повезло и с погодой, и с компанией! Расписывать стены нам помогали ребята из Егорьевского. Все со...</t>
        </is>
      </c>
    </row>
    <row r="494" ht="30" customHeight="1">
      <c r="A494" s="28" t="n">
        <v>5855</v>
      </c>
      <c r="B494" s="29" t="inlineStr">
        <is>
          <t>2020-09-07</t>
        </is>
      </c>
      <c r="C494" s="30">
        <f>HYPERLINK("https://vk.com/wall-1825701_5855", "Открыть пост")</f>
        <v/>
      </c>
      <c r="D494" s="31" t="inlineStr">
        <is>
          <t>Творческие мастер-классы и художественные студии</t>
        </is>
      </c>
      <c r="E494" s="31" t="inlineStr">
        <is>
          <t>Творческие мастер-классы и художественные студии; Праздники, дни рождения и клубные встречи</t>
        </is>
      </c>
      <c r="F494" s="31" t="inlineStr">
        <is>
          <t>Подопечные фонда «Дети Марии» (общая группа детей и подростков)</t>
        </is>
      </c>
      <c r="G494" s="31" t="inlineStr">
        <is>
          <t>Студия фонда / выездная площадка</t>
        </is>
      </c>
      <c r="H494" s="31" t="inlineStr">
        <is>
          <t>Художественно-прикладные и ремесленные навыки; Педагогические и наставнические навыки (кулинария, быт, учёба); Организационные, ивент- и ярмарочные навыки</t>
        </is>
      </c>
      <c r="I494" s="32" t="inlineStr">
        <is>
          <t>По формату занятия</t>
        </is>
      </c>
      <c r="J494" s="31" t="inlineStr">
        <is>
          <t>Ура! Учебный год у нас начался с долгожданных встреч В студии на Новинском впервые после карантина — занятия с детьми. К нам пришли первоклашки и второклашки. Лепили лошадей с преподавателем керамики Исломом 🐎 С художницей Нюсей рисовали космические пространства и их обитателей. ...</t>
        </is>
      </c>
    </row>
    <row r="495" ht="30" customHeight="1">
      <c r="A495" s="23" t="n">
        <v>5846</v>
      </c>
      <c r="B495" s="24" t="inlineStr">
        <is>
          <t>2020-08-19</t>
        </is>
      </c>
      <c r="C495" s="25">
        <f>HYPERLINK("https://vk.com/wall-1825701_5846", "Открыть пост")</f>
        <v/>
      </c>
      <c r="D495" s="26" t="inlineStr">
        <is>
          <t>Ярмарки, фестивали и благотворительные базары</t>
        </is>
      </c>
      <c r="E495" s="26" t="inlineStr">
        <is>
          <t>Ярмарки, фестивали и благотворительные базары; Выездные лагеря, дача и сезонные программы; Кулинарные, образовательные и социально-бытовые занятия</t>
        </is>
      </c>
      <c r="F495" s="26" t="inlineStr">
        <is>
          <t>Воспитанники ЦССВ, ДДИ и детских домов-интернатов</t>
        </is>
      </c>
      <c r="G495" s="26" t="inlineStr">
        <is>
          <t>Студия фонда / выездная площадка</t>
        </is>
      </c>
      <c r="H495" s="26" t="inlineStr">
        <is>
          <t>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 Мобильность, выездное сопровождение и автоволонтёрство</t>
        </is>
      </c>
      <c r="I495" s="27" t="inlineStr">
        <is>
          <t>По формату занятия</t>
        </is>
      </c>
      <c r="J495" s="26" t="inlineStr">
        <is>
          <t>14 августа прошла встреча и благотворительная ярмарка на базе английской школы «Волшебный Замок» (Magic Castle). Встреча с детьми из английского летнего лагеря проходила на английском языке. Наши сотрудницы Маша и Вика рассказали юным слушателям о детях-сиротах, о жизни в интерна...</t>
        </is>
      </c>
    </row>
    <row r="496" ht="30" customHeight="1">
      <c r="A496" s="28" t="n">
        <v>5836</v>
      </c>
      <c r="B496" s="29" t="inlineStr">
        <is>
          <t>2020-07-24</t>
        </is>
      </c>
      <c r="C496" s="30">
        <f>HYPERLINK("https://vk.com/wall-1825701_5836", "Открыть пост")</f>
        <v/>
      </c>
      <c r="D496" s="31" t="inlineStr">
        <is>
          <t>Творческие мастер-классы и художественные студии</t>
        </is>
      </c>
      <c r="E496" s="31" t="inlineStr">
        <is>
          <t>Творческие мастер-классы и художественные студии</t>
        </is>
      </c>
      <c r="F496" s="31" t="inlineStr">
        <is>
          <t>Подопечные фонда «Дети Марии» (общая группа детей и подростков)</t>
        </is>
      </c>
      <c r="G496" s="31" t="inlineStr">
        <is>
          <t>Студия фонда / выездная площадка</t>
        </is>
      </c>
      <c r="H496" s="31" t="inlineStr">
        <is>
          <t>Художественно-прикладные и ремесленные навыки; Педагогические и наставнические навыки (кулинария, быт, учёба)</t>
        </is>
      </c>
      <c r="I496" s="32" t="inlineStr">
        <is>
          <t>По формату занятия</t>
        </is>
      </c>
      <c r="J496" s="31" t="inlineStr">
        <is>
          <t>Онлайн-занятия рисованием подошли к концу. За 4 месяца, с конца марта, к нам присоединились ребята из многих регионов. Преподаватель Нюся Митина делится впечатлениями: 💬 «Было очень классно! Мы быстро освоили новый формат, научились справляться с техническими проблемами. Занимали...</t>
        </is>
      </c>
    </row>
    <row r="497" ht="30" customHeight="1">
      <c r="A497" s="23" t="n">
        <v>5835</v>
      </c>
      <c r="B497" s="24" t="inlineStr">
        <is>
          <t>2020-07-22</t>
        </is>
      </c>
      <c r="C497" s="25">
        <f>HYPERLINK("https://vk.com/wall-1825701_5835", "Открыть пост")</f>
        <v/>
      </c>
      <c r="D497" s="26" t="inlineStr">
        <is>
          <t>Творческие мастер-классы и художественные студии</t>
        </is>
      </c>
      <c r="E497" s="26" t="inlineStr">
        <is>
          <t>Творческие мастер-классы и художественные студии</t>
        </is>
      </c>
      <c r="F497" s="26" t="inlineStr">
        <is>
          <t>Подопечные фонда «Дети Марии» (общая группа детей и подростков)</t>
        </is>
      </c>
      <c r="G497" s="26" t="inlineStr">
        <is>
          <t>Студия фонда / выездная площадка</t>
        </is>
      </c>
      <c r="H497" s="26" t="inlineStr">
        <is>
          <t>Коммуникативные навыки, эмпатия и тьюторское сопровождение</t>
        </is>
      </c>
      <c r="I497" s="27" t="inlineStr">
        <is>
          <t>По формату занятия</t>
        </is>
      </c>
      <c r="J497" s="26" t="inlineStr">
        <is>
          <t>Мастер-класс по приготовлению творожной запеканки для маленьких студийцев от Вики, Игоря и Нади 💛</t>
        </is>
      </c>
    </row>
    <row r="498" ht="30" customHeight="1">
      <c r="A498" s="28" t="n">
        <v>5834</v>
      </c>
      <c r="B498" s="29" t="inlineStr">
        <is>
          <t>2020-07-20</t>
        </is>
      </c>
      <c r="C498" s="30">
        <f>HYPERLINK("https://vk.com/wall-1825701_5834", "Открыть пост")</f>
        <v/>
      </c>
      <c r="D498" s="31" t="inlineStr">
        <is>
          <t>Творческие мастер-классы и художественные студии</t>
        </is>
      </c>
      <c r="E498" s="31" t="inlineStr">
        <is>
          <t>Творческие мастер-классы и художественные студии; Кулинарные, образовательные и социально-бытовые занятия</t>
        </is>
      </c>
      <c r="F498" s="31" t="inlineStr">
        <is>
          <t>Подопечные фонда «Дети Марии» (общая группа детей и подростков)</t>
        </is>
      </c>
      <c r="G498" s="31" t="inlineStr">
        <is>
          <t>Студия фонда / выездная площадка</t>
        </is>
      </c>
      <c r="H498" s="31" t="inlineStr">
        <is>
          <t>Художественно-прикладные и ремесленные навыки; Педагогические и наставнические навыки (кулинария, быт, учёба)</t>
        </is>
      </c>
      <c r="I498" s="32" t="inlineStr">
        <is>
          <t>По формату занятия</t>
        </is>
      </c>
      <c r="J498" s="31" t="inlineStr">
        <is>
          <t>Сегодня в студии на Новинском было необычное занятие. После керамики поздравляли с днём рождения Алису, ей исполнилось 7 лет. Пришли её мама, братья, друзья! Все вместе готовили вкусности: манты, димламу по-узбекски и плов. Спасибо педагогам за кулинарный мастер-класс, а всем уча...</t>
        </is>
      </c>
    </row>
    <row r="499" ht="30" customHeight="1">
      <c r="A499" s="23" t="n">
        <v>5832</v>
      </c>
      <c r="B499" s="24" t="inlineStr">
        <is>
          <t>2020-07-19</t>
        </is>
      </c>
      <c r="C499" s="25">
        <f>HYPERLINK("https://vk.com/wall-1825701_5832", "Открыть пост")</f>
        <v/>
      </c>
      <c r="D499" s="26" t="inlineStr">
        <is>
          <t>Творческие мастер-классы и художественные студии</t>
        </is>
      </c>
      <c r="E499" s="26" t="inlineStr">
        <is>
          <t>Творческие мастер-классы и художественные студии</t>
        </is>
      </c>
      <c r="F499" s="26" t="inlineStr">
        <is>
          <t>Подопечные фонда «Дети Марии» (общая группа детей и подростков)</t>
        </is>
      </c>
      <c r="G499" s="26" t="inlineStr">
        <is>
          <t>Студия фонда / выездная площадка</t>
        </is>
      </c>
      <c r="H499" s="26" t="inlineStr">
        <is>
          <t>Художественно-прикладные и ремесленные навыки; Педагогические и наставнические навыки (кулинария, быт, учёба)</t>
        </is>
      </c>
      <c r="I499" s="27" t="inlineStr">
        <is>
          <t>По формату занятия</t>
        </is>
      </c>
      <c r="J499" s="26" t="inlineStr">
        <is>
          <t>В студии на Новинском преподаватель керамики Ислом ведет занятия для детей и родителей, учит лепить и работать на гончарном круге. Но не только этому! Недавно начали знакомиться с новой технологией обжига — молочением. Это старинный прием гончарного искусства, который многие маст...</t>
        </is>
      </c>
    </row>
    <row r="500" ht="30" customHeight="1">
      <c r="A500" s="28" t="n">
        <v>5827</v>
      </c>
      <c r="B500" s="29" t="inlineStr">
        <is>
          <t>2020-07-12</t>
        </is>
      </c>
      <c r="C500" s="30">
        <f>HYPERLINK("https://vk.com/wall-1825701_5827", "Открыть пост")</f>
        <v/>
      </c>
      <c r="D500" s="31" t="inlineStr">
        <is>
          <t>Творческие мастер-классы и художественные студии</t>
        </is>
      </c>
      <c r="E500" s="31" t="inlineStr">
        <is>
          <t>Творческие мастер-классы и художественные студии; Кулинарные, образовательные и социально-бытовые занятия</t>
        </is>
      </c>
      <c r="F500" s="31" t="inlineStr">
        <is>
          <t>Подопечные фонда «Дети Марии» (общая группа детей и подростков)</t>
        </is>
      </c>
      <c r="G500" s="31" t="inlineStr">
        <is>
          <t>Студия фонда / выездная площадка</t>
        </is>
      </c>
      <c r="H500" s="31" t="inlineStr">
        <is>
          <t>Художественно-прикладные и ремесленные навыки; Педагогические и наставнические навыки (кулинария, быт, учёба)</t>
        </is>
      </c>
      <c r="I500" s="32" t="inlineStr">
        <is>
          <t>По формату занятия</t>
        </is>
      </c>
      <c r="J500" s="31" t="inlineStr">
        <is>
          <t>Кулинарные мастер-классы на Дмитровке прекрасны не только по содержанию, но и по антуражу: посуда, используемая в процессе, сделана в студии. Кувшин “Maria’s Children” и фигурки сделал преподаватель керамики Ислом, а пиалу — его ученица Вера.</t>
        </is>
      </c>
    </row>
    <row r="501" ht="30" customHeight="1">
      <c r="A501" s="23" t="n">
        <v>5826</v>
      </c>
      <c r="B501" s="24" t="inlineStr">
        <is>
          <t>2020-07-11</t>
        </is>
      </c>
      <c r="C501" s="25">
        <f>HYPERLINK("https://vk.com/wall-1825701_5826", "Открыть пост")</f>
        <v/>
      </c>
      <c r="D501" s="26" t="inlineStr">
        <is>
          <t>Спортивные и активные мероприятия</t>
        </is>
      </c>
      <c r="E501" s="26" t="inlineStr">
        <is>
          <t>Спортивные и активные мероприятия</t>
        </is>
      </c>
      <c r="F501" s="26" t="inlineStr">
        <is>
          <t>Подопечные фонда «Дети Марии» (общая группа детей и подростков)</t>
        </is>
      </c>
      <c r="G501" s="26" t="inlineStr">
        <is>
          <t>Студия фонда / выездная площадка</t>
        </is>
      </c>
      <c r="H501" s="26" t="inlineStr">
        <is>
          <t>Коммуникативные навыки, эмпатия и тьюторское сопровождение</t>
        </is>
      </c>
      <c r="I501" s="27" t="inlineStr">
        <is>
          <t>По формату занятия</t>
        </is>
      </c>
      <c r="J501" s="26" t="inlineStr">
        <is>
          <t>Шахматы возвращаются в студию! Лёша с Андреем время не теряют: устроили первый шахматный турнир ♟ Ждём продолжения и новых участников</t>
        </is>
      </c>
    </row>
    <row r="502" ht="30" customHeight="1">
      <c r="A502" s="28" t="n">
        <v>5816</v>
      </c>
      <c r="B502" s="29" t="inlineStr">
        <is>
          <t>2020-07-07</t>
        </is>
      </c>
      <c r="C502" s="30">
        <f>HYPERLINK("https://vk.com/wall-1825701_5816", "Открыть пост")</f>
        <v/>
      </c>
      <c r="D502" s="31" t="inlineStr">
        <is>
          <t>Творческие мастер-классы и художественные студии</t>
        </is>
      </c>
      <c r="E502" s="31" t="inlineStr">
        <is>
          <t>Творческие мастер-классы и художественные студии; Кулинарные, образовательные и социально-бытовые занятия</t>
        </is>
      </c>
      <c r="F502" s="31" t="inlineStr">
        <is>
          <t>Подопечные фонда «Дети Марии» (общая группа детей и подростков)</t>
        </is>
      </c>
      <c r="G502" s="31" t="inlineStr">
        <is>
          <t>Студия фонда / выездная площадка</t>
        </is>
      </c>
      <c r="H502" s="31" t="inlineStr">
        <is>
          <t>Художественно-прикладные и ремесленные навыки; Педагогические и наставнические навыки (кулинария, быт, учёба)</t>
        </is>
      </c>
      <c r="I502" s="32" t="inlineStr">
        <is>
          <t>По формату занятия</t>
        </is>
      </c>
      <c r="J502" s="31" t="inlineStr">
        <is>
          <t>Кулинарный мастер-класс от нашего преподавателя керамики Ислома. Узбекский плов в исполнении Лёши, Кати и Вики 😜</t>
        </is>
      </c>
    </row>
    <row r="503" ht="30" customHeight="1">
      <c r="A503" s="23" t="n">
        <v>5809</v>
      </c>
      <c r="B503" s="24" t="inlineStr">
        <is>
          <t>2020-06-29</t>
        </is>
      </c>
      <c r="C503" s="25">
        <f>HYPERLINK("https://vk.com/wall-1825701_5809", "Открыть пост")</f>
        <v/>
      </c>
      <c r="D503" s="26" t="inlineStr">
        <is>
          <t>Творческие мастер-классы и художественные студии</t>
        </is>
      </c>
      <c r="E503" s="26" t="inlineStr">
        <is>
          <t>Творческие мастер-классы и художественные студии</t>
        </is>
      </c>
      <c r="F503" s="26" t="inlineStr">
        <is>
          <t>Воспитанники ЦССВ, ДДИ и детских домов-интернатов</t>
        </is>
      </c>
      <c r="G503" s="26" t="inlineStr">
        <is>
          <t>Студия фонда / выездная площадка</t>
        </is>
      </c>
      <c r="H503" s="26" t="inlineStr">
        <is>
          <t>Художественно-прикладные и ремесленные навыки</t>
        </is>
      </c>
      <c r="I503" s="27" t="inlineStr">
        <is>
          <t>По формату занятия</t>
        </is>
      </c>
      <c r="J503" s="26" t="inlineStr">
        <is>
          <t>В пятницу сняли карантин во Владимирской области. И мы сразу поехали к детям в Покровский детский дом. Два дня рисовали с ребятами! Летучий корабль, ёжик на воздушном шаре и дракон будут жить в коридоре на 2 этаже :)</t>
        </is>
      </c>
    </row>
    <row r="504" ht="30" customHeight="1">
      <c r="A504" s="28" t="n">
        <v>5806</v>
      </c>
      <c r="B504" s="29" t="inlineStr">
        <is>
          <t>2020-06-25</t>
        </is>
      </c>
      <c r="C504" s="30">
        <f>HYPERLINK("https://vk.com/wall-1825701_5806", "Открыть пост")</f>
        <v/>
      </c>
      <c r="D504" s="31" t="inlineStr">
        <is>
          <t>Выездные лагеря, дача и сезонные программы</t>
        </is>
      </c>
      <c r="E504" s="31" t="inlineStr">
        <is>
          <t>Выездные лагеря, дача и сезонные программы; Творческие мастер-классы и художественные студии</t>
        </is>
      </c>
      <c r="F504" s="31" t="inlineStr">
        <is>
          <t>Подопечные фонда «Дети Марии» (общая группа детей и подростков)</t>
        </is>
      </c>
      <c r="G504" s="31" t="inlineStr">
        <is>
          <t>Тверская 15</t>
        </is>
      </c>
      <c r="H504" s="31" t="inlineStr">
        <is>
          <t>Художественно-прикладные и ремесленные навыки; Педагогические и наставнические навыки (кулинария, быт, учёба); Организационные, ивент- и ярмарочные навыки; Мобильность, выездное сопровождение и автоволонтёрство</t>
        </is>
      </c>
      <c r="I504" s="32" t="inlineStr">
        <is>
          <t>По формату занятия</t>
        </is>
      </c>
      <c r="J504" s="31" t="inlineStr">
        <is>
          <t>Поздравляем с днем рождения Алексея Строева 🥳 Лёша — наш друг и коллега уже много лет. Он постоянно участвует в летних лагерях и в программах зимнего отдыха, где оказывает неоценимую помощь в организации, учит детей кататься на сноуборде, ведет занятия по мозаике в загородных мас...</t>
        </is>
      </c>
    </row>
    <row r="505" ht="30" customHeight="1">
      <c r="A505" s="23" t="n">
        <v>5795</v>
      </c>
      <c r="B505" s="24" t="inlineStr">
        <is>
          <t>2020-06-11</t>
        </is>
      </c>
      <c r="C505" s="25">
        <f>HYPERLINK("https://vk.com/wall-1825701_5795", "Открыть пост")</f>
        <v/>
      </c>
      <c r="D505" s="26" t="inlineStr">
        <is>
          <t>Творческие мастер-классы и художественные студии</t>
        </is>
      </c>
      <c r="E505" s="26" t="inlineStr">
        <is>
          <t>Творческие мастер-классы и художественные студии</t>
        </is>
      </c>
      <c r="F505" s="26" t="inlineStr">
        <is>
          <t>Подопечные фонда «Дети Марии» (общая группа детей и подростков)</t>
        </is>
      </c>
      <c r="G505" s="26" t="inlineStr">
        <is>
          <t>Студия фонда / выездная площадка</t>
        </is>
      </c>
      <c r="H505" s="26" t="inlineStr">
        <is>
          <t>Коммуникативные навыки, эмпатия и тьюторское сопровождение</t>
        </is>
      </c>
      <c r="I505" s="27" t="inlineStr">
        <is>
          <t>По формату занятия</t>
        </is>
      </c>
      <c r="J505" s="26" t="inlineStr">
        <is>
          <t>Первый очный мастер-класс после снятия карантина провела Ирина Скимбаторь. Вероника и ее Сатурн в технике Тиффани 🪐</t>
        </is>
      </c>
    </row>
    <row r="506" ht="30" customHeight="1">
      <c r="A506" s="28" t="n">
        <v>5790</v>
      </c>
      <c r="B506" s="29" t="inlineStr">
        <is>
          <t>2020-06-09</t>
        </is>
      </c>
      <c r="C506" s="30">
        <f>HYPERLINK("https://vk.com/wall-1825701_5790", "Открыть пост")</f>
        <v/>
      </c>
      <c r="D506" s="31" t="inlineStr">
        <is>
          <t>Выездные лагеря, дача и сезонные программы</t>
        </is>
      </c>
      <c r="E506" s="31" t="inlineStr">
        <is>
          <t>Выездные лагеря, дача и сезонные программы</t>
        </is>
      </c>
      <c r="F506" s="31" t="inlineStr">
        <is>
          <t>Воспитанники ЦССВ, ДДИ и детских домов-интернатов</t>
        </is>
      </c>
      <c r="G506" s="31" t="inlineStr">
        <is>
          <t>Студия фонда / выездная площадка</t>
        </is>
      </c>
      <c r="H506" s="31" t="inlineStr">
        <is>
          <t>Художественно-прикладные и ремесленные навыки; Коммуникативные навыки, эмпатия и тьюторское сопровождение; Мобильность, выездное сопровождение и автоволонтёрство</t>
        </is>
      </c>
      <c r="I506" s="32" t="inlineStr">
        <is>
          <t>По формату занятия</t>
        </is>
      </c>
      <c r="J506" s="31" t="inlineStr">
        <is>
          <t>В городе Мышкине Ярославской области, вблизи которого пройдёт наша летняя программа «Арт-деревня Учма», живёт удивительная Дарья Игумнова, которая своими силами запустила в городе раздельный сбор отходов! https://vk.com/razdelyajizdravstvuj Мы очень этому рады и во время нашей пр...</t>
        </is>
      </c>
    </row>
    <row r="507" ht="30" customHeight="1">
      <c r="A507" s="23" t="n">
        <v>5784</v>
      </c>
      <c r="B507" s="24" t="inlineStr">
        <is>
          <t>2020-06-03</t>
        </is>
      </c>
      <c r="C507" s="25">
        <f>HYPERLINK("https://vk.com/wall-1825701_5784", "Открыть пост")</f>
        <v/>
      </c>
      <c r="D507" s="26" t="inlineStr">
        <is>
          <t>Творческие мастер-классы и художественные студии</t>
        </is>
      </c>
      <c r="E507" s="26" t="inlineStr">
        <is>
          <t>Творческие мастер-классы и художественные студии</t>
        </is>
      </c>
      <c r="F507" s="26" t="inlineStr">
        <is>
          <t>Подопечные фонда «Дети Марии» (общая группа детей и подростков)</t>
        </is>
      </c>
      <c r="G507" s="26" t="inlineStr">
        <is>
          <t>Студия фонда / выездная площадка</t>
        </is>
      </c>
      <c r="H507" s="26" t="inlineStr">
        <is>
          <t>Художественно-прикладные и ремесленные навыки; Педагогические и наставнические навыки (кулинария, быт, учёба)</t>
        </is>
      </c>
      <c r="I507" s="27" t="inlineStr">
        <is>
          <t>По формату занятия</t>
        </is>
      </c>
      <c r="J507" s="26" t="inlineStr">
        <is>
          <t>На занятиях лепкой с детьми обратились к анималистическому жанру. Преподаватель Аня Андреева рассказывает о занятии: 💬 «Говорили о кошках, заглянули в историю Древнего Египта, где кошки занимали особое место в пантеоне древнеегипетских богов. Но в процессе ваяния стали происходит...</t>
        </is>
      </c>
    </row>
    <row r="508" ht="30" customHeight="1">
      <c r="A508" s="28" t="n">
        <v>5772</v>
      </c>
      <c r="B508" s="29" t="inlineStr">
        <is>
          <t>2020-06-01</t>
        </is>
      </c>
      <c r="C508" s="30">
        <f>HYPERLINK("https://vk.com/wall-1825701_5772", "Открыть пост")</f>
        <v/>
      </c>
      <c r="D508" s="31" t="inlineStr">
        <is>
          <t>Выездные лагеря, дача и сезонные программы</t>
        </is>
      </c>
      <c r="E508" s="31" t="inlineStr">
        <is>
          <t>Выездные лагеря, дача и сезонные программы; Творческие мастер-классы и художественные студии</t>
        </is>
      </c>
      <c r="F508" s="31" t="inlineStr">
        <is>
          <t>Воспитанники ЦССВ, ДДИ и детских домов-интернатов; Выпускники интернатов и детских домов (молодые взрослые)</t>
        </is>
      </c>
      <c r="G508" s="31" t="inlineStr">
        <is>
          <t>Студия фонда / выездная площадка</t>
        </is>
      </c>
      <c r="H508" s="31" t="inlineStr">
        <is>
          <t>Педагогические и наставнические навыки (кулинария, быт, учёба); Организационные, ивент- и ярмарочные навыки; Мобильность, выездное сопровождение и автоволонтёрство</t>
        </is>
      </c>
      <c r="I508" s="32" t="inlineStr">
        <is>
          <t>Да (в тексте)</t>
        </is>
      </c>
      <c r="J508" s="31" t="inlineStr">
        <is>
          <t>Дорогие друзья, поздравляем с Днем защиты детей! Важно помнить о правах детей на жизнь и на образование, на защиту от насилия и свободу выбора. Наша цель — сделать эти права реальностью для ребят из детских домов и интернатов. Если вы хотите быть причастными к помощи детям — нам ...</t>
        </is>
      </c>
    </row>
    <row r="509" ht="30" customHeight="1">
      <c r="A509" s="23" t="n">
        <v>5770</v>
      </c>
      <c r="B509" s="24" t="inlineStr">
        <is>
          <t>2020-05-31</t>
        </is>
      </c>
      <c r="C509" s="25">
        <f>HYPERLINK("https://vk.com/wall-1825701_5770", "Открыть пост")</f>
        <v/>
      </c>
      <c r="D509" s="26" t="inlineStr">
        <is>
          <t>Творческие мастер-классы и художественные студии</t>
        </is>
      </c>
      <c r="E509" s="26" t="inlineStr">
        <is>
          <t>Творческие мастер-классы и художественные студии</t>
        </is>
      </c>
      <c r="F509" s="26" t="inlineStr">
        <is>
          <t>Подопечные фонда «Дети Марии» (общая группа детей и подростков)</t>
        </is>
      </c>
      <c r="G509" s="26" t="inlineStr">
        <is>
          <t>Студия фонда / выездная площадка</t>
        </is>
      </c>
      <c r="H509" s="26" t="inlineStr">
        <is>
          <t>Художественно-прикладные и ремесленные навыки</t>
        </is>
      </c>
      <c r="I509" s="27" t="inlineStr">
        <is>
          <t>По формату занятия</t>
        </is>
      </c>
      <c r="J509" s="26" t="inlineStr">
        <is>
          <t>Не было бы счастья, да несчастье помогло С самого начала карантина Нюся Митина регулярно проводит творческие занятия для детей и взрослых в Zoom. И благодаря переходу в онлайн-формат к рисованию смогли присоединиться дети из других городов, которые проходят реабилитацию после онк...</t>
        </is>
      </c>
    </row>
    <row r="510" ht="30" customHeight="1">
      <c r="A510" s="28" t="n">
        <v>5768</v>
      </c>
      <c r="B510" s="29" t="inlineStr">
        <is>
          <t>2020-05-27</t>
        </is>
      </c>
      <c r="C510" s="30">
        <f>HYPERLINK("https://vk.com/wall-1825701_5768", "Открыть пост")</f>
        <v/>
      </c>
      <c r="D510" s="31" t="inlineStr">
        <is>
          <t>Творческие мастер-классы и художественные студии</t>
        </is>
      </c>
      <c r="E510" s="31" t="inlineStr">
        <is>
          <t>Творческие мастер-классы и художественные студии</t>
        </is>
      </c>
      <c r="F510" s="31" t="inlineStr">
        <is>
          <t>Подопечные фонда «Дети Марии» (общая группа детей и подростков)</t>
        </is>
      </c>
      <c r="G510" s="31" t="inlineStr">
        <is>
          <t>Студия фонда / выездная площадка</t>
        </is>
      </c>
      <c r="H510" s="31" t="inlineStr">
        <is>
          <t>Художественно-прикладные и ремесленные навыки</t>
        </is>
      </c>
      <c r="I510" s="32" t="inlineStr">
        <is>
          <t>По формату занятия</t>
        </is>
      </c>
      <c r="J510" s="31" t="inlineStr">
        <is>
          <t>Мастер-класс от Ирины Скимбаторь по стеклу в режиме онлайн по зуму — это сильно! Три брата Арсений, Илья и Мирон рисовали эскизы, вырезали, точили и оборачивали копперфойлом. Мирон уже научился паять! Что получится — покажем позже 🤗</t>
        </is>
      </c>
    </row>
    <row r="511" ht="30" customHeight="1">
      <c r="A511" s="23" t="n">
        <v>5763</v>
      </c>
      <c r="B511" s="24" t="inlineStr">
        <is>
          <t>2020-05-14</t>
        </is>
      </c>
      <c r="C511" s="25">
        <f>HYPERLINK("https://vk.com/wall-1825701_5763", "Открыть пост")</f>
        <v/>
      </c>
      <c r="D511" s="26" t="inlineStr">
        <is>
          <t>Творческие мастер-классы и художественные студии</t>
        </is>
      </c>
      <c r="E511" s="26" t="inlineStr">
        <is>
          <t>Творческие мастер-классы и художественные студии</t>
        </is>
      </c>
      <c r="F511" s="26" t="inlineStr">
        <is>
          <t>Подопечные фонда «Дети Марии» (общая группа детей и подростков)</t>
        </is>
      </c>
      <c r="G511" s="26" t="inlineStr">
        <is>
          <t>Студия фонда / выездная площадка</t>
        </is>
      </c>
      <c r="H511" s="26" t="inlineStr">
        <is>
          <t>Художественно-прикладные и ремесленные навыки; Мобильность, выездное сопровождение и автоволонтёрство</t>
        </is>
      </c>
      <c r="I511" s="27" t="inlineStr">
        <is>
          <t>По формату занятия</t>
        </is>
      </c>
      <c r="J511" s="26" t="inlineStr">
        <is>
          <t>Тоскуем по путешествиям, прогулкам и Макдональдсу 😄 А вы? Картины рисовали дети из АНО "Дети" на занятиях с Нюсей в Zoom</t>
        </is>
      </c>
    </row>
    <row r="512" ht="30" customHeight="1">
      <c r="A512" s="28" t="n">
        <v>5752</v>
      </c>
      <c r="B512" s="29" t="inlineStr">
        <is>
          <t>2020-05-07</t>
        </is>
      </c>
      <c r="C512" s="30">
        <f>HYPERLINK("https://vk.com/wall-1825701_5752", "Открыть пост")</f>
        <v/>
      </c>
      <c r="D512" s="31" t="inlineStr">
        <is>
          <t>Творческие мастер-классы и художественные студии</t>
        </is>
      </c>
      <c r="E512" s="31" t="inlineStr">
        <is>
          <t>Творческие мастер-классы и художественные студии</t>
        </is>
      </c>
      <c r="F512" s="31" t="inlineStr">
        <is>
          <t>Подопечные фонда «Дети Марии» (общая группа детей и подростков)</t>
        </is>
      </c>
      <c r="G512" s="31" t="inlineStr">
        <is>
          <t>Студия фонда / выездная площадка</t>
        </is>
      </c>
      <c r="H512" s="31" t="inlineStr">
        <is>
          <t>Коммуникативные навыки, эмпатия и тьюторское сопровождение</t>
        </is>
      </c>
      <c r="I512" s="32" t="inlineStr">
        <is>
          <t>По формату занятия</t>
        </is>
      </c>
      <c r="J512" s="31" t="inlineStr">
        <is>
          <t>Волшебно-творческие занятия для маленьких художников в мае проходят онлайн. А что можно нарисовать, когда сидишь дома и за окном майские грозы? Темы найдутся всегда! На этой неделе были: 🐱 Котики 🦖 Динозавры 🧜🏼‍♀• Русалки</t>
        </is>
      </c>
    </row>
    <row r="513" ht="30" customHeight="1">
      <c r="A513" s="23" t="n">
        <v>5748</v>
      </c>
      <c r="B513" s="24" t="inlineStr">
        <is>
          <t>2020-05-07</t>
        </is>
      </c>
      <c r="C513" s="25">
        <f>HYPERLINK("https://vk.com/wall-1825701_5748", "Открыть пост")</f>
        <v/>
      </c>
      <c r="D513" s="26" t="inlineStr">
        <is>
          <t>Выставки, экскурсии и культурные выходы</t>
        </is>
      </c>
      <c r="E513" s="26" t="inlineStr">
        <is>
          <t>Выставки, экскурсии и культурные выходы; Кулинарные, образовательные и социально-бытовые занятия</t>
        </is>
      </c>
      <c r="F513" s="26" t="inlineStr">
        <is>
          <t>Подопечные фонда «Дети Марии» (общая группа детей и подростков)</t>
        </is>
      </c>
      <c r="G513" s="26" t="inlineStr">
        <is>
          <t>Студия фонда / выездная площадка</t>
        </is>
      </c>
      <c r="H513" s="26" t="inlineStr">
        <is>
          <t>Организационные, ивент- и ярмарочные навыки; Медиа, фото/видеосъёмка и культурная медиация</t>
        </is>
      </c>
      <c r="I513" s="27" t="inlineStr">
        <is>
          <t>Да (в тексте)</t>
        </is>
      </c>
      <c r="J513" s="26" t="inlineStr">
        <is>
          <t>Друзья, приглашаем на лекцию фотографа Артура Бондаря «Фотография и память. Неизвестные хроники войны» 🗓 8 мая 2020 ⏱ 19:00 ￼🗝 Бесплатная регистрация на лекцию: https://mariaschildren.timepad.ru/event/1311120/ Возможно ли найти неизвестные негативы спустя 75 лет и зачем их искать...</t>
        </is>
      </c>
    </row>
    <row r="514" ht="30" customHeight="1">
      <c r="A514" s="28" t="n">
        <v>5744</v>
      </c>
      <c r="B514" s="29" t="inlineStr">
        <is>
          <t>2020-05-06</t>
        </is>
      </c>
      <c r="C514" s="30">
        <f>HYPERLINK("https://vk.com/wall-1825701_5744", "Открыть пост")</f>
        <v/>
      </c>
      <c r="D514" s="31" t="inlineStr">
        <is>
          <t>Творческие мастер-классы и художественные студии</t>
        </is>
      </c>
      <c r="E514" s="31" t="inlineStr">
        <is>
          <t>Творческие мастер-классы и художественные студии</t>
        </is>
      </c>
      <c r="F514" s="31" t="inlineStr">
        <is>
          <t>Подростки и взрослые с ментальными особенностями и ОВЗ (ПНИ / Социальные дома); Воспитанники ЦССВ, ДДИ и детских домов-интернатов; Выпускники интернатов и детских домов (молодые взрослые)</t>
        </is>
      </c>
      <c r="G514" s="31" t="inlineStr">
        <is>
          <t>Студия фонда / выездная площадка</t>
        </is>
      </c>
      <c r="H514" s="31" t="inlineStr">
        <is>
          <t>Коммуникативные навыки, эмпатия и тьюторское сопровождение; Педагогические и наставнические навыки (кулинария, быт, учёба); Организационные, ивент- и ярмарочные навыки</t>
        </is>
      </c>
      <c r="I514" s="32" t="inlineStr">
        <is>
          <t>Да (в тексте)</t>
        </is>
      </c>
      <c r="J514" s="31" t="inlineStr">
        <is>
          <t>Помните куратора наших молодых мам и самых маленьких студийцев, Лизу Новбари? До карантина она организовывала развивающие занятия для малышей в студии на Дмитровке. На карантине мы продолжаем помогать выпускницам интернатов и их семьям в рамках проекта «Социальная и психологическ...</t>
        </is>
      </c>
    </row>
    <row r="515" ht="30" customHeight="1">
      <c r="A515" s="23" t="n">
        <v>5742</v>
      </c>
      <c r="B515" s="24" t="inlineStr">
        <is>
          <t>2020-05-05</t>
        </is>
      </c>
      <c r="C515" s="25">
        <f>HYPERLINK("https://vk.com/wall-1825701_5742", "Открыть пост")</f>
        <v/>
      </c>
      <c r="D515" s="26" t="inlineStr">
        <is>
          <t>Спектакли, концерты и музыкально-театральные занятия</t>
        </is>
      </c>
      <c r="E515" s="26" t="inlineStr">
        <is>
          <t>Спектакли, концерты и музыкально-театральные занятия</t>
        </is>
      </c>
      <c r="F515" s="26" t="inlineStr">
        <is>
          <t>Подростки и взрослые с ментальными особенностями и ОВЗ (ПНИ / Социальные дома); Воспитанники ЦССВ, ДДИ и детских домов-интернатов; Широкая аудитория, гости и благотворители (открытые события)</t>
        </is>
      </c>
      <c r="G515" s="26" t="inlineStr">
        <is>
          <t>Студия фонда / выездная площадка</t>
        </is>
      </c>
      <c r="H515" s="26" t="inlineStr">
        <is>
          <t>Артистические, музыкальные и спортивно-игровые навыки</t>
        </is>
      </c>
      <c r="I515" s="27" t="inlineStr">
        <is>
          <t>По формату занятия</t>
        </is>
      </c>
      <c r="J515" s="26" t="inlineStr">
        <is>
          <t>Дорогие, всем привет! Сегодня с 13:30 до 14:00 в онлайн-режиме мы поговорим про спектакль «Высокие Карзики». На встречу придут актеры спектакля — воспитанники «Филимонковского детского дома-интерната», режиссер Анвар Либабов и учредитель Художественного центра «Дети Марии» Мария ...</t>
        </is>
      </c>
    </row>
    <row r="516" ht="30" customHeight="1">
      <c r="A516" s="28" t="n">
        <v>5741</v>
      </c>
      <c r="B516" s="29" t="inlineStr">
        <is>
          <t>2020-05-04</t>
        </is>
      </c>
      <c r="C516" s="30">
        <f>HYPERLINK("https://vk.com/wall-1825701_5741", "Открыть пост")</f>
        <v/>
      </c>
      <c r="D516" s="31" t="inlineStr">
        <is>
          <t>Спектакли, концерты и музыкально-театральные занятия</t>
        </is>
      </c>
      <c r="E516" s="31" t="inlineStr">
        <is>
          <t>Спектакли, концерты и музыкально-театральные занятия</t>
        </is>
      </c>
      <c r="F516" s="31" t="inlineStr">
        <is>
          <t>Подростки и взрослые с ментальными особенностями и ОВЗ (ПНИ / Социальные дома); Воспитанники ЦССВ, ДДИ и детских домов-интернатов; Широкая аудитория, гости и благотворители (открытые события)</t>
        </is>
      </c>
      <c r="G516" s="31" t="inlineStr">
        <is>
          <t>Студия фонда / выездная площадка</t>
        </is>
      </c>
      <c r="H516" s="31" t="inlineStr">
        <is>
          <t>Коммуникативные навыки, эмпатия и тьюторское сопровождение; Артистические, музыкальные и спортивно-игровые навыки</t>
        </is>
      </c>
      <c r="I516" s="32" t="inlineStr">
        <is>
          <t>По формату занятия</t>
        </is>
      </c>
      <c r="J516" s="31" t="inlineStr">
        <is>
          <t>Дорогие друзья! 5 мая по всему миру пройдёт важное событие — #ЩедрыйВторник. Он станет всемирным днем проявления солидарности и взаимопомощи перед лицом общей угрозы Covid-19. Мы верим, что именно сейчас важно действовать сообща, чтобы вместе преодолеть последствия пандемии: один...</t>
        </is>
      </c>
    </row>
    <row r="517" ht="30" customHeight="1">
      <c r="A517" s="23" t="n">
        <v>5734</v>
      </c>
      <c r="B517" s="24" t="inlineStr">
        <is>
          <t>2020-04-26</t>
        </is>
      </c>
      <c r="C517" s="25">
        <f>HYPERLINK("https://vk.com/wall-1825701_5734", "Открыть пост")</f>
        <v/>
      </c>
      <c r="D517" s="26" t="inlineStr">
        <is>
          <t>Творческие мастер-классы и художественные студии</t>
        </is>
      </c>
      <c r="E517" s="26" t="inlineStr">
        <is>
          <t>Творческие мастер-классы и художественные студии; Выставки, экскурсии и культурные выходы</t>
        </is>
      </c>
      <c r="F517" s="26" t="inlineStr">
        <is>
          <t>Подопечные фонда «Дети Марии» (общая группа детей и подростков)</t>
        </is>
      </c>
      <c r="G517" s="26" t="inlineStr">
        <is>
          <t>Студия фонда / выездная площадка</t>
        </is>
      </c>
      <c r="H517" s="26" t="inlineStr">
        <is>
          <t>Художественно-прикладные и ремесленные навыки</t>
        </is>
      </c>
      <c r="I517" s="27" t="inlineStr">
        <is>
          <t>По формату занятия</t>
        </is>
      </c>
      <c r="J517" s="26" t="inlineStr">
        <is>
          <t>Онлайн-занятия продолжаются! В субботу и воскресенье была лепка. Участники — дети, проходящие реабилитацию после заболеваний из АНО "Дети". Тема занятия была простая, но захватывающая. Лепили овощи и фрукты, а Аня Андреева рассказывала про керамистов 14-18 века. Надо сказать, изо...</t>
        </is>
      </c>
    </row>
    <row r="518" ht="30" customHeight="1">
      <c r="A518" s="28" t="n">
        <v>5723</v>
      </c>
      <c r="B518" s="29" t="inlineStr">
        <is>
          <t>2020-04-22</t>
        </is>
      </c>
      <c r="C518" s="30">
        <f>HYPERLINK("https://vk.com/wall-1825701_5723", "Открыть пост")</f>
        <v/>
      </c>
      <c r="D518" s="31" t="inlineStr">
        <is>
          <t>Спектакли, концерты и музыкально-театральные занятия</t>
        </is>
      </c>
      <c r="E518" s="31" t="inlineStr">
        <is>
          <t>Спектакли, концерты и музыкально-театральные занятия</t>
        </is>
      </c>
      <c r="F518" s="31" t="inlineStr">
        <is>
          <t>Подростки и взрослые с ментальными особенностями и ОВЗ (ПНИ / Социальные дома)</t>
        </is>
      </c>
      <c r="G518" s="31" t="inlineStr">
        <is>
          <t>Студия фонда / выездная площадка</t>
        </is>
      </c>
      <c r="H518" s="31" t="inlineStr">
        <is>
          <t>Коммуникативные навыки, эмпатия и тьюторское сопровождение; Артистические, музыкальные и спортивно-игровые навыки</t>
        </is>
      </c>
      <c r="I518" s="32" t="inlineStr">
        <is>
          <t>По формату занятия</t>
        </is>
      </c>
      <c r="J518" s="31" t="inlineStr">
        <is>
          <t>Дистанционные занятия — это общение и поддержка для ребят, которые живут на карантине в интернатах. Музыкальные занятия для ребят из ПНИ 16 проводила Любовь Ивановна. Каждый день в онлайн формате собирался настоящий музыкальный театр: Любочка за фортепиано, а участники — кто с ги...</t>
        </is>
      </c>
    </row>
    <row r="519" ht="30" customHeight="1">
      <c r="A519" s="23" t="n">
        <v>5713</v>
      </c>
      <c r="B519" s="24" t="inlineStr">
        <is>
          <t>2020-04-13</t>
        </is>
      </c>
      <c r="C519" s="25">
        <f>HYPERLINK("https://vk.com/wall-1825701_5713", "Открыть пост")</f>
        <v/>
      </c>
      <c r="D519" s="26" t="inlineStr">
        <is>
          <t>Праздники, дни рождения и клубные встречи</t>
        </is>
      </c>
      <c r="E519" s="26" t="inlineStr">
        <is>
          <t>Праздники, дни рождения и клубные встречи</t>
        </is>
      </c>
      <c r="F519" s="26" t="inlineStr">
        <is>
          <t>Подопечные фонда «Дети Марии» (общая группа детей и подростков)</t>
        </is>
      </c>
      <c r="G519" s="26" t="inlineStr">
        <is>
          <t>Студия фонда / выездная площадка</t>
        </is>
      </c>
      <c r="H519" s="26" t="inlineStr">
        <is>
          <t>Коммуникативные навыки, эмпатия и тьюторское сопровождение</t>
        </is>
      </c>
      <c r="I519" s="27" t="inlineStr">
        <is>
          <t>Да (в тексте)</t>
        </is>
      </c>
      <c r="J519" s="26" t="inlineStr">
        <is>
          <t>17 апреля 1997 года был зарегистрирован Художественный центр «Дети Марии», то есть совсем скоро настанет 23ий день рождения Студии! В этом году мы не сможем, увы, отпраздновать его, как обычно, собравшись вместе, но мы очень стараемся сохранять связь друг с другом и с ребятами в ...</t>
        </is>
      </c>
    </row>
    <row r="520" ht="30" customHeight="1">
      <c r="A520" s="28" t="n">
        <v>5711</v>
      </c>
      <c r="B520" s="29" t="inlineStr">
        <is>
          <t>2020-04-09</t>
        </is>
      </c>
      <c r="C520" s="30">
        <f>HYPERLINK("https://vk.com/wall-1825701_5711", "Открыть пост")</f>
        <v/>
      </c>
      <c r="D520" s="31" t="inlineStr">
        <is>
          <t>Творческие мастер-классы и художественные студии</t>
        </is>
      </c>
      <c r="E520" s="31" t="inlineStr">
        <is>
          <t>Творческие мастер-классы и художественные студии</t>
        </is>
      </c>
      <c r="F520" s="31" t="inlineStr">
        <is>
          <t>Подопечные фонда «Дети Марии» (общая группа детей и подростков)</t>
        </is>
      </c>
      <c r="G520" s="31" t="inlineStr">
        <is>
          <t>Студия фонда / выездная площадка</t>
        </is>
      </c>
      <c r="H520" s="31" t="inlineStr">
        <is>
          <t>Художественно-прикладные и ремесленные навыки</t>
        </is>
      </c>
      <c r="I520" s="32" t="inlineStr">
        <is>
          <t>По формату занятия</t>
        </is>
      </c>
      <c r="J520" s="31" t="inlineStr">
        <is>
          <t>Лепить дистанционно — это возможно? Да, если хочется! Аня Андреева проводит онлайн-занятия лепкой для семей из АНО «Дети»: 💬 «Вместо глины используем солёное тесто — пластичный и очень податливый материал из муки, соли и воды. Несмотря на невысокое качество связи, занятие прошло ...</t>
        </is>
      </c>
    </row>
    <row r="521" ht="30" customHeight="1">
      <c r="A521" s="23" t="n">
        <v>5701</v>
      </c>
      <c r="B521" s="24" t="inlineStr">
        <is>
          <t>2020-03-29</t>
        </is>
      </c>
      <c r="C521" s="25">
        <f>HYPERLINK("https://vk.com/wall-1825701_5701", "Открыть пост")</f>
        <v/>
      </c>
      <c r="D521" s="26" t="inlineStr">
        <is>
          <t>Выездные лагеря, дача и сезонные программы</t>
        </is>
      </c>
      <c r="E521" s="26" t="inlineStr">
        <is>
          <t>Выездные лагеря, дача и сезонные программы</t>
        </is>
      </c>
      <c r="F521" s="26" t="inlineStr">
        <is>
          <t>Подопечные фонда «Дети Марии» (общая группа детей и подростков)</t>
        </is>
      </c>
      <c r="G521" s="26" t="inlineStr">
        <is>
          <t>Студия фонда / выездная площадка</t>
        </is>
      </c>
      <c r="H521" s="26" t="inlineStr">
        <is>
          <t>Мобильность, выездное сопровождение и автоволонтёрство</t>
        </is>
      </c>
      <c r="I521" s="27" t="inlineStr">
        <is>
          <t>По формату занятия</t>
        </is>
      </c>
      <c r="J521" s="26" t="inlineStr">
        <is>
          <t>Что посмотреть, сидя дома на карантине? Youtube-канал Детей Марии! Особенно рекомендуем фильмы семеек Зебр, Слонов, Жирафов и Львов из наших летних лагерей. https://www.youtube.com/channel/UCCKgRNq6R1dgfXVotCqhCxg/videos?view_as=subscriber</t>
        </is>
      </c>
    </row>
    <row r="522" ht="30" customHeight="1">
      <c r="A522" s="28" t="n">
        <v>5691</v>
      </c>
      <c r="B522" s="29" t="inlineStr">
        <is>
          <t>2020-03-19</t>
        </is>
      </c>
      <c r="C522" s="30">
        <f>HYPERLINK("https://vk.com/wall-1825701_5691", "Открыть пост")</f>
        <v/>
      </c>
      <c r="D522" s="31" t="inlineStr">
        <is>
          <t>Творческие мастер-классы и художественные студии</t>
        </is>
      </c>
      <c r="E522" s="31" t="inlineStr">
        <is>
          <t>Творческие мастер-классы и художественные студии</t>
        </is>
      </c>
      <c r="F522" s="31" t="inlineStr">
        <is>
          <t>Подопечные фонда «Дети Марии» (общая группа детей и подростков)</t>
        </is>
      </c>
      <c r="G522" s="31" t="inlineStr">
        <is>
          <t>Студия фонда / выездная площадка</t>
        </is>
      </c>
      <c r="H522" s="31" t="inlineStr">
        <is>
          <t>Художественно-прикладные и ремесленные навыки</t>
        </is>
      </c>
      <c r="I522" s="32" t="inlineStr">
        <is>
          <t>Да (в тексте)</t>
        </is>
      </c>
      <c r="J522" s="31" t="inlineStr">
        <is>
          <t>В среду на занятии для волонтеров продолжали валять домики-грелки на чайники. И у самых настойчивых домики готовы к сдаче в эксплуатацию! У остальных процесс продолжается. В связи в карантином это пока последнее занятие по валянию, заканчивать домики будем уже дома 🏡 #18.03</t>
        </is>
      </c>
    </row>
    <row r="523" ht="30" customHeight="1">
      <c r="A523" s="23" t="n">
        <v>5690</v>
      </c>
      <c r="B523" s="24" t="inlineStr">
        <is>
          <t>2020-03-18</t>
        </is>
      </c>
      <c r="C523" s="25">
        <f>HYPERLINK("https://vk.com/wall-1825701_5690", "Открыть пост")</f>
        <v/>
      </c>
      <c r="D523" s="26" t="inlineStr">
        <is>
          <t>Выставки, экскурсии и культурные выходы</t>
        </is>
      </c>
      <c r="E523" s="26" t="inlineStr">
        <is>
          <t>Выставки, экскурсии и культурные выходы</t>
        </is>
      </c>
      <c r="F523" s="26" t="inlineStr">
        <is>
          <t>Подростки и взрослые с ментальными особенностями и ОВЗ (ПНИ / Социальные дома)</t>
        </is>
      </c>
      <c r="G523" s="26" t="inlineStr">
        <is>
          <t>Студия фонда / выездная площадка</t>
        </is>
      </c>
      <c r="H523" s="26" t="inlineStr">
        <is>
          <t>Коммуникативные навыки, эмпатия и тьюторское сопровождение; Организационные, ивент- и ярмарочные навыки; Мобильность, выездное сопровождение и автоволонтёрство; Медиа, фото/видеосъёмка и культурная медиация</t>
        </is>
      </c>
      <c r="I523" s="27" t="inlineStr">
        <is>
          <t>По формату занятия</t>
        </is>
      </c>
      <c r="J523" s="26" t="inlineStr">
        <is>
          <t>В далёком феврале, когда музеи ещё работали, дети из 31 школы-интерната познакомились с Музеем русского импрессионизма. Благодарим за невероятную экскурсию 13 февраля! Ребятам очень понравилось, они остались в полном восторге. Все в один голос говорят, что ещё не встречали музей,...</t>
        </is>
      </c>
    </row>
    <row r="524" ht="30" customHeight="1">
      <c r="A524" s="28" t="n">
        <v>5686</v>
      </c>
      <c r="B524" s="29" t="inlineStr">
        <is>
          <t>2020-03-18</t>
        </is>
      </c>
      <c r="C524" s="30">
        <f>HYPERLINK("https://vk.com/wall-1825701_5686", "Открыть пост")</f>
        <v/>
      </c>
      <c r="D524" s="31" t="inlineStr">
        <is>
          <t>Спектакли, концерты и музыкально-театральные занятия</t>
        </is>
      </c>
      <c r="E524" s="31" t="inlineStr">
        <is>
          <t>Спектакли, концерты и музыкально-театральные занятия; Творческие мастер-классы и художественные студии</t>
        </is>
      </c>
      <c r="F524" s="31" t="inlineStr">
        <is>
          <t>Воспитанники ЦССВ, ДДИ и детских домов-интернатов</t>
        </is>
      </c>
      <c r="G524" s="31" t="inlineStr">
        <is>
          <t>ЦССВ «Юнона»</t>
        </is>
      </c>
      <c r="H524" s="31" t="inlineStr">
        <is>
          <t>Артистические, музыкальные и спортивно-игровые навыки; Педагогические и наставнические навыки (кулинария, быт, учёба)</t>
        </is>
      </c>
      <c r="I524" s="32" t="inlineStr">
        <is>
          <t>По формату занятия</t>
        </is>
      </c>
      <c r="J524" s="31" t="inlineStr">
        <is>
          <t>Концертный зал Зарядье, спасибо за приглашения! 11 и 12 марта в Большом зале Концертного зала Зарядье сотрудники и подопечные студии слушали классическую музыку. 11 марта выступал Тюменский филармонический оркестр, дирижёр – Евгений Шестаков, солист – Дмитрий Ситковецкий, скрипка...</t>
        </is>
      </c>
    </row>
    <row r="525" ht="30" customHeight="1">
      <c r="A525" s="23" t="n">
        <v>5685</v>
      </c>
      <c r="B525" s="24" t="inlineStr">
        <is>
          <t>2020-03-18</t>
        </is>
      </c>
      <c r="C525" s="25">
        <f>HYPERLINK("https://vk.com/wall-1825701_5685", "Открыть пост")</f>
        <v/>
      </c>
      <c r="D525" s="26" t="inlineStr">
        <is>
          <t>Спектакли, концерты и музыкально-театральные занятия</t>
        </is>
      </c>
      <c r="E525" s="26" t="inlineStr">
        <is>
          <t>Спектакли, концерты и музыкально-театральные занятия</t>
        </is>
      </c>
      <c r="F525" s="26" t="inlineStr">
        <is>
          <t>Воспитанники ЦССВ, ДДИ и детских домов-интернатов</t>
        </is>
      </c>
      <c r="G525" s="26" t="inlineStr">
        <is>
          <t>ЦССВ «ЮНОНА»</t>
        </is>
      </c>
      <c r="H525" s="26" t="inlineStr">
        <is>
          <t>Артистические, музыкальные и спортивно-игровые навыки; Педагогические и наставнические навыки (кулинария, быт, учёба); Мобильность, выездное сопровождение и автоволонтёрство</t>
        </is>
      </c>
      <c r="I525" s="27" t="inlineStr">
        <is>
          <t>По формату занятия</t>
        </is>
      </c>
      <c r="J525" s="26" t="inlineStr">
        <is>
          <t>Московская Консерватория пригласила нас на органный концерт в Большой зал 10 марта. Выступал Рубин Абдуллин (орган) в сопровождении Камерного оркестра Казанской консерватории, дирижёр — Лео Кремер (Германия). В программе: И. С. Бах, С. Франк, О. Респиги, Ф. Пуленк. Большое спасиб...</t>
        </is>
      </c>
    </row>
    <row r="526" ht="30" customHeight="1">
      <c r="A526" s="28" t="n">
        <v>5684</v>
      </c>
      <c r="B526" s="29" t="inlineStr">
        <is>
          <t>2020-03-16</t>
        </is>
      </c>
      <c r="C526" s="30">
        <f>HYPERLINK("https://vk.com/wall-1825701_5684", "Открыть пост")</f>
        <v/>
      </c>
      <c r="D526" s="31" t="inlineStr">
        <is>
          <t>Спектакли, концерты и музыкально-театральные занятия</t>
        </is>
      </c>
      <c r="E526" s="31" t="inlineStr">
        <is>
          <t>Спектакли, концерты и музыкально-театральные занятия</t>
        </is>
      </c>
      <c r="F526" s="31" t="inlineStr">
        <is>
          <t>Воспитанники ЦССВ, ДДИ и детских домов-интернатов</t>
        </is>
      </c>
      <c r="G526" s="31" t="inlineStr">
        <is>
          <t>ЦССВ «ЮНОНА»</t>
        </is>
      </c>
      <c r="H526" s="31" t="inlineStr">
        <is>
          <t>Артистические, музыкальные и спортивно-игровые навыки; Педагогические и наставнические навыки (кулинария, быт, учёба); Мобильность, выездное сопровождение и автоволонтёрство</t>
        </is>
      </c>
      <c r="I526" s="32" t="inlineStr">
        <is>
          <t>По формату занятия</t>
        </is>
      </c>
      <c r="J526" s="31" t="inlineStr">
        <is>
          <t>Московская консерватория (Moscow Conservatory) пригласила нас на органный концерт в Большой зал 10 марта. Выступал Рубин Абдуллин (орган) в сопровождении Камерного оркестра Казанской консерватории, дирижёр — Лео Кремер (Германия). В программе: И. С. Бах, С. Франк, О. Респиги, Ф. ...</t>
        </is>
      </c>
    </row>
    <row r="527" ht="30" customHeight="1">
      <c r="A527" s="23" t="n">
        <v>5675</v>
      </c>
      <c r="B527" s="24" t="inlineStr">
        <is>
          <t>2020-03-14</t>
        </is>
      </c>
      <c r="C527" s="25">
        <f>HYPERLINK("https://vk.com/wall-1825701_5675", "Открыть пост")</f>
        <v/>
      </c>
      <c r="D527" s="26" t="inlineStr">
        <is>
          <t>Творческие мастер-классы и художественные студии</t>
        </is>
      </c>
      <c r="E527" s="26" t="inlineStr">
        <is>
          <t>Творческие мастер-классы и художественные студии</t>
        </is>
      </c>
      <c r="F527" s="26" t="inlineStr">
        <is>
          <t>Подопечные фонда «Дети Марии» (общая группа детей и подростков)</t>
        </is>
      </c>
      <c r="G527" s="26" t="inlineStr">
        <is>
          <t>Студия фонда / выездная площадка</t>
        </is>
      </c>
      <c r="H527" s="26" t="inlineStr">
        <is>
          <t>Педагогические и наставнические навыки (кулинария, быт, учёба)</t>
        </is>
      </c>
      <c r="I527" s="27" t="inlineStr">
        <is>
          <t>По формату занятия</t>
        </is>
      </c>
      <c r="J527" s="26" t="inlineStr">
        <is>
          <t>На мастер-классе по стеклу впервые Саша и Даша Каменская. Подбирали по цвету стекла, учились обтачивать. Хотите освоить витражную технику «Тиффани» с Ирой Скимбаторь, приходите в студию на Дмитровку по четвергам с 17 до 22 часов. #12.03</t>
        </is>
      </c>
    </row>
    <row r="528" ht="30" customHeight="1">
      <c r="A528" s="28" t="n">
        <v>5670</v>
      </c>
      <c r="B528" s="29" t="inlineStr">
        <is>
          <t>2020-03-11</t>
        </is>
      </c>
      <c r="C528" s="30">
        <f>HYPERLINK("https://vk.com/wall-1825701_5670", "Открыть пост")</f>
        <v/>
      </c>
      <c r="D528" s="31" t="inlineStr">
        <is>
          <t>Кулинарные, образовательные и социально-бытовые занятия</t>
        </is>
      </c>
      <c r="E528" s="31" t="inlineStr">
        <is>
          <t>Кулинарные, образовательные и социально-бытовые занятия; Творческие мастер-классы и художественные студии</t>
        </is>
      </c>
      <c r="F528" s="31" t="inlineStr">
        <is>
          <t>Подопечные фонда «Дети Марии» (общая группа детей и подростков)</t>
        </is>
      </c>
      <c r="G528" s="31" t="inlineStr">
        <is>
          <t>Студия фонда / выездная площадка</t>
        </is>
      </c>
      <c r="H528" s="31" t="inlineStr">
        <is>
          <t>Педагогические и наставнические навыки (кулинария, быт, учёба)</t>
        </is>
      </c>
      <c r="I528" s="32" t="inlineStr">
        <is>
          <t>По формату занятия</t>
        </is>
      </c>
      <c r="J528" s="31" t="inlineStr">
        <is>
          <t>Кулинарный мастер-класс по приготовлению пиццы от Виктория Косякова. С этой девушкой никто в студии не останется голодным!) #10.03</t>
        </is>
      </c>
    </row>
    <row r="529" ht="30" customHeight="1">
      <c r="A529" s="23" t="n">
        <v>5669</v>
      </c>
      <c r="B529" s="24" t="inlineStr">
        <is>
          <t>2020-03-10</t>
        </is>
      </c>
      <c r="C529" s="25">
        <f>HYPERLINK("https://vk.com/wall-1825701_5669", "Открыть пост")</f>
        <v/>
      </c>
      <c r="D529" s="26" t="inlineStr">
        <is>
          <t>Творческие мастер-классы и художественные студии</t>
        </is>
      </c>
      <c r="E529" s="26" t="inlineStr">
        <is>
          <t>Творческие мастер-классы и художественные студии</t>
        </is>
      </c>
      <c r="F529" s="26" t="inlineStr">
        <is>
          <t>Подопечные фонда «Дети Марии» (общая группа детей и подростков)</t>
        </is>
      </c>
      <c r="G529" s="26" t="inlineStr">
        <is>
          <t>Студия фонда / выездная площадка</t>
        </is>
      </c>
      <c r="H529" s="26" t="inlineStr">
        <is>
          <t>Художественно-прикладные и ремесленные навыки</t>
        </is>
      </c>
      <c r="I529" s="27" t="inlineStr">
        <is>
          <t>По формату занятия</t>
        </is>
      </c>
      <c r="J529" s="26" t="inlineStr">
        <is>
          <t>8 марта прошло, а весенне-праздничное настроение осталось! И букеты цветов тоже 😉 В субботу занятие с АНО «Дети» провели Нюся Митина и Лёша Строев. Дети лепили и рисовали свежие восьмимартовские тюльпаны 🌷 #7.03</t>
        </is>
      </c>
    </row>
    <row r="530" ht="30" customHeight="1">
      <c r="A530" s="28" t="n">
        <v>5667</v>
      </c>
      <c r="B530" s="29" t="inlineStr">
        <is>
          <t>2020-03-09</t>
        </is>
      </c>
      <c r="C530" s="30">
        <f>HYPERLINK("https://vk.com/wall-1825701_5667", "Открыть пост")</f>
        <v/>
      </c>
      <c r="D530" s="31" t="inlineStr">
        <is>
          <t>Творческие мастер-классы и художественные студии</t>
        </is>
      </c>
      <c r="E530" s="31" t="inlineStr">
        <is>
          <t>Творческие мастер-классы и художественные студии</t>
        </is>
      </c>
      <c r="F530" s="31" t="inlineStr">
        <is>
          <t>Воспитанники ЦССВ, ДДИ и детских домов-интернатов</t>
        </is>
      </c>
      <c r="G530" s="31" t="inlineStr">
        <is>
          <t>Студия фонда / выездная площадка</t>
        </is>
      </c>
      <c r="H530" s="31" t="inlineStr">
        <is>
          <t>Педагогические и наставнические навыки (кулинария, быт, учёба)</t>
        </is>
      </c>
      <c r="I530" s="32" t="inlineStr">
        <is>
          <t>Да (в тексте)</t>
        </is>
      </c>
      <c r="J530" s="31" t="inlineStr">
        <is>
          <t>Вчера ребята из Покровского детского дома впервые услышали слово «эбру» и познакомились с этой техникой. Два подряд мастер-класса провёл наш куратор Ясин Омар: для малышей и старших. Волшебство эбру покорило всех! #8.03</t>
        </is>
      </c>
    </row>
    <row r="531" ht="30" customHeight="1">
      <c r="A531" s="23" t="n">
        <v>5665</v>
      </c>
      <c r="B531" s="24" t="inlineStr">
        <is>
          <t>2020-03-09</t>
        </is>
      </c>
      <c r="C531" s="25">
        <f>HYPERLINK("https://vk.com/wall-1825701_5665", "Открыть пост")</f>
        <v/>
      </c>
      <c r="D531" s="26" t="inlineStr">
        <is>
          <t>Творческие мастер-классы и художественные студии</t>
        </is>
      </c>
      <c r="E531" s="26" t="inlineStr">
        <is>
          <t>Творческие мастер-классы и художественные студии; Выездные лагеря, дача и сезонные программы</t>
        </is>
      </c>
      <c r="F531" s="26" t="inlineStr">
        <is>
          <t>Подопечные фонда «Дети Марии» (общая группа детей и подростков)</t>
        </is>
      </c>
      <c r="G531" s="26" t="inlineStr">
        <is>
          <t>Студия фонда / выездная площадка</t>
        </is>
      </c>
      <c r="H531" s="26" t="inlineStr">
        <is>
          <t>Художественно-прикладные и ремесленные навыки</t>
        </is>
      </c>
      <c r="I531" s="27" t="inlineStr">
        <is>
          <t>По формату занятия</t>
        </is>
      </c>
      <c r="J531" s="26" t="inlineStr">
        <is>
          <t>Уютное занятие в небольшой компании прошло на даче у Марии. Ребята из Филимонок занимались в мастерских. В этот раз к парням в столярной присоединилась Юля. А Нина давно не приезжала из-за учебы и соскучилась по росписи керамики ☺• #4.03</t>
        </is>
      </c>
    </row>
    <row r="532" ht="30" customHeight="1">
      <c r="A532" s="28" t="n">
        <v>5664</v>
      </c>
      <c r="B532" s="29" t="inlineStr">
        <is>
          <t>2020-03-08</t>
        </is>
      </c>
      <c r="C532" s="30">
        <f>HYPERLINK("https://vk.com/wall-1825701_5664", "Открыть пост")</f>
        <v/>
      </c>
      <c r="D532" s="31" t="inlineStr">
        <is>
          <t>Творческие мастер-классы и художественные студии</t>
        </is>
      </c>
      <c r="E532" s="31" t="inlineStr">
        <is>
          <t>Творческие мастер-классы и художественные студии</t>
        </is>
      </c>
      <c r="F532" s="31" t="inlineStr">
        <is>
          <t>Подопечные фонда «Дети Марии» (общая группа детей и подростков)</t>
        </is>
      </c>
      <c r="G532" s="31" t="inlineStr">
        <is>
          <t>Студия фонда / выездная площадка</t>
        </is>
      </c>
      <c r="H532" s="31" t="inlineStr">
        <is>
          <t>Педагогические и наставнические навыки (кулинария, быт, учёба)</t>
        </is>
      </c>
      <c r="I532" s="32" t="inlineStr">
        <is>
          <t>Да (в тексте)</t>
        </is>
      </c>
      <c r="J532" s="31" t="inlineStr">
        <is>
          <t>Поздравляем с 8 марта наших прекрасных женщин! 🌸 Любимые наши сотрудницы, волонтеры, педагоги, друзья, желаем вам любви и счастья! И в душе солнца! Пусть сбудутся заветные мечты ❤• В пятницу поздравили коллег. Учились основам флористики: составляли букеты на мастер-классе, а пото...</t>
        </is>
      </c>
    </row>
    <row r="533" ht="30" customHeight="1">
      <c r="A533" s="23" t="n">
        <v>5653</v>
      </c>
      <c r="B533" s="24" t="inlineStr">
        <is>
          <t>2020-03-04</t>
        </is>
      </c>
      <c r="C533" s="25">
        <f>HYPERLINK("https://vk.com/wall-1825701_5653", "Открыть пост")</f>
        <v/>
      </c>
      <c r="D533" s="26" t="inlineStr">
        <is>
          <t>Творческие мастер-классы и художественные студии</t>
        </is>
      </c>
      <c r="E533" s="26" t="inlineStr">
        <is>
          <t>Творческие мастер-классы и художественные студии</t>
        </is>
      </c>
      <c r="F533" s="26" t="inlineStr">
        <is>
          <t>Подопечные фонда «Дети Марии» (общая группа детей и подростков)</t>
        </is>
      </c>
      <c r="G533" s="26" t="inlineStr">
        <is>
          <t>Студия фонда / выездная площадка</t>
        </is>
      </c>
      <c r="H533" s="26" t="inlineStr">
        <is>
          <t>Художественно-прикладные и ремесленные навыки</t>
        </is>
      </c>
      <c r="I533" s="27" t="inlineStr">
        <is>
          <t>По формату занятия</t>
        </is>
      </c>
      <c r="J533" s="26" t="inlineStr">
        <is>
          <t>Вы когда-нибудь задумывались, насколько сложен и разнообразен наш мир? На живописи для взрослых под руководством Анна Митина участники изображают обитателей микромира: бактерии, насекомых, цветы и растения. Многообразие биологического мира восхищает. И ботанический проект почти г...</t>
        </is>
      </c>
    </row>
    <row r="534" ht="30" customHeight="1">
      <c r="A534" s="28" t="n">
        <v>5652</v>
      </c>
      <c r="B534" s="29" t="inlineStr">
        <is>
          <t>2020-03-03</t>
        </is>
      </c>
      <c r="C534" s="30">
        <f>HYPERLINK("https://vk.com/wall-1825701_5652", "Открыть пост")</f>
        <v/>
      </c>
      <c r="D534" s="31" t="inlineStr">
        <is>
          <t>Творческие мастер-классы и художественные студии</t>
        </is>
      </c>
      <c r="E534" s="31" t="inlineStr">
        <is>
          <t>Творческие мастер-классы и художественные студии; Спектакли, концерты и музыкально-театральные занятия</t>
        </is>
      </c>
      <c r="F534" s="31" t="inlineStr">
        <is>
          <t>Подростки и взрослые с ментальными особенностями и ОВЗ (ПНИ / Социальные дома)</t>
        </is>
      </c>
      <c r="G534" s="31" t="inlineStr">
        <is>
          <t>Студия фонда / выездная площадка</t>
        </is>
      </c>
      <c r="H534" s="31" t="inlineStr">
        <is>
          <t>Художественно-прикладные и ремесленные навыки; Артистические, музыкальные и спортивно-игровые навыки; Мобильность, выездное сопровождение и автоволонтёрство</t>
        </is>
      </c>
      <c r="I534" s="32" t="inlineStr">
        <is>
          <t>Да (в тексте)</t>
        </is>
      </c>
      <c r="J534" s="31" t="inlineStr">
        <is>
          <t>Творческая атмосфера царит в ПНИ 16 по вторникам ☺• Сегодня занятие проводила наша волонтёр, художница Катя Филимонова. Каждый выбрал себе занятие по душе. Дима рисовал картину к 9 мая. Олег освоил пастель: нарисовал просто восхитительные картины! Настроение всем обеспечил Юра, и...</t>
        </is>
      </c>
    </row>
    <row r="535" ht="30" customHeight="1">
      <c r="A535" s="23" t="n">
        <v>5646</v>
      </c>
      <c r="B535" s="24" t="inlineStr">
        <is>
          <t>2020-02-29</t>
        </is>
      </c>
      <c r="C535" s="25">
        <f>HYPERLINK("https://vk.com/wall-1825701_5646", "Открыть пост")</f>
        <v/>
      </c>
      <c r="D535" s="26" t="inlineStr">
        <is>
          <t>Творческие мастер-классы и художественные студии</t>
        </is>
      </c>
      <c r="E535" s="26" t="inlineStr">
        <is>
          <t>Творческие мастер-классы и художественные студии</t>
        </is>
      </c>
      <c r="F535" s="26" t="inlineStr">
        <is>
          <t>Подростки и взрослые с ментальными особенностями и ОВЗ (ПНИ / Социальные дома)</t>
        </is>
      </c>
      <c r="G535" s="26" t="inlineStr">
        <is>
          <t>Студия фонда / выездная площадка</t>
        </is>
      </c>
      <c r="H535" s="26" t="inlineStr">
        <is>
          <t>Художественно-прикладные и ремесленные навыки; Мобильность, выездное сопровождение и автоволонтёрство</t>
        </is>
      </c>
      <c r="I535" s="27" t="inlineStr">
        <is>
          <t>По формату занятия</t>
        </is>
      </c>
      <c r="J535" s="26" t="inlineStr">
        <is>
          <t>Сегодня ребята из 16 ПНИ на занятии у Нюси пробовали разные техники изобразительного искусства — пастельную живопись и графику. Для Вани Савельева после занятия было решено заказать для него службу сопровождения в метро. С ним обходились как с самой важной персоной!) #29.02</t>
        </is>
      </c>
    </row>
    <row r="536" ht="30" customHeight="1">
      <c r="A536" s="28" t="n">
        <v>5645</v>
      </c>
      <c r="B536" s="29" t="inlineStr">
        <is>
          <t>2020-02-29</t>
        </is>
      </c>
      <c r="C536" s="30">
        <f>HYPERLINK("https://vk.com/wall-1825701_5645", "Открыть пост")</f>
        <v/>
      </c>
      <c r="D536" s="31" t="inlineStr">
        <is>
          <t>Спектакли, концерты и музыкально-театральные занятия</t>
        </is>
      </c>
      <c r="E536" s="31" t="inlineStr">
        <is>
          <t>Спектакли, концерты и музыкально-театральные занятия; Праздники, дни рождения и клубные встречи; Творческие мастер-классы и художественные студии</t>
        </is>
      </c>
      <c r="F536" s="31" t="inlineStr">
        <is>
          <t>Подростки и взрослые с ментальными особенностями и ОВЗ (ПНИ / Социальные дома)</t>
        </is>
      </c>
      <c r="G536" s="31" t="inlineStr">
        <is>
          <t>Студия фонда / выездная площадка</t>
        </is>
      </c>
      <c r="H536" s="31" t="inlineStr">
        <is>
          <t>Артистические, музыкальные и спортивно-игровые навыки; Организационные, ивент- и ярмарочные навыки</t>
        </is>
      </c>
      <c r="I536" s="32" t="inlineStr">
        <is>
          <t>По формату занятия</t>
        </is>
      </c>
      <c r="J536" s="31" t="inlineStr">
        <is>
          <t>Друзья, с последним днем зимы! Завтра весна! 🌱 Мы провожаем зиму в парках Москвы, празднуем Масленицу. Maria Smolina с Сергей Черемкин и Игорь Григорьев были в саду Эрмитаж. Большая компания собралась в парке Красная Пресня: Лакшми и Соня, ребята из ПНИ 16 а также дети — маленьки...</t>
        </is>
      </c>
    </row>
    <row r="537" ht="30" customHeight="1">
      <c r="A537" s="23" t="n">
        <v>5644</v>
      </c>
      <c r="B537" s="24" t="inlineStr">
        <is>
          <t>2020-02-29</t>
        </is>
      </c>
      <c r="C537" s="25">
        <f>HYPERLINK("https://vk.com/wall-1825701_5644", "Открыть пост")</f>
        <v/>
      </c>
      <c r="D537" s="26" t="inlineStr">
        <is>
          <t>Праздники, дни рождения и клубные встречи</t>
        </is>
      </c>
      <c r="E537" s="26" t="inlineStr">
        <is>
          <t>Праздники, дни рождения и клубные встречи; Творческие мастер-классы и художественные студии</t>
        </is>
      </c>
      <c r="F537" s="26" t="inlineStr">
        <is>
          <t>Подростки и взрослые с ментальными особенностями и ОВЗ (ПНИ / Социальные дома)</t>
        </is>
      </c>
      <c r="G537" s="26" t="inlineStr">
        <is>
          <t>Студия фонда / выездная площадка</t>
        </is>
      </c>
      <c r="H537" s="26"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t>
        </is>
      </c>
      <c r="I537" s="27" t="inlineStr">
        <is>
          <t>По формату занятия</t>
        </is>
      </c>
      <c r="J537" s="26" t="inlineStr">
        <is>
          <t>Много поводов для праздничного настроения в студии на Дмитровке 🥳 Вчера с ребятами из ПНИ 16 праздновали Масленицу и поздравляли с днём рождения братьев Савельевых. Близнецы Андрей и Ваня Савельевы наши друзья и подопечные уже больше 15 лет. Андрей жил в 4 интернате и приезжал вм...</t>
        </is>
      </c>
    </row>
    <row r="538" ht="30" customHeight="1">
      <c r="A538" s="28" t="n">
        <v>5640</v>
      </c>
      <c r="B538" s="29" t="inlineStr">
        <is>
          <t>2020-02-28</t>
        </is>
      </c>
      <c r="C538" s="30">
        <f>HYPERLINK("https://vk.com/wall-1825701_5640", "Открыть пост")</f>
        <v/>
      </c>
      <c r="D538" s="31" t="inlineStr">
        <is>
          <t>Творческие мастер-классы и художественные студии</t>
        </is>
      </c>
      <c r="E538" s="31" t="inlineStr">
        <is>
          <t>Творческие мастер-классы и художественные студии</t>
        </is>
      </c>
      <c r="F538" s="31" t="inlineStr">
        <is>
          <t>Подопечные фонда «Дети Марии» (общая группа детей и подростков)</t>
        </is>
      </c>
      <c r="G538" s="31" t="inlineStr">
        <is>
          <t>Студия фонда / выездная площадка</t>
        </is>
      </c>
      <c r="H538" s="31" t="inlineStr">
        <is>
          <t>Художественно-прикладные и ремесленные навыки; Педагогические и наставнические навыки (кулинария, быт, учёба)</t>
        </is>
      </c>
      <c r="I538" s="32" t="inlineStr">
        <is>
          <t>По формату занятия</t>
        </is>
      </c>
      <c r="J538" s="31" t="inlineStr">
        <is>
          <t>Всему приходит конец. И ремонту тоже! 🙂 Сегодня в студии на Новинском возобновились занятия. Дети, ученики школы Св.Георгия, занимались керамикой с Ислом Мухтаров. Некоторых уже ждали их обожженные работы, привезённые с Дмитровки. Кто расписывал, кто лепил, а кто — учился работе ...</t>
        </is>
      </c>
    </row>
    <row r="539" ht="30" customHeight="1">
      <c r="A539" s="23" t="n">
        <v>5639</v>
      </c>
      <c r="B539" s="24" t="inlineStr">
        <is>
          <t>2020-02-28</t>
        </is>
      </c>
      <c r="C539" s="25">
        <f>HYPERLINK("https://vk.com/wall-1825701_5639", "Открыть пост")</f>
        <v/>
      </c>
      <c r="D539" s="26" t="inlineStr">
        <is>
          <t>Спектакли, концерты и музыкально-театральные занятия</t>
        </is>
      </c>
      <c r="E539" s="26" t="inlineStr">
        <is>
          <t>Спектакли, концерты и музыкально-театральные занятия</t>
        </is>
      </c>
      <c r="F539" s="26" t="inlineStr">
        <is>
          <t>Подопечные фонда «Дети Марии» (общая группа детей и подростков)</t>
        </is>
      </c>
      <c r="G539" s="26" t="inlineStr">
        <is>
          <t>Студия фонда / выездная площадка</t>
        </is>
      </c>
      <c r="H539" s="26" t="inlineStr">
        <is>
          <t>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 Мобильность, выездное сопровождение и автоволонтёрство; Медиа, фото/видеосъёмка и культурная медиация</t>
        </is>
      </c>
      <c r="I539" s="27" t="inlineStr">
        <is>
          <t>По формату занятия</t>
        </is>
      </c>
      <c r="J539" s="26" t="inlineStr">
        <is>
          <t>Знаете, что объединяет космос и И.С. Баха? Концерт в Кафедральном соборе святых апостолов Петра и Павла! Наши подопечные из АНО «Дети» вместе с родителями 22 февраля погрузились в музыкальный мир, наполненный красочными видеоинсталляциями. Мама Артема и Анастасии, Наталия Асриянц...</t>
        </is>
      </c>
    </row>
    <row r="540" ht="30" customHeight="1">
      <c r="A540" s="28" t="n">
        <v>5637</v>
      </c>
      <c r="B540" s="29" t="inlineStr">
        <is>
          <t>2020-02-27</t>
        </is>
      </c>
      <c r="C540" s="30">
        <f>HYPERLINK("https://vk.com/wall-1825701_5637", "Открыть пост")</f>
        <v/>
      </c>
      <c r="D540" s="31" t="inlineStr">
        <is>
          <t>Спектакли, концерты и музыкально-театральные занятия</t>
        </is>
      </c>
      <c r="E540" s="31" t="inlineStr">
        <is>
          <t>Спектакли, концерты и музыкально-театральные занятия</t>
        </is>
      </c>
      <c r="F540" s="31" t="inlineStr">
        <is>
          <t>Подростки и взрослые с ментальными особенностями и ОВЗ (ПНИ / Социальные дома)</t>
        </is>
      </c>
      <c r="G540" s="31" t="inlineStr">
        <is>
          <t>Студия фонда / выездная площадка</t>
        </is>
      </c>
      <c r="H540" s="31" t="inlineStr">
        <is>
          <t>Артистические, музыкальные и спортивно-игровые навыки</t>
        </is>
      </c>
      <c r="I540" s="32" t="inlineStr">
        <is>
          <t>По формату занятия</t>
        </is>
      </c>
      <c r="J540" s="31" t="inlineStr">
        <is>
          <t>Ясин, Настя и Аля провели занятие с ребятами в 16 ПНИ. Ясин делал с Виталиком и Сашей блокноты. Настя с Алей заканчивали с ребятами коллективную картину. А Юра делал то, что умеет и любит как никто — играл на гитаре и поднимал всем настроение) #26.02</t>
        </is>
      </c>
    </row>
    <row r="541" ht="30" customHeight="1">
      <c r="A541" s="23" t="n">
        <v>5635</v>
      </c>
      <c r="B541" s="24" t="inlineStr">
        <is>
          <t>2020-02-27</t>
        </is>
      </c>
      <c r="C541" s="25">
        <f>HYPERLINK("https://vk.com/wall-1825701_5635", "Открыть пост")</f>
        <v/>
      </c>
      <c r="D541" s="26" t="inlineStr">
        <is>
          <t>Творческие мастер-классы и художественные студии</t>
        </is>
      </c>
      <c r="E541" s="26" t="inlineStr">
        <is>
          <t>Творческие мастер-классы и художественные студии</t>
        </is>
      </c>
      <c r="F541" s="26" t="inlineStr">
        <is>
          <t>Подопечные фонда «Дети Марии» (общая группа детей и подростков)</t>
        </is>
      </c>
      <c r="G541" s="26" t="inlineStr">
        <is>
          <t>Студия фонда / выездная площадка</t>
        </is>
      </c>
      <c r="H541" s="26" t="inlineStr">
        <is>
          <t>Художественно-прикладные и ремесленные навыки</t>
        </is>
      </c>
      <c r="I541" s="27" t="inlineStr">
        <is>
          <t>Да (в тексте)</t>
        </is>
      </c>
      <c r="J541" s="26" t="inlineStr">
        <is>
          <t>В среду вечером на валянии для волонтёров мы начали очень красивые изделия — домики на чайник. Работа продлится не одно занятие, так что можете присоединиться на следующей неделе 🤗 Домики задуманы у всех разные, и каждый хорош по-своему. Спасибо, Валентина Миронова, вы открываете...</t>
        </is>
      </c>
    </row>
    <row r="542" ht="30" customHeight="1">
      <c r="A542" s="28" t="n">
        <v>5633</v>
      </c>
      <c r="B542" s="29" t="inlineStr">
        <is>
          <t>2020-02-26</t>
        </is>
      </c>
      <c r="C542" s="30">
        <f>HYPERLINK("https://vk.com/wall-1825701_5633", "Открыть пост")</f>
        <v/>
      </c>
      <c r="D542" s="31" t="inlineStr">
        <is>
          <t>Творческие мастер-классы и художественные студии</t>
        </is>
      </c>
      <c r="E542" s="31" t="inlineStr">
        <is>
          <t>Творческие мастер-классы и художественные студии</t>
        </is>
      </c>
      <c r="F542" s="31" t="inlineStr">
        <is>
          <t>Подопечные фонда «Дети Марии» (общая группа детей и подростков)</t>
        </is>
      </c>
      <c r="G542" s="31" t="inlineStr">
        <is>
          <t>Студия фонда / выездная площадка</t>
        </is>
      </c>
      <c r="H542" s="31" t="inlineStr">
        <is>
          <t>Художественно-прикладные и ремесленные навыки</t>
        </is>
      </c>
      <c r="I542" s="32" t="inlineStr">
        <is>
          <t>По формату занятия</t>
        </is>
      </c>
      <c r="J542" s="31" t="inlineStr">
        <is>
          <t>Миша Мамедов впервые работал с цветными глазурями. Что из этого получится, будет видно только после обжига. Наташа Щербенкова рисовала своего любимого кота на тарелке 🐱 Занятия керамикой со взрослыми проходят по воскресеньям с 15:00, присоединяйтесь!) #23.02</t>
        </is>
      </c>
    </row>
    <row r="543" ht="30" customHeight="1">
      <c r="A543" s="23" t="n">
        <v>5631</v>
      </c>
      <c r="B543" s="24" t="inlineStr">
        <is>
          <t>2020-02-26</t>
        </is>
      </c>
      <c r="C543" s="25">
        <f>HYPERLINK("https://vk.com/wall-1825701_5631", "Открыть пост")</f>
        <v/>
      </c>
      <c r="D543" s="26" t="inlineStr">
        <is>
          <t>Творческие мастер-классы и художественные студии</t>
        </is>
      </c>
      <c r="E543" s="26" t="inlineStr">
        <is>
          <t>Творческие мастер-классы и художественные студии; Выставки, экскурсии и культурные выходы</t>
        </is>
      </c>
      <c r="F543" s="26" t="inlineStr">
        <is>
          <t>Широкая аудитория, гости и благотворители (открытые события)</t>
        </is>
      </c>
      <c r="G543" s="26" t="inlineStr">
        <is>
          <t>Студия фонда / выездная площадка</t>
        </is>
      </c>
      <c r="H543" s="26" t="inlineStr">
        <is>
          <t>Художественно-прикладные и ремесленные навыки; Артистические, музыкальные и спортивно-игровые навыки</t>
        </is>
      </c>
      <c r="I543" s="27" t="inlineStr">
        <is>
          <t>По формату занятия</t>
        </is>
      </c>
      <c r="J543" s="26" t="inlineStr">
        <is>
          <t>Воскресное занятие с семьями из АНО «Дети». Керамика и музыка. Любовь Ивановна аккомпанирует, все желающие подпевают 😊 У нас новые участники — семья Лихановых. Несмотря на то, что у ребят это первый опыт работы с глиной, за занятие они слепили целую галерею фигурок 🦖🐘🦍🐍 #23.02</t>
        </is>
      </c>
    </row>
    <row r="544" ht="30" customHeight="1">
      <c r="A544" s="28" t="n">
        <v>5630</v>
      </c>
      <c r="B544" s="29" t="inlineStr">
        <is>
          <t>2020-02-25</t>
        </is>
      </c>
      <c r="C544" s="30">
        <f>HYPERLINK("https://vk.com/wall-1825701_5630", "Открыть пост")</f>
        <v/>
      </c>
      <c r="D544" s="31" t="inlineStr">
        <is>
          <t>Творческие мастер-классы и художественные студии</t>
        </is>
      </c>
      <c r="E544" s="31" t="inlineStr">
        <is>
          <t>Творческие мастер-классы и художественные студии</t>
        </is>
      </c>
      <c r="F544" s="31" t="inlineStr">
        <is>
          <t>Подопечные фонда «Дети Марии» (общая группа детей и подростков)</t>
        </is>
      </c>
      <c r="G544" s="31" t="inlineStr">
        <is>
          <t>Студия фонда / выездная площадка</t>
        </is>
      </c>
      <c r="H544" s="31" t="inlineStr">
        <is>
          <t>Художественно-прикладные и ремесленные навыки; Педагогические и наставнические навыки (кулинария, быт, учёба)</t>
        </is>
      </c>
      <c r="I544" s="32" t="inlineStr">
        <is>
          <t>По формату занятия</t>
        </is>
      </c>
      <c r="J544" s="31" t="inlineStr">
        <is>
          <t>Рисование для взрослых с Нюсей теперь по вторникам в 19:00 на Дмитровке 🎨 Вдохновлялись работами голландского художника Хенка Хельмантеля и учились делать работы в сложном колорите. Приходите с нами рисовать! #25.02</t>
        </is>
      </c>
    </row>
    <row r="545" ht="30" customHeight="1">
      <c r="A545" s="23" t="n">
        <v>5629</v>
      </c>
      <c r="B545" s="24" t="inlineStr">
        <is>
          <t>2020-02-25</t>
        </is>
      </c>
      <c r="C545" s="25">
        <f>HYPERLINK("https://vk.com/wall-1825701_5629", "Открыть пост")</f>
        <v/>
      </c>
      <c r="D545" s="26" t="inlineStr">
        <is>
          <t>Праздники, дни рождения и клубные встречи</t>
        </is>
      </c>
      <c r="E545" s="26" t="inlineStr">
        <is>
          <t>Праздники, дни рождения и клубные встречи; Творческие мастер-классы и художественные студии</t>
        </is>
      </c>
      <c r="F545" s="26" t="inlineStr">
        <is>
          <t>Подростки и взрослые с ментальными особенностями и ОВЗ (ПНИ / Социальные дома)</t>
        </is>
      </c>
      <c r="G545" s="26" t="inlineStr">
        <is>
          <t>Студия фонда / выездная площадка</t>
        </is>
      </c>
      <c r="H545" s="26" t="inlineStr">
        <is>
          <t>Художественно-прикладные и ремесленные навыки</t>
        </is>
      </c>
      <c r="I545" s="27" t="inlineStr">
        <is>
          <t>Да (в тексте)</t>
        </is>
      </c>
      <c r="J545" s="26" t="inlineStr">
        <is>
          <t>С Масленицей вас, друзья! 🥞 Сегодня в ПНИ 16 было солнечно и тихо: ребята были заняты. Кто чем — рисовали, читали книги и блины ели, естественно 😜 За это спасибо нашему прекрасному волонтеру Наташе Скоковой, приехала и угостила ребят домашними блинами. А Катя и Валя на занятии ус...</t>
        </is>
      </c>
    </row>
    <row r="546" ht="30" customHeight="1">
      <c r="A546" s="28" t="n">
        <v>5626</v>
      </c>
      <c r="B546" s="29" t="inlineStr">
        <is>
          <t>2020-02-22</t>
        </is>
      </c>
      <c r="C546" s="30">
        <f>HYPERLINK("https://vk.com/wall-1825701_5626", "Открыть пост")</f>
        <v/>
      </c>
      <c r="D546" s="31" t="inlineStr">
        <is>
          <t>Творческие мастер-классы и художественные студии</t>
        </is>
      </c>
      <c r="E546" s="31" t="inlineStr">
        <is>
          <t>Творческие мастер-классы и художественные студии</t>
        </is>
      </c>
      <c r="F546" s="31" t="inlineStr">
        <is>
          <t>Подопечные фонда «Дети Марии» (общая группа детей и подростков)</t>
        </is>
      </c>
      <c r="G546" s="31" t="inlineStr">
        <is>
          <t>Тверская 15</t>
        </is>
      </c>
      <c r="H546" s="31" t="inlineStr">
        <is>
          <t>Коммуникативные навыки, эмпатия и тьюторское сопровождение</t>
        </is>
      </c>
      <c r="I546" s="32" t="inlineStr">
        <is>
          <t>По формату занятия</t>
        </is>
      </c>
      <c r="J546" s="31" t="inlineStr">
        <is>
          <t>Вика Косякова закончила свой фонарь-домик ✨ Мастер-класс по стеклу Тиффани с Ирой Скимбаторь проходит два раза в неделю: 🗓 Понедельник в 18:00 на Тверской 15 🗓 Четверг в 17:00 в студии на Дмитровке Если Вы решите прийти, пожалуйста, позвоните и сообщите о намерении заранее, мы по...</t>
        </is>
      </c>
    </row>
    <row r="547" ht="30" customHeight="1">
      <c r="A547" s="23" t="n">
        <v>5623</v>
      </c>
      <c r="B547" s="24" t="inlineStr">
        <is>
          <t>2020-02-21</t>
        </is>
      </c>
      <c r="C547" s="25">
        <f>HYPERLINK("https://vk.com/wall-1825701_5623", "Открыть пост")</f>
        <v/>
      </c>
      <c r="D547" s="26" t="inlineStr">
        <is>
          <t>Творческие мастер-классы и художественные студии</t>
        </is>
      </c>
      <c r="E547" s="26" t="inlineStr">
        <is>
          <t>Творческие мастер-классы и художественные студии</t>
        </is>
      </c>
      <c r="F547" s="26" t="inlineStr">
        <is>
          <t>Подопечные фонда «Дети Марии» (общая группа детей и подростков)</t>
        </is>
      </c>
      <c r="G547" s="26" t="inlineStr">
        <is>
          <t>Студия фонда / выездная площадка</t>
        </is>
      </c>
      <c r="H547" s="26" t="inlineStr">
        <is>
          <t>Художественно-прикладные и ремесленные навыки</t>
        </is>
      </c>
      <c r="I547" s="27" t="inlineStr">
        <is>
          <t>Да (в тексте)</t>
        </is>
      </c>
      <c r="J547" s="26" t="inlineStr">
        <is>
          <t>Продолжаем осваивать разнообразные техники декора на занятиях по валянию для волонтёров с Валентиной Мироновой #19.02</t>
        </is>
      </c>
    </row>
    <row r="548" ht="30" customHeight="1">
      <c r="A548" s="28" t="n">
        <v>5621</v>
      </c>
      <c r="B548" s="29" t="inlineStr">
        <is>
          <t>2020-02-20</t>
        </is>
      </c>
      <c r="C548" s="30">
        <f>HYPERLINK("https://vk.com/wall-1825701_5621", "Открыть пост")</f>
        <v/>
      </c>
      <c r="D548" s="31" t="inlineStr">
        <is>
          <t>Праздники, дни рождения и клубные встречи</t>
        </is>
      </c>
      <c r="E548" s="31" t="inlineStr">
        <is>
          <t>Праздники, дни рождения и клубные встречи; Творческие мастер-классы и художественные студии</t>
        </is>
      </c>
      <c r="F548" s="31" t="inlineStr">
        <is>
          <t>Подростки и взрослые с ментальными особенностями и ОВЗ (ПНИ / Социальные дома)</t>
        </is>
      </c>
      <c r="G548" s="31" t="inlineStr">
        <is>
          <t>Студия фонда / выездная площадка</t>
        </is>
      </c>
      <c r="H548" s="31" t="inlineStr">
        <is>
          <t>Художественно-прикладные и ремесленные навыки</t>
        </is>
      </c>
      <c r="I548" s="32" t="inlineStr">
        <is>
          <t>По формату занятия</t>
        </is>
      </c>
      <c r="J548" s="31" t="inlineStr">
        <is>
          <t>Настя Фриева, Ясин и Аля провели вкусное занятие с ребятами в 16 ПНИ! 😜 Репетировали масленицу — пробовали всякие вкусности. А потом...рисовали, вырезали, клеили, делали книжки и собирали модель корабля) #19.02</t>
        </is>
      </c>
    </row>
    <row r="549" ht="30" customHeight="1">
      <c r="A549" s="23" t="n">
        <v>5619</v>
      </c>
      <c r="B549" s="24" t="inlineStr">
        <is>
          <t>2020-02-20</t>
        </is>
      </c>
      <c r="C549" s="25">
        <f>HYPERLINK("https://vk.com/wall-1825701_5619", "Открыть пост")</f>
        <v/>
      </c>
      <c r="D549" s="26" t="inlineStr">
        <is>
          <t>Творческие мастер-классы и художественные студии</t>
        </is>
      </c>
      <c r="E549" s="26" t="inlineStr">
        <is>
          <t>Творческие мастер-классы и художественные студии</t>
        </is>
      </c>
      <c r="F549" s="26" t="inlineStr">
        <is>
          <t>Подопечные фонда «Дети Марии» (общая группа детей и подростков)</t>
        </is>
      </c>
      <c r="G549" s="26" t="inlineStr">
        <is>
          <t>Студия фонда / выездная площадка</t>
        </is>
      </c>
      <c r="H549" s="26" t="inlineStr">
        <is>
          <t>Художественно-прикладные и ремесленные навыки</t>
        </is>
      </c>
      <c r="I549" s="27" t="inlineStr">
        <is>
          <t>По формату занятия</t>
        </is>
      </c>
      <c r="J549" s="26" t="inlineStr">
        <is>
          <t>Занятие керамикой с семьями из АНО «Дети» было плодотворным! С бабушкой Людмилой пришёл Лёва и декорировал пиалы. А Ваня решил слепить попугая, но совершено неожиданно получилась птица, напоминающая коршуна 🦅 Вот такие чудеса происходят на наших занятиях — никогда не знаешь что т...</t>
        </is>
      </c>
    </row>
    <row r="550" ht="30" customHeight="1">
      <c r="A550" s="28" t="n">
        <v>5615</v>
      </c>
      <c r="B550" s="29" t="inlineStr">
        <is>
          <t>2020-02-18</t>
        </is>
      </c>
      <c r="C550" s="30">
        <f>HYPERLINK("https://vk.com/wall-1825701_5615", "Открыть пост")</f>
        <v/>
      </c>
      <c r="D550" s="31" t="inlineStr">
        <is>
          <t>Творческие мастер-классы и художественные студии</t>
        </is>
      </c>
      <c r="E550" s="31" t="inlineStr">
        <is>
          <t>Творческие мастер-классы и художественные студии</t>
        </is>
      </c>
      <c r="F550" s="31" t="inlineStr">
        <is>
          <t>Подростки и взрослые с ментальными особенностями и ОВЗ (ПНИ / Социальные дома)</t>
        </is>
      </c>
      <c r="G550" s="31" t="inlineStr">
        <is>
          <t>Студия фонда / выездная площадка</t>
        </is>
      </c>
      <c r="H550" s="31" t="inlineStr">
        <is>
          <t>Художественно-прикладные и ремесленные навыки</t>
        </is>
      </c>
      <c r="I550" s="32" t="inlineStr">
        <is>
          <t>По формату занятия</t>
        </is>
      </c>
      <c r="J550" s="31" t="inlineStr">
        <is>
          <t>Творческие занятия с ребятами из ПНИ 16. Сегодня на рисовании выяснилось, что Максим никогда не рисовал пастелью. Аня Андреева помогла ему выбрать тонированную бумагу, и Максим начал колоритный горный пейзаж. Чужой пример заразителен: Дима посмотрел и тоже захотел попробовать на ...</t>
        </is>
      </c>
    </row>
    <row r="551" ht="30" customHeight="1">
      <c r="A551" s="23" t="n">
        <v>5613</v>
      </c>
      <c r="B551" s="24" t="inlineStr">
        <is>
          <t>2020-02-17</t>
        </is>
      </c>
      <c r="C551" s="25">
        <f>HYPERLINK("https://vk.com/wall-1825701_5613", "Открыть пост")</f>
        <v/>
      </c>
      <c r="D551" s="26" t="inlineStr">
        <is>
          <t>Творческие мастер-классы и художественные студии</t>
        </is>
      </c>
      <c r="E551" s="26" t="inlineStr">
        <is>
          <t>Творческие мастер-классы и художественные студии</t>
        </is>
      </c>
      <c r="F551" s="26" t="inlineStr">
        <is>
          <t>Подопечные фонда «Дети Марии» (общая группа детей и подростков)</t>
        </is>
      </c>
      <c r="G551" s="26" t="inlineStr">
        <is>
          <t>Студия фонда / выездная площадка</t>
        </is>
      </c>
      <c r="H551" s="26" t="inlineStr">
        <is>
          <t>Медиа, фото/видеосъёмка и культурная медиация</t>
        </is>
      </c>
      <c r="I551" s="27" t="inlineStr">
        <is>
          <t>По формату занятия</t>
        </is>
      </c>
      <c r="J551" s="26" t="inlineStr">
        <is>
          <t>В пятницу на мастер-классе по стеклу не обошлось без сердечек. Серега Черемкин и дизайн сам придумал, и не ушёл, пока не закончил работу. Пять часов (!) и подарок готов 👍🏻 #14.02</t>
        </is>
      </c>
    </row>
    <row r="552" ht="30" customHeight="1">
      <c r="A552" s="28" t="n">
        <v>5609</v>
      </c>
      <c r="B552" s="29" t="inlineStr">
        <is>
          <t>2020-02-17</t>
        </is>
      </c>
      <c r="C552" s="30">
        <f>HYPERLINK("https://vk.com/wall-1825701_5609", "Открыть пост")</f>
        <v/>
      </c>
      <c r="D552" s="31" t="inlineStr">
        <is>
          <t>Спектакли, концерты и музыкально-театральные занятия</t>
        </is>
      </c>
      <c r="E552" s="31" t="inlineStr">
        <is>
          <t>Спектакли, концерты и музыкально-театральные занятия; Выездные лагеря, дача и сезонные программы</t>
        </is>
      </c>
      <c r="F552" s="31" t="inlineStr">
        <is>
          <t>Подопечные фонда «Дети Марии» (общая группа детей и подростков)</t>
        </is>
      </c>
      <c r="G552" s="31" t="inlineStr">
        <is>
          <t>Студия фонда / выездная площадка</t>
        </is>
      </c>
      <c r="H552" s="31" t="inlineStr">
        <is>
          <t>Артистические, музыкальные и спортивно-игровые навыки; Мобильность, выездное сопровождение и автоволонтёрство</t>
        </is>
      </c>
      <c r="I552" s="32" t="inlineStr">
        <is>
          <t>По формату занятия</t>
        </is>
      </c>
      <c r="J552" s="31" t="inlineStr">
        <is>
          <t>Каждый год в зимнем лагере один день посвящён «Театру с колёс». Это такой формат, в котором выбор произведения, репетиции и премьера спектакля длятся 2-3 часа. В этом году поставили «Сказку о царе Салтане» Пушкина. Поделили её на сцены и распределили роли. И у нас была маленькая ...</t>
        </is>
      </c>
    </row>
    <row r="553" ht="30" customHeight="1">
      <c r="A553" s="23" t="n">
        <v>5607</v>
      </c>
      <c r="B553" s="24" t="inlineStr">
        <is>
          <t>2020-02-16</t>
        </is>
      </c>
      <c r="C553" s="25">
        <f>HYPERLINK("https://vk.com/wall-1825701_5607", "Открыть пост")</f>
        <v/>
      </c>
      <c r="D553" s="26" t="inlineStr">
        <is>
          <t>Спектакли, концерты и музыкально-театральные занятия</t>
        </is>
      </c>
      <c r="E553" s="26" t="inlineStr">
        <is>
          <t>Спектакли, концерты и музыкально-театральные занятия; Праздники, дни рождения и клубные встречи</t>
        </is>
      </c>
      <c r="F553" s="26" t="inlineStr">
        <is>
          <t>Дети и семьи (в т.ч. приёмные семьи и программа в Беслане)</t>
        </is>
      </c>
      <c r="G553" s="26" t="inlineStr">
        <is>
          <t>Студия фонда / выездная площадка</t>
        </is>
      </c>
      <c r="H553" s="26" t="inlineStr">
        <is>
          <t>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 Мобильность, выездное сопровождение и автоволонтёрство</t>
        </is>
      </c>
      <c r="I553" s="27" t="inlineStr">
        <is>
          <t>Да (в тексте)</t>
        </is>
      </c>
      <c r="J553" s="26" t="inlineStr">
        <is>
          <t>День, полный воспоминаний и дружеских объятий, мы продолжили чаепитием и поздравлением с днём рождения Вали Макаровой, ей исполнилось 20 лет, первый серьезный юбилей! Валюша живёт в приёмной семье, учится на швею и вместе с её приёмной мамой мы очень надеемся, что она сумеет жить...</t>
        </is>
      </c>
    </row>
    <row r="554" ht="30" customHeight="1">
      <c r="A554" s="28" t="n">
        <v>5604</v>
      </c>
      <c r="B554" s="29" t="inlineStr">
        <is>
          <t>2020-02-16</t>
        </is>
      </c>
      <c r="C554" s="30">
        <f>HYPERLINK("https://vk.com/wall-1825701_5604", "Открыть пост")</f>
        <v/>
      </c>
      <c r="D554" s="31" t="inlineStr">
        <is>
          <t>Выставки, экскурсии и культурные выходы</t>
        </is>
      </c>
      <c r="E554" s="31" t="inlineStr">
        <is>
          <t>Выставки, экскурсии и культурные выходы</t>
        </is>
      </c>
      <c r="F554" s="31" t="inlineStr">
        <is>
          <t>Подростки и взрослые с ментальными особенностями и ОВЗ (ПНИ / Социальные дома); Воспитанники ЦССВ, ДДИ и детских домов-интернатов; Дети и семьи (в т.ч. приёмные семьи и программа в Беслане)</t>
        </is>
      </c>
      <c r="G554" s="31" t="inlineStr">
        <is>
          <t>ЦССВ «Юнона»</t>
        </is>
      </c>
      <c r="H554" s="31" t="inlineStr">
        <is>
          <t>Коммуникативные навыки, эмпатия и тьюторское сопровождение; Организационные, ивент- и ярмарочные навыки; Мобильность, выездное сопровождение и автоволонтёрство; Медиа, фото/видеосъёмка и культурная медиация</t>
        </is>
      </c>
      <c r="I554" s="32" t="inlineStr">
        <is>
          <t>Да (в тексте)</t>
        </is>
      </c>
      <c r="J554" s="31" t="inlineStr">
        <is>
          <t>Многие дети из детских домов, с которыми мы занимаемся, после 18 лет оказываются во взрослых интернатах — ПНИ. Из одного детского дома они попадают в разные ПНИ, а некоторым даже везёт оказаться под опекой в семье. Но для всех получается, что они расстаются с привычным окружением...</t>
        </is>
      </c>
    </row>
    <row r="555" ht="30" customHeight="1">
      <c r="A555" s="23" t="n">
        <v>5600</v>
      </c>
      <c r="B555" s="24" t="inlineStr">
        <is>
          <t>2020-02-14</t>
        </is>
      </c>
      <c r="C555" s="25">
        <f>HYPERLINK("https://vk.com/wall-1825701_5600", "Открыть пост")</f>
        <v/>
      </c>
      <c r="D555" s="26" t="inlineStr">
        <is>
          <t>Творческие мастер-классы и художественные студии</t>
        </is>
      </c>
      <c r="E555" s="26" t="inlineStr">
        <is>
          <t>Творческие мастер-классы и художественные студии</t>
        </is>
      </c>
      <c r="F555" s="26" t="inlineStr">
        <is>
          <t>Подопечные фонда «Дети Марии» (общая группа детей и подростков)</t>
        </is>
      </c>
      <c r="G555" s="26" t="inlineStr">
        <is>
          <t>Студия фонда / выездная площадка</t>
        </is>
      </c>
      <c r="H555" s="26" t="inlineStr">
        <is>
          <t>Художественно-прикладные и ремесленные навыки; Артистические, музыкальные и спортивно-игровые навыки</t>
        </is>
      </c>
      <c r="I555" s="27" t="inlineStr">
        <is>
          <t>По формату занятия</t>
        </is>
      </c>
      <c r="J555" s="26" t="inlineStr">
        <is>
          <t>Ремонт — не повод прерывать занятия, особенно когда вместе весело и хорошо. Поэтому дети из школы Св. Георгия приходят теперь в студию на Дмитровку: доделывать школьные проекты, лепить, рисовать средневековые замки, слушать средневековую музыку и даже петь 😉 #7.02 #9.02</t>
        </is>
      </c>
    </row>
    <row r="556" ht="30" customHeight="1">
      <c r="A556" s="28" t="n">
        <v>5597</v>
      </c>
      <c r="B556" s="29" t="inlineStr">
        <is>
          <t>2020-02-14</t>
        </is>
      </c>
      <c r="C556" s="30">
        <f>HYPERLINK("https://vk.com/wall-1825701_5597", "Открыть пост")</f>
        <v/>
      </c>
      <c r="D556" s="31" t="inlineStr">
        <is>
          <t>Выездные лагеря, дача и сезонные программы</t>
        </is>
      </c>
      <c r="E556" s="31" t="inlineStr">
        <is>
          <t>Выездные лагеря, дача и сезонные программы; Творческие мастер-классы и художественные студии; Кулинарные, образовательные и социально-бытовые занятия</t>
        </is>
      </c>
      <c r="F556" s="31" t="inlineStr">
        <is>
          <t>Подростки и взрослые с ментальными особенностями и ОВЗ (ПНИ / Социальные дома); Воспитанники ЦССВ, ДДИ и детских домов-интернатов; Выпускники интернатов и детских домов (молодые взрослые)</t>
        </is>
      </c>
      <c r="G556" s="31" t="inlineStr">
        <is>
          <t>Сорочаны</t>
        </is>
      </c>
      <c r="H556" s="31" t="inlineStr">
        <is>
          <t>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Мобильность, выездное сопровождение и автоволонтёрство</t>
        </is>
      </c>
      <c r="I556" s="32" t="inlineStr">
        <is>
          <t>Да (в тексте)</t>
        </is>
      </c>
      <c r="J556" s="31" t="inlineStr">
        <is>
          <t>Начался зимний отдых «Дети Марии»-2020! ❄• 13-16 февраля на базе спортивного курорта «Сорочаны» пройдёт выездная адаптационная программа для детей из детских домов. Участники — дети из Филимонковского детского дома-интерната, из Центра помощи детям, оставшимся без попечения родит...</t>
        </is>
      </c>
    </row>
    <row r="557" ht="30" customHeight="1">
      <c r="A557" s="23" t="n">
        <v>5590</v>
      </c>
      <c r="B557" s="24" t="inlineStr">
        <is>
          <t>2020-02-12</t>
        </is>
      </c>
      <c r="C557" s="25">
        <f>HYPERLINK("https://vk.com/wall-1825701_5590", "Открыть пост")</f>
        <v/>
      </c>
      <c r="D557" s="26" t="inlineStr">
        <is>
          <t>Творческие мастер-классы и художественные студии</t>
        </is>
      </c>
      <c r="E557" s="26" t="inlineStr">
        <is>
          <t>Творческие мастер-классы и художественные студии; Кулинарные, образовательные и социально-бытовые занятия</t>
        </is>
      </c>
      <c r="F557" s="26" t="inlineStr">
        <is>
          <t>Подростки и взрослые с ментальными особенностями и ОВЗ (ПНИ / Социальные дома)</t>
        </is>
      </c>
      <c r="G557" s="26" t="inlineStr">
        <is>
          <t>Студия фонда / выездная площадка</t>
        </is>
      </c>
      <c r="H557" s="26"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t>
        </is>
      </c>
      <c r="I557" s="27" t="inlineStr">
        <is>
          <t>Да (в тексте)</t>
        </is>
      </c>
      <c r="J557" s="26" t="inlineStr">
        <is>
          <t>Лейтмотив утренних занятий с ребятами из 16 ПНИ — жизнь зверей. Рисовали обитателей леса. Валя Ляховская начала картину: метель и теплый дом, в котором греется лиса 🦊 На керамике с Ириной Рокотниной тоже лепили животных. А на кулинарном мастер-классе с волонтёрном Катей готовили ...</t>
        </is>
      </c>
    </row>
    <row r="558" ht="30" customHeight="1">
      <c r="A558" s="28" t="n">
        <v>5587</v>
      </c>
      <c r="B558" s="29" t="inlineStr">
        <is>
          <t>2020-02-12</t>
        </is>
      </c>
      <c r="C558" s="30">
        <f>HYPERLINK("https://vk.com/wall-1825701_5587", "Открыть пост")</f>
        <v/>
      </c>
      <c r="D558" s="31" t="inlineStr">
        <is>
          <t>Творческие мастер-классы и художественные студии</t>
        </is>
      </c>
      <c r="E558" s="31" t="inlineStr">
        <is>
          <t>Творческие мастер-классы и художественные студии</t>
        </is>
      </c>
      <c r="F558" s="31" t="inlineStr">
        <is>
          <t>Подопечные фонда «Дети Марии» (общая группа детей и подростков)</t>
        </is>
      </c>
      <c r="G558" s="31" t="inlineStr">
        <is>
          <t>Студия фонда / выездная площадка</t>
        </is>
      </c>
      <c r="H558" s="31" t="inlineStr">
        <is>
          <t>Художественно-прикладные и ремесленные навыки</t>
        </is>
      </c>
      <c r="I558" s="32" t="inlineStr">
        <is>
          <t>По формату занятия</t>
        </is>
      </c>
      <c r="J558" s="31" t="inlineStr">
        <is>
          <t>В студии проходят занятия керамикой для семей, где дети проходят реабилитацию после тяжёлых заболеваний в АНО «Дети». Делимся результатами творчества. Цветочная посуда — дело рук юных и взрослых творцов. Вместе дети и родители учатся различным приемам лепки и росписи. В прошлое в...</t>
        </is>
      </c>
    </row>
    <row r="559" ht="30" customHeight="1">
      <c r="A559" s="23" t="n">
        <v>5584</v>
      </c>
      <c r="B559" s="24" t="inlineStr">
        <is>
          <t>2020-02-10</t>
        </is>
      </c>
      <c r="C559" s="25">
        <f>HYPERLINK("https://vk.com/wall-1825701_5584", "Открыть пост")</f>
        <v/>
      </c>
      <c r="D559" s="26" t="inlineStr">
        <is>
          <t>Спектакли, концерты и музыкально-театральные занятия</t>
        </is>
      </c>
      <c r="E559" s="26" t="inlineStr">
        <is>
          <t>Спектакли, концерты и музыкально-театральные занятия</t>
        </is>
      </c>
      <c r="F559" s="26" t="inlineStr">
        <is>
          <t>Подростки и взрослые с ментальными особенностями и ОВЗ (ПНИ / Социальные дома); Воспитанники ЦССВ, ДДИ и детских домов-интернатов</t>
        </is>
      </c>
      <c r="G559" s="26" t="inlineStr">
        <is>
          <t>Студия фонда / выездная площадка</t>
        </is>
      </c>
      <c r="H559" s="26" t="inlineStr">
        <is>
          <t>Коммуникативные навыки, эмпатия и тьюторское сопровождение; Артистические, музыкальные и спортивно-игровые навыки</t>
        </is>
      </c>
      <c r="I559" s="27" t="inlineStr">
        <is>
          <t>Да (в тексте)</t>
        </is>
      </c>
      <c r="J559" s="26" t="inlineStr">
        <is>
          <t>Наши друзья, воспитанники Филимонковского детского дома — очень талантливые!) Под руководством режиссера и актера театра «Лицедеи» из Санкт-Петербурга, Анвара Либабова, ребята стали участниками театральной постановки — спектакля «Высокие Карзики». Спектакль был показан 28 января ...</t>
        </is>
      </c>
    </row>
    <row r="560" ht="30" customHeight="1">
      <c r="A560" s="28" t="n">
        <v>5581</v>
      </c>
      <c r="B560" s="29" t="inlineStr">
        <is>
          <t>2020-02-07</t>
        </is>
      </c>
      <c r="C560" s="30">
        <f>HYPERLINK("https://vk.com/wall-1825701_5581", "Открыть пост")</f>
        <v/>
      </c>
      <c r="D560" s="31" t="inlineStr">
        <is>
          <t>Творческие мастер-классы и художественные студии</t>
        </is>
      </c>
      <c r="E560" s="31" t="inlineStr">
        <is>
          <t>Творческие мастер-классы и художественные студии</t>
        </is>
      </c>
      <c r="F560" s="31" t="inlineStr">
        <is>
          <t>Подопечные фонда «Дети Марии» (общая группа детей и подростков)</t>
        </is>
      </c>
      <c r="G560" s="31" t="inlineStr">
        <is>
          <t>Студия фонда / выездная площадка</t>
        </is>
      </c>
      <c r="H560" s="31" t="inlineStr">
        <is>
          <t>Художественно-прикладные и ремесленные навыки; Педагогические и наставнические навыки (кулинария, быт, учёба)</t>
        </is>
      </c>
      <c r="I560" s="32" t="inlineStr">
        <is>
          <t>Да (в тексте)</t>
        </is>
      </c>
      <c r="J560" s="31" t="inlineStr">
        <is>
          <t>На занятиях по валянию для взрослых волонтёр Валентина Миронова учила технике декорирования валяных изделий разными другими материалами — пряжей, шёлком, кружевом. Присоединиться к занятиям можно по средам, начало в 18:30. Приходите к нам! 🤗 #6.02</t>
        </is>
      </c>
    </row>
    <row r="561" ht="30" customHeight="1">
      <c r="A561" s="23" t="n">
        <v>5579</v>
      </c>
      <c r="B561" s="24" t="inlineStr">
        <is>
          <t>2020-02-05</t>
        </is>
      </c>
      <c r="C561" s="25">
        <f>HYPERLINK("https://vk.com/wall-1825701_5579", "Открыть пост")</f>
        <v/>
      </c>
      <c r="D561" s="26" t="inlineStr">
        <is>
          <t>Творческие мастер-классы и художественные студии</t>
        </is>
      </c>
      <c r="E561" s="26" t="inlineStr">
        <is>
          <t>Творческие мастер-классы и художественные студии; Спектакли, концерты и музыкально-театральные занятия</t>
        </is>
      </c>
      <c r="F561" s="26" t="inlineStr">
        <is>
          <t>Подростки и взрослые с ментальными особенностями и ОВЗ (ПНИ / Социальные дома)</t>
        </is>
      </c>
      <c r="G561" s="26" t="inlineStr">
        <is>
          <t>Студия фонда / выездная площадка</t>
        </is>
      </c>
      <c r="H561" s="26" t="inlineStr">
        <is>
          <t>Художественно-прикладные и ремесленные навыки; Артистические, музыкальные и спортивно-игровые навыки</t>
        </is>
      </c>
      <c r="I561" s="27" t="inlineStr">
        <is>
          <t>По формату занятия</t>
        </is>
      </c>
      <c r="J561" s="26" t="inlineStr">
        <is>
          <t>Ребята в ПНИ 16 очень любят петь с Любовью Ивановной песни, выучили много новых ☺• Занимались валянием, Юра играл на гитаре, Андрей Корябкин рисовал картину к 14 февраля, а Катя Анашкина, видимо, уже к 9 мая 😄 #1.02</t>
        </is>
      </c>
    </row>
    <row r="562" ht="30" customHeight="1">
      <c r="A562" s="28" t="n">
        <v>5577</v>
      </c>
      <c r="B562" s="29" t="inlineStr">
        <is>
          <t>2020-02-04</t>
        </is>
      </c>
      <c r="C562" s="30">
        <f>HYPERLINK("https://vk.com/wall-1825701_5577", "Открыть пост")</f>
        <v/>
      </c>
      <c r="D562" s="31" t="inlineStr">
        <is>
          <t>Творческие мастер-классы и художественные студии</t>
        </is>
      </c>
      <c r="E562" s="31" t="inlineStr">
        <is>
          <t>Творческие мастер-классы и художественные студии; Кулинарные, образовательные и социально-бытовые занятия</t>
        </is>
      </c>
      <c r="F562" s="31" t="inlineStr">
        <is>
          <t>Подростки и взрослые с ментальными особенностями и ОВЗ (ПНИ / Социальные дома)</t>
        </is>
      </c>
      <c r="G562" s="31" t="inlineStr">
        <is>
          <t>Студия фонда / выездная площадка</t>
        </is>
      </c>
      <c r="H562" s="31" t="inlineStr">
        <is>
          <t>Художественно-прикладные и ремесленные навыки; Педагогические и наставнические навыки (кулинария, быт, учёба)</t>
        </is>
      </c>
      <c r="I562" s="32" t="inlineStr">
        <is>
          <t>Да (в тексте)</t>
        </is>
      </c>
      <c r="J562" s="31" t="inlineStr">
        <is>
          <t>Насыщенное получилось занятие у ребят из 16 ПНИ. Лена училась рисовать акварелью. У Вани Савельева плохое зрение, но он талантлив и любит рисовать — за занятие изобразил прекрасный волшебный лес. По традиции прошёл кулинарный мастер-класс от нашего любимого волонтёра Кати. А такж...</t>
        </is>
      </c>
    </row>
    <row r="563" ht="30" customHeight="1">
      <c r="A563" s="23" t="n">
        <v>5575</v>
      </c>
      <c r="B563" s="24" t="inlineStr">
        <is>
          <t>2020-02-02</t>
        </is>
      </c>
      <c r="C563" s="25">
        <f>HYPERLINK("https://vk.com/wall-1825701_5575", "Открыть пост")</f>
        <v/>
      </c>
      <c r="D563" s="26" t="inlineStr">
        <is>
          <t>Творческие мастер-классы и художественные студии</t>
        </is>
      </c>
      <c r="E563" s="26" t="inlineStr">
        <is>
          <t>Творческие мастер-классы и художественные студии</t>
        </is>
      </c>
      <c r="F563" s="26" t="inlineStr">
        <is>
          <t>Широкая аудитория, гости и благотворители (открытые события); Выпускники интернатов и детских домов (молодые взрослые)</t>
        </is>
      </c>
      <c r="G563" s="26" t="inlineStr">
        <is>
          <t>Студия фонда / выездная площадка</t>
        </is>
      </c>
      <c r="H563" s="26" t="inlineStr">
        <is>
          <t>Художественно-прикладные и ремесленные навыки</t>
        </is>
      </c>
      <c r="I563" s="27" t="inlineStr">
        <is>
          <t>Да (в тексте)</t>
        </is>
      </c>
      <c r="J563" s="26" t="inlineStr">
        <is>
          <t>Дорогие друзья, в студии на Дмитровке стартуют занятия живописью по субботам! Приглашаем жителей Тверского района, детей и их родителей, бабушек и дедушек. Будем очень рады нашим волонтёрам и выпускникам 🤗 Приходите и не забудьте взять с собой хорошее настроение 😉 Занятие начинае...</t>
        </is>
      </c>
    </row>
    <row r="564" ht="30" customHeight="1">
      <c r="A564" s="28" t="n">
        <v>5570</v>
      </c>
      <c r="B564" s="29" t="inlineStr">
        <is>
          <t>2020-02-01</t>
        </is>
      </c>
      <c r="C564" s="30">
        <f>HYPERLINK("https://vk.com/wall-1825701_5570", "Открыть пост")</f>
        <v/>
      </c>
      <c r="D564" s="31" t="inlineStr">
        <is>
          <t>Творческие мастер-классы и художественные студии</t>
        </is>
      </c>
      <c r="E564" s="31" t="inlineStr">
        <is>
          <t>Творческие мастер-классы и художественные студии</t>
        </is>
      </c>
      <c r="F564" s="31" t="inlineStr">
        <is>
          <t>Подопечные фонда «Дети Марии» (общая группа детей и подростков)</t>
        </is>
      </c>
      <c r="G564" s="31" t="inlineStr">
        <is>
          <t>Студия фонда / выездная площадка</t>
        </is>
      </c>
      <c r="H564" s="31" t="inlineStr">
        <is>
          <t>Художественно-прикладные и ремесленные навыки</t>
        </is>
      </c>
      <c r="I564" s="32" t="inlineStr">
        <is>
          <t>По формату занятия</t>
        </is>
      </c>
      <c r="J564" s="31" t="inlineStr">
        <is>
          <t>Дети из школы Св. Георгия занимались в студии на Дмитровке. Была керамика с Исломом и Николаем Михайловичем. На рисовании с Нюсей Митиной начали новую тему — изучаем Средневековье. Рисуем замки, придумываем свои гербы и флаги. #31.01</t>
        </is>
      </c>
    </row>
    <row r="565" ht="30" customHeight="1">
      <c r="A565" s="23" t="n">
        <v>5563</v>
      </c>
      <c r="B565" s="24" t="inlineStr">
        <is>
          <t>2020-01-31</t>
        </is>
      </c>
      <c r="C565" s="25">
        <f>HYPERLINK("https://vk.com/wall-1825701_5563", "Открыть пост")</f>
        <v/>
      </c>
      <c r="D565" s="26" t="inlineStr">
        <is>
          <t>Творческие мастер-классы и художественные студии</t>
        </is>
      </c>
      <c r="E565" s="26" t="inlineStr">
        <is>
          <t>Творческие мастер-классы и художественные студии; Праздники, дни рождения и клубные встречи</t>
        </is>
      </c>
      <c r="F565" s="26" t="inlineStr">
        <is>
          <t>Воспитанники ЦССВ, ДДИ и детских домов-интернатов</t>
        </is>
      </c>
      <c r="G565" s="26" t="inlineStr">
        <is>
          <t>ЦССВ «Юнона»</t>
        </is>
      </c>
      <c r="H565" s="26" t="inlineStr">
        <is>
          <t>Художественно-прикладные и ремесленные навыки; Коммуникативные навыки, эмпатия и тьюторское сопровождение; Организационные, ивент- и ярмарочные навыки</t>
        </is>
      </c>
      <c r="I565" s="27" t="inlineStr">
        <is>
          <t>По формату занятия</t>
        </is>
      </c>
      <c r="J565" s="26" t="inlineStr">
        <is>
          <t>Это Серёжа Морозов, на фото он увлечённо работает над картиной в технике граттаж. Каждую неделю к нам в студию приезжают ребята из ЦССВ «Юнона»: рисовать, лепить, петь, а главное — дружить, делиться важным, разговаривать о жизни за чаепитием ❤• #29.01</t>
        </is>
      </c>
    </row>
    <row r="566" ht="30" customHeight="1">
      <c r="A566" s="28" t="n">
        <v>5553</v>
      </c>
      <c r="B566" s="29" t="inlineStr">
        <is>
          <t>2020-01-28</t>
        </is>
      </c>
      <c r="C566" s="30">
        <f>HYPERLINK("https://vk.com/wall-1825701_5553", "Открыть пост")</f>
        <v/>
      </c>
      <c r="D566" s="31" t="inlineStr">
        <is>
          <t>Творческие мастер-классы и художественные студии</t>
        </is>
      </c>
      <c r="E566" s="31" t="inlineStr">
        <is>
          <t>Творческие мастер-классы и художественные студии</t>
        </is>
      </c>
      <c r="F566" s="31" t="inlineStr">
        <is>
          <t>Подростки и взрослые с ментальными особенностями и ОВЗ (ПНИ / Социальные дома)</t>
        </is>
      </c>
      <c r="G566" s="31" t="inlineStr">
        <is>
          <t>Студия фонда / выездная площадка</t>
        </is>
      </c>
      <c r="H566" s="31" t="inlineStr">
        <is>
          <t>Художественно-прикладные и ремесленные навыки; Артистические, музыкальные и спортивно-игровые навыки</t>
        </is>
      </c>
      <c r="I566" s="32" t="inlineStr">
        <is>
          <t>По формату занятия</t>
        </is>
      </c>
      <c r="J566" s="31" t="inlineStr">
        <is>
          <t>Вчера в студии на Дмитровке занимались ребята из 11-го ПНИ: пели под аккомпанемент Любови Ивановны, вышивали, ткали гобелен и рисовали. #27.01</t>
        </is>
      </c>
    </row>
    <row r="567" ht="30" customHeight="1">
      <c r="A567" s="23" t="n">
        <v>5552</v>
      </c>
      <c r="B567" s="24" t="inlineStr">
        <is>
          <t>2020-01-28</t>
        </is>
      </c>
      <c r="C567" s="25">
        <f>HYPERLINK("https://vk.com/wall-1825701_5552", "Открыть пост")</f>
        <v/>
      </c>
      <c r="D567" s="26" t="inlineStr">
        <is>
          <t>Творческие мастер-классы и художественные студии</t>
        </is>
      </c>
      <c r="E567" s="26" t="inlineStr">
        <is>
          <t>Творческие мастер-классы и художественные студии</t>
        </is>
      </c>
      <c r="F567" s="26" t="inlineStr">
        <is>
          <t>Подопечные фонда «Дети Марии» (общая группа детей и подростков)</t>
        </is>
      </c>
      <c r="G567" s="26" t="inlineStr">
        <is>
          <t>Студия фонда / выездная площадка</t>
        </is>
      </c>
      <c r="H567" s="26" t="inlineStr">
        <is>
          <t>Художественно-прикладные и ремесленные навыки</t>
        </is>
      </c>
      <c r="I567" s="27" t="inlineStr">
        <is>
          <t>По формату занятия</t>
        </is>
      </c>
      <c r="J567" s="26" t="inlineStr">
        <is>
          <t>На воскресные занятия к Анне Андреевой семьи из АНО «Дети» пришли утром и остались до вечера — на керамику для взрослых. Царила невероятно творческая атмосфера: лепили и расписывали работы. Творческие усилия не прошли даром: вот чайная пара, её сделала Юля, мама Вани. Тарелка с м...</t>
        </is>
      </c>
    </row>
    <row r="568" ht="30" customHeight="1">
      <c r="A568" s="28" t="n">
        <v>5550</v>
      </c>
      <c r="B568" s="29" t="inlineStr">
        <is>
          <t>2020-01-27</t>
        </is>
      </c>
      <c r="C568" s="30">
        <f>HYPERLINK("https://vk.com/wall-1825701_5550", "Открыть пост")</f>
        <v/>
      </c>
      <c r="D568" s="31" t="inlineStr">
        <is>
          <t>Выставки, экскурсии и культурные выходы</t>
        </is>
      </c>
      <c r="E568" s="31" t="inlineStr">
        <is>
          <t>Выставки, экскурсии и культурные выходы; Творческие мастер-классы и художественные студии</t>
        </is>
      </c>
      <c r="F568" s="31" t="inlineStr">
        <is>
          <t>Подопечные фонда «Дети Марии» (общая группа детей и подростков)</t>
        </is>
      </c>
      <c r="G568" s="31" t="inlineStr">
        <is>
          <t>Студия фонда / выездная площадка</t>
        </is>
      </c>
      <c r="H568" s="31" t="inlineStr">
        <is>
          <t>Художественно-прикладные и ремесленные навыки; Мобильность, выездное сопровождение и автоволонтёрство</t>
        </is>
      </c>
      <c r="I568" s="32" t="inlineStr">
        <is>
          <t>По формату занятия</t>
        </is>
      </c>
      <c r="J568" s="31" t="inlineStr">
        <is>
          <t>Обмануть миллионы, склеивая коллажи и размещая их в газете — можно. И получить срок за сделаную фотку. А вот забыть про это нельзя. Артур Бондарь, Сона Степанян, Оксана Юшко, спасибо, друзья! Кто ещё не был на их выставке «Архив чужих воспоминаний» в Новом Крыле Дома Гоголя — схо...</t>
        </is>
      </c>
    </row>
    <row r="569" ht="30" customHeight="1">
      <c r="A569" s="23" t="n">
        <v>5542</v>
      </c>
      <c r="B569" s="24" t="inlineStr">
        <is>
          <t>2020-01-26</t>
        </is>
      </c>
      <c r="C569" s="25">
        <f>HYPERLINK("https://vk.com/wall-1825701_5542", "Открыть пост")</f>
        <v/>
      </c>
      <c r="D569" s="26" t="inlineStr">
        <is>
          <t>Творческие мастер-классы и художественные студии</t>
        </is>
      </c>
      <c r="E569" s="26" t="inlineStr">
        <is>
          <t>Творческие мастер-классы и художественные студии</t>
        </is>
      </c>
      <c r="F569" s="26" t="inlineStr">
        <is>
          <t>Подопечные фонда «Дети Марии» (общая группа детей и подростков)</t>
        </is>
      </c>
      <c r="G569" s="26" t="inlineStr">
        <is>
          <t>Студия фонда / выездная площадка</t>
        </is>
      </c>
      <c r="H569" s="26" t="inlineStr">
        <is>
          <t>Художественно-прикладные и ремесленные навыки</t>
        </is>
      </c>
      <c r="I569" s="27" t="inlineStr">
        <is>
          <t>По формату занятия</t>
        </is>
      </c>
      <c r="J569" s="26" t="inlineStr">
        <is>
          <t>Трижды на этой неделе в студии на Новинском занимались дети из Пресненского района. Рисуем волшебных птиц с Анна Митина и занимаемся керамикой с Ислом Мухтаров. Творческий процесс полон веселья и фантазии, приходите, присоединяйтесь!) #21.01 #22.01 #24.01</t>
        </is>
      </c>
    </row>
    <row r="570" ht="30" customHeight="1">
      <c r="A570" s="28" t="n">
        <v>5541</v>
      </c>
      <c r="B570" s="29" t="inlineStr">
        <is>
          <t>2020-01-25</t>
        </is>
      </c>
      <c r="C570" s="30">
        <f>HYPERLINK("https://vk.com/wall-1825701_5541", "Открыть пост")</f>
        <v/>
      </c>
      <c r="D570" s="31" t="inlineStr">
        <is>
          <t>Творческие мастер-классы и художественные студии</t>
        </is>
      </c>
      <c r="E570" s="31" t="inlineStr">
        <is>
          <t>Творческие мастер-классы и художественные студии</t>
        </is>
      </c>
      <c r="F570" s="31" t="inlineStr">
        <is>
          <t>Подростки и взрослые с ментальными особенностями и ОВЗ (ПНИ / Социальные дома)</t>
        </is>
      </c>
      <c r="G570" s="31" t="inlineStr">
        <is>
          <t>Студия фонда / выездная площадка</t>
        </is>
      </c>
      <c r="H570" s="31" t="inlineStr">
        <is>
          <t>Художественно-прикладные и ремесленные навыки; Коммуникативные навыки, эмпатия и тьюторское сопровождение</t>
        </is>
      </c>
      <c r="I570" s="32" t="inlineStr">
        <is>
          <t>Да (в тексте)</t>
        </is>
      </c>
      <c r="J570" s="31" t="inlineStr">
        <is>
          <t>Во вторник в ПНИ 16 Анна Андреева рассказывала ребятам о жанрах в живописи. Посвятили занятие натюрморту. Вдохновение черпали у Петрова- Водкина, Моранди и Сезанна. Огромное спасибо нашим волонтёрам Кате Филимоновой и Алле Тягуновой за помощь и моральную поддержку на занятиях, за...</t>
        </is>
      </c>
    </row>
    <row r="571" ht="30" customHeight="1">
      <c r="A571" s="23" t="n">
        <v>5540</v>
      </c>
      <c r="B571" s="24" t="inlineStr">
        <is>
          <t>2020-01-24</t>
        </is>
      </c>
      <c r="C571" s="25">
        <f>HYPERLINK("https://vk.com/wall-1825701_5540", "Открыть пост")</f>
        <v/>
      </c>
      <c r="D571" s="26" t="inlineStr">
        <is>
          <t>Творческие мастер-классы и художественные студии</t>
        </is>
      </c>
      <c r="E571" s="26" t="inlineStr">
        <is>
          <t>Творческие мастер-классы и художественные студии; Выездные лагеря, дача и сезонные программы</t>
        </is>
      </c>
      <c r="F571" s="26" t="inlineStr">
        <is>
          <t>Воспитанники ЦССВ, ДДИ и детских домов-интернатов</t>
        </is>
      </c>
      <c r="G571" s="26" t="inlineStr">
        <is>
          <t>Студия фонда / выездная площадка</t>
        </is>
      </c>
      <c r="H571" s="26" t="inlineStr">
        <is>
          <t>Художественно-прикладные и ремесленные навыки; Педагогические и наставнические навыки (кулинария, быт, учёба)</t>
        </is>
      </c>
      <c r="I571" s="27" t="inlineStr">
        <is>
          <t>Да (в тексте)</t>
        </is>
      </c>
      <c r="J571" s="26" t="inlineStr">
        <is>
          <t>Ребята из Филимонок в загородных мастерских создают прекрасные работы из глины, совершенствуют навыки лепки и росписи. В этот раз в керамической было много гостей. С ребятами занимались наши волонтеры и Деби и Ханна, а ещё приехала из Учмы давний друг студии Тамара Наумова, котор...</t>
        </is>
      </c>
    </row>
    <row r="572" ht="30" customHeight="1">
      <c r="A572" s="28" t="n">
        <v>5538</v>
      </c>
      <c r="B572" s="29" t="inlineStr">
        <is>
          <t>2020-01-24</t>
        </is>
      </c>
      <c r="C572" s="30">
        <f>HYPERLINK("https://vk.com/wall-1825701_5538", "Открыть пост")</f>
        <v/>
      </c>
      <c r="D572" s="31" t="inlineStr">
        <is>
          <t>Творческие мастер-классы и художественные студии</t>
        </is>
      </c>
      <c r="E572" s="31" t="inlineStr">
        <is>
          <t>Творческие мастер-классы и художественные студии</t>
        </is>
      </c>
      <c r="F572" s="31" t="inlineStr">
        <is>
          <t>Подопечные фонда «Дети Марии» (общая группа детей и подростков)</t>
        </is>
      </c>
      <c r="G572" s="31" t="inlineStr">
        <is>
          <t>Студия фонда / выездная площадка</t>
        </is>
      </c>
      <c r="H572" s="31" t="inlineStr">
        <is>
          <t>Художественно-прикладные и ремесленные навыки; Педагогические и наставнические навыки (кулинария, быт, учёба)</t>
        </is>
      </c>
      <c r="I572" s="32" t="inlineStr">
        <is>
          <t>Да (в тексте)</t>
        </is>
      </c>
      <c r="J572" s="31" t="inlineStr">
        <is>
          <t>В среду вечером в студии на Новинском — занятия по валянию. Продолжили осваивать объёмные изделия. Ведущая занятия Оксана Пятницкая принесла разные инструменты для валяния. Например, ускорить процесс поможет массажёр-скалка 😉 #22.01</t>
        </is>
      </c>
    </row>
    <row r="573" ht="30" customHeight="1">
      <c r="A573" s="23" t="n">
        <v>5536</v>
      </c>
      <c r="B573" s="24" t="inlineStr">
        <is>
          <t>2020-01-24</t>
        </is>
      </c>
      <c r="C573" s="25">
        <f>HYPERLINK("https://vk.com/wall-1825701_5536", "Открыть пост")</f>
        <v/>
      </c>
      <c r="D573" s="26" t="inlineStr">
        <is>
          <t>Творческие мастер-классы и художественные студии</t>
        </is>
      </c>
      <c r="E573" s="26" t="inlineStr">
        <is>
          <t>Творческие мастер-классы и художественные студии</t>
        </is>
      </c>
      <c r="F573" s="26" t="inlineStr">
        <is>
          <t>Подростки и взрослые с ментальными особенностями и ОВЗ (ПНИ / Социальные дома)</t>
        </is>
      </c>
      <c r="G573" s="26" t="inlineStr">
        <is>
          <t>Студия фонда / выездная площадка</t>
        </is>
      </c>
      <c r="H573" s="26" t="inlineStr">
        <is>
          <t>Художественно-прикладные и ремесленные навыки</t>
        </is>
      </c>
      <c r="I573" s="27" t="inlineStr">
        <is>
          <t>По формату занятия</t>
        </is>
      </c>
      <c r="J573" s="26" t="inlineStr">
        <is>
          <t>В студии на Дмитровке регулярно проходят занятия с ребятами из ПНИ: лепим, валяем, ткём гобелены. И рисуем, конечно 😉 На этом фото Полина из ПНИ 11 начинает новую работу акварелью. В больнице врачи подарили ей альбом с работами русского художника Николая Петровича Крымова. Полина...</t>
        </is>
      </c>
    </row>
    <row r="574" ht="30" customHeight="1">
      <c r="A574" s="28" t="n">
        <v>5535</v>
      </c>
      <c r="B574" s="29" t="inlineStr">
        <is>
          <t>2020-01-22</t>
        </is>
      </c>
      <c r="C574" s="30">
        <f>HYPERLINK("https://vk.com/wall-1825701_5535", "Открыть пост")</f>
        <v/>
      </c>
      <c r="D574" s="31" t="inlineStr">
        <is>
          <t>Творческие мастер-классы и художественные студии</t>
        </is>
      </c>
      <c r="E574" s="31" t="inlineStr">
        <is>
          <t>Творческие мастер-классы и художественные студии</t>
        </is>
      </c>
      <c r="F574" s="31" t="inlineStr">
        <is>
          <t>Подопечные фонда «Дети Марии» (общая группа детей и подростков)</t>
        </is>
      </c>
      <c r="G574" s="31" t="inlineStr">
        <is>
          <t>Студия фонда / выездная площадка</t>
        </is>
      </c>
      <c r="H574" s="31" t="inlineStr">
        <is>
          <t>Коммуникативные навыки, эмпатия и тьюторское сопровождение</t>
        </is>
      </c>
      <c r="I574" s="32" t="inlineStr">
        <is>
          <t>По формату занятия</t>
        </is>
      </c>
      <c r="J574" s="31" t="inlineStr">
        <is>
          <t>Сразу несколько витражей делали на мастер-классе по стеклу: Ира Гуриева начала маленький фонарь, Нелли Егорова - продолжила свою работу над солнцем, Ира Скимбаторь, Андрей Никитаев, Маша Татиева, Ася Сегалович, Руслан Колядин и Александр Семёнов «разжигали костёр») #20.01</t>
        </is>
      </c>
    </row>
    <row r="575" ht="30" customHeight="1">
      <c r="A575" s="23" t="n">
        <v>5534</v>
      </c>
      <c r="B575" s="24" t="inlineStr">
        <is>
          <t>2020-01-21</t>
        </is>
      </c>
      <c r="C575" s="25">
        <f>HYPERLINK("https://vk.com/wall-1825701_5534", "Открыть пост")</f>
        <v/>
      </c>
      <c r="D575" s="26" t="inlineStr">
        <is>
          <t>Творческие мастер-классы и художественные студии</t>
        </is>
      </c>
      <c r="E575" s="26" t="inlineStr">
        <is>
          <t>Творческие мастер-классы и художественные студии</t>
        </is>
      </c>
      <c r="F575" s="26" t="inlineStr">
        <is>
          <t>Подопечные фонда «Дети Марии» (общая группа детей и подростков)</t>
        </is>
      </c>
      <c r="G575" s="26" t="inlineStr">
        <is>
          <t>Студия фонда / выездная площадка</t>
        </is>
      </c>
      <c r="H575" s="26" t="inlineStr">
        <is>
          <t>Художественно-прикладные и ремесленные навыки</t>
        </is>
      </c>
      <c r="I575" s="27" t="inlineStr">
        <is>
          <t>По формату занятия</t>
        </is>
      </c>
      <c r="J575" s="26" t="inlineStr">
        <is>
          <t>По вторникам в студии на Новинском занятия с детьми из Пресненского района. 🔸 15:00-17:30 Дети приобщаются к гончарному искусству, лепят и расписывают керамические изделия. Сегодня лепили шкатулки и кувшины. А с Нюсей Митиной рисовали птиц — птиц счастья, мира и добра! 🕊❤• #21.01...</t>
        </is>
      </c>
    </row>
    <row r="576" ht="30" customHeight="1">
      <c r="A576" s="28" t="n">
        <v>5533</v>
      </c>
      <c r="B576" s="29" t="inlineStr">
        <is>
          <t>2020-01-20</t>
        </is>
      </c>
      <c r="C576" s="30">
        <f>HYPERLINK("https://vk.com/wall-1825701_5533", "Открыть пост")</f>
        <v/>
      </c>
      <c r="D576" s="31" t="inlineStr">
        <is>
          <t>Творческие мастер-классы и художественные студии</t>
        </is>
      </c>
      <c r="E576" s="31" t="inlineStr">
        <is>
          <t>Творческие мастер-классы и художественные студии</t>
        </is>
      </c>
      <c r="F576" s="31" t="inlineStr">
        <is>
          <t>Подопечные фонда «Дети Марии» (общая группа детей и подростков)</t>
        </is>
      </c>
      <c r="G576" s="31" t="inlineStr">
        <is>
          <t>Студия фонда / выездная площадка</t>
        </is>
      </c>
      <c r="H576" s="31" t="inlineStr">
        <is>
          <t>Художественно-прикладные и ремесленные навыки</t>
        </is>
      </c>
      <c r="I576" s="32" t="inlineStr">
        <is>
          <t>По формату занятия</t>
        </is>
      </c>
      <c r="J576" s="31" t="inlineStr">
        <is>
          <t>Эстафету воскресной керамики приняли взрослые участники. Результат занятия — закончена роспись декоративных тарелок 👏🏻 А ещё научились лепить самым древним способом, известным со времён неолита: с помощью полосок или «колбасок»!) #19.01</t>
        </is>
      </c>
    </row>
    <row r="577" ht="30" customHeight="1">
      <c r="A577" s="23" t="n">
        <v>5526</v>
      </c>
      <c r="B577" s="24" t="inlineStr">
        <is>
          <t>2020-01-18</t>
        </is>
      </c>
      <c r="C577" s="25">
        <f>HYPERLINK("https://vk.com/wall-1825701_5526", "Открыть пост")</f>
        <v/>
      </c>
      <c r="D577" s="26" t="inlineStr">
        <is>
          <t>Творческие мастер-классы и художественные студии</t>
        </is>
      </c>
      <c r="E577" s="26" t="inlineStr">
        <is>
          <t>Творческие мастер-классы и художественные студии</t>
        </is>
      </c>
      <c r="F577" s="26" t="inlineStr">
        <is>
          <t>Подопечные фонда «Дети Марии» (общая группа детей и подростков)</t>
        </is>
      </c>
      <c r="G577" s="26" t="inlineStr">
        <is>
          <t>Студия фонда / выездная площадка</t>
        </is>
      </c>
      <c r="H577" s="26" t="inlineStr">
        <is>
          <t>Художественно-прикладные и ремесленные навыки; Педагогические и наставнические навыки (кулинария, быт, учёба)</t>
        </is>
      </c>
      <c r="I577" s="27" t="inlineStr">
        <is>
          <t>По формату занятия</t>
        </is>
      </c>
      <c r="J577" s="26" t="inlineStr">
        <is>
          <t>На занятиях по валянию начали осваивать объёмные формы. Оксана Пятницкая учила, как рассчитать размер шаблона — любое объёмное изделие начинается с плоской выкройки. Занятия проходят в студии на Новинском по средам с 18:30. #15.01</t>
        </is>
      </c>
    </row>
    <row r="578" ht="30" customHeight="1">
      <c r="A578" s="28" t="n">
        <v>5524</v>
      </c>
      <c r="B578" s="29" t="inlineStr">
        <is>
          <t>2020-01-18</t>
        </is>
      </c>
      <c r="C578" s="30">
        <f>HYPERLINK("https://vk.com/wall-1825701_5524", "Открыть пост")</f>
        <v/>
      </c>
      <c r="D578" s="31" t="inlineStr">
        <is>
          <t>Творческие мастер-классы и художественные студии</t>
        </is>
      </c>
      <c r="E578" s="31" t="inlineStr">
        <is>
          <t>Творческие мастер-классы и художественные студии</t>
        </is>
      </c>
      <c r="F578" s="31" t="inlineStr">
        <is>
          <t>Воспитанники ЦССВ, ДДИ и детских домов-интернатов</t>
        </is>
      </c>
      <c r="G578" s="31" t="inlineStr">
        <is>
          <t>Студия фонда / выездная площадка</t>
        </is>
      </c>
      <c r="H578" s="31" t="inlineStr">
        <is>
          <t>Коммуникативные навыки, эмпатия и тьюторское сопровождение</t>
        </is>
      </c>
      <c r="I578" s="32" t="inlineStr">
        <is>
          <t>По формату занятия</t>
        </is>
      </c>
      <c r="J578" s="31" t="inlineStr">
        <is>
          <t>В Покровский детский дом приехал мастер-класс по стеклу в технике «Тиффани». Результат первого занятия с Ирина Скимбаторь — готовые работы у каждого! Света и Эва захотели сердечки, Вова — первую букву своего имени, Рома сделал птицу. Мы забыли у ребят паяльник, а это верный знак,...</t>
        </is>
      </c>
    </row>
    <row r="579" ht="30" customHeight="1">
      <c r="A579" s="23" t="n">
        <v>5523</v>
      </c>
      <c r="B579" s="24" t="inlineStr">
        <is>
          <t>2020-01-18</t>
        </is>
      </c>
      <c r="C579" s="25">
        <f>HYPERLINK("https://vk.com/wall-1825701_5523", "Открыть пост")</f>
        <v/>
      </c>
      <c r="D579" s="26" t="inlineStr">
        <is>
          <t>Творческие мастер-классы и художественные студии</t>
        </is>
      </c>
      <c r="E579" s="26" t="inlineStr">
        <is>
          <t>Творческие мастер-классы и художественные студии; Выездные лагеря, дача и сезонные программы</t>
        </is>
      </c>
      <c r="F579" s="26" t="inlineStr">
        <is>
          <t>Подростки и взрослые с ментальными особенностями и ОВЗ (ПНИ / Социальные дома); Воспитанники ЦССВ, ДДИ и детских домов-интернатов</t>
        </is>
      </c>
      <c r="G579" s="26" t="inlineStr">
        <is>
          <t>Студия фонда / выездная площадка</t>
        </is>
      </c>
      <c r="H579" s="26" t="inlineStr">
        <is>
          <t>Художественно-прикладные и ремесленные навыки</t>
        </is>
      </c>
      <c r="I579" s="27" t="inlineStr">
        <is>
          <t>Да (в тексте)</t>
        </is>
      </c>
      <c r="J579" s="26" t="inlineStr">
        <is>
          <t>В загородных мастерских у Марии открылась столярная мастерская!) Мальчики из Филимонковского детского дома впервые работали с деревом. Прошли вводный инструктаж и начали с изготовления разделочных досок. Любимая всеми керамика с Ириной Рокотниной тоже была: Юля продолжила серию т...</t>
        </is>
      </c>
    </row>
    <row r="580" ht="30" customHeight="1">
      <c r="A580" s="28" t="n">
        <v>5522</v>
      </c>
      <c r="B580" s="29" t="inlineStr">
        <is>
          <t>2020-01-15</t>
        </is>
      </c>
      <c r="C580" s="30">
        <f>HYPERLINK("https://vk.com/wall-1825701_5522", "Открыть пост")</f>
        <v/>
      </c>
      <c r="D580" s="31" t="inlineStr">
        <is>
          <t>Творческие мастер-классы и художественные студии</t>
        </is>
      </c>
      <c r="E580" s="31" t="inlineStr">
        <is>
          <t>Творческие мастер-классы и художественные студии</t>
        </is>
      </c>
      <c r="F580" s="31" t="inlineStr">
        <is>
          <t>Подростки и взрослые с ментальными особенностями и ОВЗ (ПНИ / Социальные дома)</t>
        </is>
      </c>
      <c r="G580" s="31" t="inlineStr">
        <is>
          <t>ПНИ № 16</t>
        </is>
      </c>
      <c r="H580" s="31" t="inlineStr">
        <is>
          <t>Художественно-прикладные и ремесленные навыки</t>
        </is>
      </c>
      <c r="I580" s="32" t="inlineStr">
        <is>
          <t>Да (в тексте)</t>
        </is>
      </c>
      <c r="J580" s="31" t="inlineStr">
        <is>
          <t>На занятия к ребятам в ПНИ № 16 приезжают педагоги и волонтеры. Во вторник ребята с Анна Андреева и Катей Филимоновой рисовали волшебных рыб 🐠 #14.01</t>
        </is>
      </c>
    </row>
    <row r="581" ht="30" customHeight="1">
      <c r="A581" s="23" t="n">
        <v>5521</v>
      </c>
      <c r="B581" s="24" t="inlineStr">
        <is>
          <t>2020-01-14</t>
        </is>
      </c>
      <c r="C581" s="25">
        <f>HYPERLINK("https://vk.com/wall-1825701_5521", "Открыть пост")</f>
        <v/>
      </c>
      <c r="D581" s="26" t="inlineStr">
        <is>
          <t>Творческие мастер-классы и художественные студии</t>
        </is>
      </c>
      <c r="E581" s="26" t="inlineStr">
        <is>
          <t>Творческие мастер-классы и художественные студии</t>
        </is>
      </c>
      <c r="F581" s="26" t="inlineStr">
        <is>
          <t>Подопечные фонда «Дети Марии» (общая группа детей и подростков)</t>
        </is>
      </c>
      <c r="G581" s="26" t="inlineStr">
        <is>
          <t>Студия фонда / выездная площадка</t>
        </is>
      </c>
      <c r="H581" s="26" t="inlineStr">
        <is>
          <t>Коммуникативные навыки, эмпатия и тьюторское сопровождение</t>
        </is>
      </c>
      <c r="I581" s="27" t="inlineStr">
        <is>
          <t>По формату занятия</t>
        </is>
      </c>
      <c r="J581" s="26" t="inlineStr">
        <is>
          <t>Мастер-класс по витражной технике «Тиффани» в студии на Дмитровке проводит по пятницам с Ирина Скимбаторь. Начало в 17:00. Хотите научиться работать со стеклом — приходите!) #10.01</t>
        </is>
      </c>
    </row>
    <row r="582" ht="30" customHeight="1">
      <c r="A582" s="28" t="n">
        <v>5517</v>
      </c>
      <c r="B582" s="29" t="inlineStr">
        <is>
          <t>2020-01-13</t>
        </is>
      </c>
      <c r="C582" s="30">
        <f>HYPERLINK("https://vk.com/wall-1825701_5517", "Открыть пост")</f>
        <v/>
      </c>
      <c r="D582" s="31" t="inlineStr">
        <is>
          <t>Творческие мастер-классы и художественные студии</t>
        </is>
      </c>
      <c r="E582" s="31" t="inlineStr">
        <is>
          <t>Творческие мастер-классы и художественные студии; Праздники, дни рождения и клубные встречи</t>
        </is>
      </c>
      <c r="F582" s="31" t="inlineStr">
        <is>
          <t>Широкая аудитория, гости и благотворители (открытые события)</t>
        </is>
      </c>
      <c r="G582" s="31" t="inlineStr">
        <is>
          <t>Студия фонда / выездная площадка</t>
        </is>
      </c>
      <c r="H582" s="31" t="inlineStr">
        <is>
          <t>Художественно-прикладные и ремесленные навыки; Организационные, ивент- и ярмарочные навыки</t>
        </is>
      </c>
      <c r="I582" s="32" t="inlineStr">
        <is>
          <t>По формату занятия</t>
        </is>
      </c>
      <c r="J582" s="31" t="inlineStr">
        <is>
          <t>В студии на Дмитровке по субботам будут проходить занятия керамикой. Приглашаем детей и их родителей, бабушек и дедушек — жителей Тверского района. На занятиях мы будем не только лепить из глины, но и знакомиться с произведениями мировой художественной культуры. Например, в эту с...</t>
        </is>
      </c>
    </row>
    <row r="583" ht="30" customHeight="1">
      <c r="A583" s="23" t="n">
        <v>5516</v>
      </c>
      <c r="B583" s="24" t="inlineStr">
        <is>
          <t>2020-01-13</t>
        </is>
      </c>
      <c r="C583" s="25">
        <f>HYPERLINK("https://vk.com/wall-1825701_5516", "Открыть пост")</f>
        <v/>
      </c>
      <c r="D583" s="26" t="inlineStr">
        <is>
          <t>Творческие мастер-классы и художественные студии</t>
        </is>
      </c>
      <c r="E583" s="26" t="inlineStr">
        <is>
          <t>Творческие мастер-классы и художественные студии</t>
        </is>
      </c>
      <c r="F583" s="26" t="inlineStr">
        <is>
          <t>Подростки и взрослые с ментальными особенностями и ОВЗ (ПНИ / Социальные дома)</t>
        </is>
      </c>
      <c r="G583" s="26" t="inlineStr">
        <is>
          <t>Студия фонда / выездная площадка</t>
        </is>
      </c>
      <c r="H583" s="26" t="inlineStr">
        <is>
          <t>Художественно-прикладные и ремесленные навыки; Артистические, музыкальные и спортивно-игровые навыки</t>
        </is>
      </c>
      <c r="I583" s="27" t="inlineStr">
        <is>
          <t>По формату занятия</t>
        </is>
      </c>
      <c r="J583" s="26" t="inlineStr">
        <is>
          <t>Продолжились занятия и в ПНИ 16. В пятницу был аншлаг — свободных мест в аудитории не осталось! Ребята рисовали и пели хором романтические песни 🥰 #10.01</t>
        </is>
      </c>
    </row>
    <row r="584" ht="30" customHeight="1">
      <c r="A584" s="28" t="n">
        <v>5514</v>
      </c>
      <c r="B584" s="29" t="inlineStr">
        <is>
          <t>2020-01-13</t>
        </is>
      </c>
      <c r="C584" s="30">
        <f>HYPERLINK("https://vk.com/wall-1825701_5514", "Открыть пост")</f>
        <v/>
      </c>
      <c r="D584" s="31" t="inlineStr">
        <is>
          <t>Творческие мастер-классы и художественные студии</t>
        </is>
      </c>
      <c r="E584" s="31" t="inlineStr">
        <is>
          <t>Творческие мастер-классы и художественные студии</t>
        </is>
      </c>
      <c r="F584" s="31" t="inlineStr">
        <is>
          <t>Подопечные фонда «Дети Марии» (общая группа детей и подростков)</t>
        </is>
      </c>
      <c r="G584" s="31" t="inlineStr">
        <is>
          <t>Студия фонда / выездная площадка</t>
        </is>
      </c>
      <c r="H584" s="31" t="inlineStr">
        <is>
          <t>Художественно-прикладные и ремесленные навыки; Организационные, ивент- и ярмарочные навыки</t>
        </is>
      </c>
      <c r="I584" s="32" t="inlineStr">
        <is>
          <t>По формату занятия</t>
        </is>
      </c>
      <c r="J584" s="31" t="inlineStr">
        <is>
          <t>В студии на Новинском проходят бесплатные творческие занятия с детьми: по вторникам, средам, пятницам и воскресеньям. Лепим и рисуем, ангелы и ёлки остаются актуальны и после праздников)) Мы рады новым участникам, знакомьтесь —молодой человек Николай, пришёл с мамой 😊 Приходите и...</t>
        </is>
      </c>
    </row>
    <row r="585" ht="30" customHeight="1">
      <c r="A585" s="23" t="n">
        <v>5503</v>
      </c>
      <c r="B585" s="24" t="inlineStr">
        <is>
          <t>2020-01-10</t>
        </is>
      </c>
      <c r="C585" s="25">
        <f>HYPERLINK("https://vk.com/wall-1825701_5503", "Открыть пост")</f>
        <v/>
      </c>
      <c r="D585" s="26" t="inlineStr">
        <is>
          <t>Праздники, дни рождения и клубные встречи</t>
        </is>
      </c>
      <c r="E585" s="26" t="inlineStr">
        <is>
          <t>Праздники, дни рождения и клубные встречи</t>
        </is>
      </c>
      <c r="F585" s="26" t="inlineStr">
        <is>
          <t>Подопечные фонда «Дети Марии» (общая группа детей и подростков)</t>
        </is>
      </c>
      <c r="G585" s="26" t="inlineStr">
        <is>
          <t>Студия фонда / выездная площадка</t>
        </is>
      </c>
      <c r="H585" s="26" t="inlineStr">
        <is>
          <t>Организационные, ивент- и ярмарочные навыки; Медиа, фото/видеосъёмка и культурная медиация</t>
        </is>
      </c>
      <c r="I585" s="27" t="inlineStr">
        <is>
          <t>По формату занятия</t>
        </is>
      </c>
      <c r="J585" s="26" t="inlineStr">
        <is>
          <t>Поздравляем с днём рождения нашего прекрасного сотрудника Сергей Королёв! Спасибо, Серёжа, за не счесть сколько вкусных обедов и чаепитий, которые ты приготовил для ребят из интернатов, за неустанно пополняемый много лет студийный фото- и видео-архив, за отзывчивость и уверенност...</t>
        </is>
      </c>
    </row>
    <row r="586" ht="30" customHeight="1">
      <c r="A586" s="28" t="n">
        <v>5501</v>
      </c>
      <c r="B586" s="29" t="inlineStr">
        <is>
          <t>2020-01-09</t>
        </is>
      </c>
      <c r="C586" s="30">
        <f>HYPERLINK("https://vk.com/wall-1825701_5501", "Открыть пост")</f>
        <v/>
      </c>
      <c r="D586" s="31" t="inlineStr">
        <is>
          <t>Творческие мастер-классы и художественные студии</t>
        </is>
      </c>
      <c r="E586" s="31" t="inlineStr">
        <is>
          <t>Творческие мастер-классы и художественные студии</t>
        </is>
      </c>
      <c r="F586" s="31" t="inlineStr">
        <is>
          <t>Подростки и взрослые с ментальными особенностями и ОВЗ (ПНИ / Социальные дома)</t>
        </is>
      </c>
      <c r="G586" s="31" t="inlineStr">
        <is>
          <t>ПНИ №16</t>
        </is>
      </c>
      <c r="H586" s="31" t="inlineStr">
        <is>
          <t>Художественно-прикладные и ремесленные навыки; Педагогические и наставнические навыки (кулинария, быт, учёба)</t>
        </is>
      </c>
      <c r="I586" s="32" t="inlineStr">
        <is>
          <t>Да (в тексте)</t>
        </is>
      </c>
      <c r="J586" s="31" t="inlineStr">
        <is>
          <t>Сегодня у ребят в ПНИ №16 занятие. Анна Андреева учит рисовать зимние городские пейзажи. А ещё повидаться к ребятам приехала любимый и преданный волонтер Наташа Скокова с коробкой печенья 🍪💛 #9.01</t>
        </is>
      </c>
    </row>
    <row r="587" ht="30" customHeight="1">
      <c r="A587" s="23" t="n">
        <v>5497</v>
      </c>
      <c r="B587" s="24" t="inlineStr">
        <is>
          <t>2020-01-07</t>
        </is>
      </c>
      <c r="C587" s="25">
        <f>HYPERLINK("https://vk.com/wall-1825701_5497", "Открыть пост")</f>
        <v/>
      </c>
      <c r="D587" s="26" t="inlineStr">
        <is>
          <t>Кулинарные, образовательные и социально-бытовые занятия</t>
        </is>
      </c>
      <c r="E587" s="26" t="inlineStr">
        <is>
          <t>Кулинарные, образовательные и социально-бытовые занятия; Творческие мастер-классы и художественные студии</t>
        </is>
      </c>
      <c r="F587" s="26" t="inlineStr">
        <is>
          <t>Подростки и взрослые с ментальными особенностями и ОВЗ (ПНИ / Социальные дома)</t>
        </is>
      </c>
      <c r="G587" s="26" t="inlineStr">
        <is>
          <t>Студия фонда / выездная площадка</t>
        </is>
      </c>
      <c r="H587" s="26" t="inlineStr">
        <is>
          <t>Педагогические и наставнические навыки (кулинария, быт, учёба)</t>
        </is>
      </c>
      <c r="I587" s="27" t="inlineStr">
        <is>
          <t>Да (в тексте)</t>
        </is>
      </c>
      <c r="J587" s="26" t="inlineStr">
        <is>
          <t>Ислом Мухтаров учил ребят из ПНИ 16 готовить настоящий самаркандский плов! 🤤 А с волонтёром Натальей резали салат. Кулинарный мастер-класс, как и обед, удался на славу!</t>
        </is>
      </c>
    </row>
    <row r="588" ht="30" customHeight="1">
      <c r="A588" s="28" t="n">
        <v>5496</v>
      </c>
      <c r="B588" s="29" t="inlineStr">
        <is>
          <t>2020-01-07</t>
        </is>
      </c>
      <c r="C588" s="30">
        <f>HYPERLINK("https://vk.com/wall-1825701_5496", "Открыть пост")</f>
        <v/>
      </c>
      <c r="D588" s="31" t="inlineStr">
        <is>
          <t>Творческие мастер-классы и художественные студии</t>
        </is>
      </c>
      <c r="E588" s="31" t="inlineStr">
        <is>
          <t>Творческие мастер-классы и художественные студии; Спортивные и активные мероприятия</t>
        </is>
      </c>
      <c r="F588" s="31" t="inlineStr">
        <is>
          <t>Подростки и взрослые с ментальными особенностями и ОВЗ (ПНИ / Социальные дома)</t>
        </is>
      </c>
      <c r="G588" s="31" t="inlineStr">
        <is>
          <t>Студия фонда / выездная площадка</t>
        </is>
      </c>
      <c r="H588" s="31" t="inlineStr">
        <is>
          <t>Артистические, музыкальные и спортивно-игровые навыки</t>
        </is>
      </c>
      <c r="I588" s="32" t="inlineStr">
        <is>
          <t>Да (в тексте)</t>
        </is>
      </c>
      <c r="J588" s="31" t="inlineStr">
        <is>
          <t>Ребята из 16 ПНИ с нашими волонтерами Натальей и Верой окунулись в волшебный мир балета-сказки «Щелкунчик». Волонтер Вера поделилась впечатлениями: «С историей Щелкунчика все знакомы, поэтому наблюдать за развитием сюжета было легко. Лизу впечатлила музыка оркестра и танец чашек....</t>
        </is>
      </c>
    </row>
    <row r="589" ht="30" customHeight="1">
      <c r="A589" s="23" t="n">
        <v>5493</v>
      </c>
      <c r="B589" s="24" t="inlineStr">
        <is>
          <t>2020-01-05</t>
        </is>
      </c>
      <c r="C589" s="25">
        <f>HYPERLINK("https://vk.com/wall-1825701_5493", "Открыть пост")</f>
        <v/>
      </c>
      <c r="D589" s="26" t="inlineStr">
        <is>
          <t>Творческие мастер-классы и художественные студии</t>
        </is>
      </c>
      <c r="E589" s="26" t="inlineStr">
        <is>
          <t>Творческие мастер-классы и художественные студии</t>
        </is>
      </c>
      <c r="F589" s="26" t="inlineStr">
        <is>
          <t>Подопечные фонда «Дети Марии» (общая группа детей и подростков)</t>
        </is>
      </c>
      <c r="G589" s="26" t="inlineStr">
        <is>
          <t>Студия фонда / выездная площадка</t>
        </is>
      </c>
      <c r="H589" s="26" t="inlineStr">
        <is>
          <t>Художественно-прикладные и ремесленные навыки; Педагогические и наставнические навыки (кулинария, быт, учёба)</t>
        </is>
      </c>
      <c r="I589" s="27" t="inlineStr">
        <is>
          <t>По формату занятия</t>
        </is>
      </c>
      <c r="J589" s="26" t="inlineStr">
        <is>
          <t>Первое занятие в новом году — керамика с детьми и взрослыми. Очень рады нашим новым участникам, семье Булановых ☺• С преподавателем Аней Андреевой лепили единорога, снеговиков, и подставки для яиц в виде мышей, но в ходе работы что-то пошло не так, и получились коты 😅</t>
        </is>
      </c>
    </row>
    <row r="590" ht="30" customHeight="1">
      <c r="A590" s="28" t="n">
        <v>5490</v>
      </c>
      <c r="B590" s="29" t="inlineStr">
        <is>
          <t>2019-12-29</t>
        </is>
      </c>
      <c r="C590" s="30">
        <f>HYPERLINK("https://vk.com/wall-1825701_5490", "Открыть пост")</f>
        <v/>
      </c>
      <c r="D590" s="31" t="inlineStr">
        <is>
          <t>Ярмарки, фестивали и благотворительные базары</t>
        </is>
      </c>
      <c r="E590" s="31" t="inlineStr">
        <is>
          <t>Ярмарки, фестивали и благотворительные базары; Спортивные и активные мероприятия</t>
        </is>
      </c>
      <c r="F590" s="31" t="inlineStr">
        <is>
          <t>Подопечные фонда «Дети Марии» (общая группа детей и подростков)</t>
        </is>
      </c>
      <c r="G590" s="31" t="inlineStr">
        <is>
          <t>Студия фонда / выездная площадка</t>
        </is>
      </c>
      <c r="H590" s="31" t="inlineStr">
        <is>
          <t>Коммуникативные навыки, эмпатия и тьюторское сопровождение; Организационные, ивент- и ярмарочные навыки</t>
        </is>
      </c>
      <c r="I590" s="32" t="inlineStr">
        <is>
          <t>По формату занятия</t>
        </is>
      </c>
      <c r="J590" s="31" t="inlineStr">
        <is>
          <t>Марафон новогодних благотворительных ярмарок закончился в офисе компании O’STIN | ОСТИН и детской ярмаркой в школе Св. Георгия. Спасибо организаторам за приглашение и заботливую помощь, за праздничную атмосферу! Благодарим сотрудников, которые пожертвованиями поддержали наши прог...</t>
        </is>
      </c>
    </row>
    <row r="591" ht="30" customHeight="1">
      <c r="A591" s="23" t="n">
        <v>5482</v>
      </c>
      <c r="B591" s="24" t="inlineStr">
        <is>
          <t>2019-12-28</t>
        </is>
      </c>
      <c r="C591" s="25">
        <f>HYPERLINK("https://vk.com/wall-1825701_5482", "Открыть пост")</f>
        <v/>
      </c>
      <c r="D591" s="26" t="inlineStr">
        <is>
          <t>Творческие мастер-классы и художественные студии</t>
        </is>
      </c>
      <c r="E591" s="26" t="inlineStr">
        <is>
          <t>Творческие мастер-классы и художественные студии</t>
        </is>
      </c>
      <c r="F591" s="26" t="inlineStr">
        <is>
          <t>Подростки и взрослые с ментальными особенностями и ОВЗ (ПНИ / Социальные дома)</t>
        </is>
      </c>
      <c r="G591" s="26" t="inlineStr">
        <is>
          <t>Студия фонда / выездная площадка</t>
        </is>
      </c>
      <c r="H591" s="26" t="inlineStr">
        <is>
          <t>Художественно-прикладные и ремесленные навыки</t>
        </is>
      </c>
      <c r="I591" s="27" t="inlineStr">
        <is>
          <t>Да (в тексте)</t>
        </is>
      </c>
      <c r="J591" s="26" t="inlineStr">
        <is>
          <t>В субботу ребята из ПНИ 16 приехали на финальное занятие в этом году. Поэтому праздничный стол: пельмени со сметаной, сардельки и коктейли из фруктов. Все это заботливо приготовила ребятам волонтер Катя. А Валя в подарок Кате нарисовала картину «Ёлка»🎄 Рисовали, а потом поздравля...</t>
        </is>
      </c>
    </row>
    <row r="592" ht="30" customHeight="1">
      <c r="A592" s="28" t="n">
        <v>5481</v>
      </c>
      <c r="B592" s="29" t="inlineStr">
        <is>
          <t>2019-12-28</t>
        </is>
      </c>
      <c r="C592" s="30">
        <f>HYPERLINK("https://vk.com/wall-1825701_5481", "Открыть пост")</f>
        <v/>
      </c>
      <c r="D592" s="31" t="inlineStr">
        <is>
          <t>Творческие мастер-классы и художественные студии</t>
        </is>
      </c>
      <c r="E592" s="31" t="inlineStr">
        <is>
          <t>Творческие мастер-классы и художественные студии</t>
        </is>
      </c>
      <c r="F592" s="31" t="inlineStr">
        <is>
          <t>Подростки и взрослые с ментальными особенностями и ОВЗ (ПНИ / Социальные дома); Широкая аудитория, гости и благотворители (открытые события)</t>
        </is>
      </c>
      <c r="G592" s="31" t="inlineStr">
        <is>
          <t>ТВЕРСКАЯ 15</t>
        </is>
      </c>
      <c r="H592" s="31" t="inlineStr">
        <is>
          <t>Коммуникативные навыки, эмпатия и тьюторское сопровождение; Артистические, музыкальные и спортивно-игровые навыки</t>
        </is>
      </c>
      <c r="I592" s="32" t="inlineStr">
        <is>
          <t>Да (в тексте)</t>
        </is>
      </c>
      <c r="J592" s="31" t="inlineStr">
        <is>
          <t>Друзья! Мы очень ждем вас завтра на Новогоднюю Ёлку «Дети Марии» и Инклюзивное пространство «ТВЕРСКАЯ 15»! 🎄🎄🎄 🗓 29 декабря ⏰15:00-21:00 🎅🏻 Тверская, 15. Вход с Вознесенского переулка. Немножко подробностей про то, что будет происходить: ⏰ 15:00 - 17:15 — мастер-классы от наших п...</t>
        </is>
      </c>
    </row>
    <row r="593" ht="30" customHeight="1">
      <c r="A593" s="23" t="n">
        <v>5475</v>
      </c>
      <c r="B593" s="24" t="inlineStr">
        <is>
          <t>2019-12-28</t>
        </is>
      </c>
      <c r="C593" s="25">
        <f>HYPERLINK("https://vk.com/wall-1825701_5475", "Открыть пост")</f>
        <v/>
      </c>
      <c r="D593" s="26" t="inlineStr">
        <is>
          <t>Творческие мастер-классы и художественные студии</t>
        </is>
      </c>
      <c r="E593" s="26" t="inlineStr">
        <is>
          <t>Творческие мастер-классы и художественные студии; Выездные лагеря, дача и сезонные программы</t>
        </is>
      </c>
      <c r="F593" s="26" t="inlineStr">
        <is>
          <t>Выпускники интернатов и детских домов (молодые взрослые)</t>
        </is>
      </c>
      <c r="G593" s="26" t="inlineStr">
        <is>
          <t>Студия фонда / выездная площадка</t>
        </is>
      </c>
      <c r="H593" s="26" t="inlineStr">
        <is>
          <t>Художественно-прикладные и ремесленные навыки</t>
        </is>
      </c>
      <c r="I593" s="27" t="inlineStr">
        <is>
          <t>По формату занятия</t>
        </is>
      </c>
      <c r="J593" s="26" t="inlineStr">
        <is>
          <t>Последнее в 2019 году творческое занятие на даче прошло у Филимонок. Приехали старшие ребята, рисовали и лепили. А после занятия вместе поздравляли Марию с днём рождения ❤•🥳 #25.12</t>
        </is>
      </c>
    </row>
    <row r="594" ht="30" customHeight="1">
      <c r="A594" s="28" t="n">
        <v>5474</v>
      </c>
      <c r="B594" s="29" t="inlineStr">
        <is>
          <t>2019-12-28</t>
        </is>
      </c>
      <c r="C594" s="30">
        <f>HYPERLINK("https://vk.com/wall-1825701_5474", "Открыть пост")</f>
        <v/>
      </c>
      <c r="D594" s="31" t="inlineStr">
        <is>
          <t>Творческие мастер-классы и художественные студии</t>
        </is>
      </c>
      <c r="E594" s="31" t="inlineStr">
        <is>
          <t>Творческие мастер-классы и художественные студии</t>
        </is>
      </c>
      <c r="F594" s="31" t="inlineStr">
        <is>
          <t>Подопечные фонда «Дети Марии» (общая группа детей и подростков)</t>
        </is>
      </c>
      <c r="G594" s="31" t="inlineStr">
        <is>
          <t>Студия фонда / выездная площадка</t>
        </is>
      </c>
      <c r="H594" s="31" t="inlineStr">
        <is>
          <t>Художественно-прикладные и ремесленные навыки</t>
        </is>
      </c>
      <c r="I594" s="32" t="inlineStr">
        <is>
          <t>По формату занятия</t>
        </is>
      </c>
      <c r="J594" s="31" t="inlineStr">
        <is>
          <t>Маленькие жители Пресненского района творили в студии на Новинский во вторник, среду и пятницу. Занимались керамикой и рисовали. Лепили ёлки, новогодние сапожки и много-много смеялись 😊 #24.12 #25.12 #27.12</t>
        </is>
      </c>
    </row>
    <row r="595" ht="30" customHeight="1">
      <c r="A595" s="23" t="n">
        <v>5456</v>
      </c>
      <c r="B595" s="24" t="inlineStr">
        <is>
          <t>2019-12-23</t>
        </is>
      </c>
      <c r="C595" s="25">
        <f>HYPERLINK("https://vk.com/wall-1825701_5456", "Открыть пост")</f>
        <v/>
      </c>
      <c r="D595" s="26" t="inlineStr">
        <is>
          <t>Кулинарные, образовательные и социально-бытовые занятия</t>
        </is>
      </c>
      <c r="E595" s="26" t="inlineStr">
        <is>
          <t>Кулинарные, образовательные и социально-бытовые занятия; Спектакли, концерты и музыкально-театральные занятия</t>
        </is>
      </c>
      <c r="F595" s="26" t="inlineStr">
        <is>
          <t>Подростки и взрослые с ментальными особенностями и ОВЗ (ПНИ / Социальные дома)</t>
        </is>
      </c>
      <c r="G595" s="26" t="inlineStr">
        <is>
          <t>ПНИ №11</t>
        </is>
      </c>
      <c r="H595" s="26" t="inlineStr">
        <is>
          <t>Артистические, музыкальные и спортивно-игровые навыки</t>
        </is>
      </c>
      <c r="I595" s="27" t="inlineStr">
        <is>
          <t>По формату занятия</t>
        </is>
      </c>
      <c r="J595" s="26" t="inlineStr">
        <is>
          <t>Сегодня после занятия праздновали Новый год с ребятами из ПНИ №11. Все приехали в студию нарядные) Играли в настольные игры, пели песни. А потом пришли Дед Мороз и Снегурочка! ✨Началось веселье и подарки 😜🎁 #23.12</t>
        </is>
      </c>
    </row>
    <row r="596" ht="30" customHeight="1">
      <c r="A596" s="28" t="n">
        <v>5454</v>
      </c>
      <c r="B596" s="29" t="inlineStr">
        <is>
          <t>2019-12-23</t>
        </is>
      </c>
      <c r="C596" s="30">
        <f>HYPERLINK("https://vk.com/wall-1825701_5454", "Открыть пост")</f>
        <v/>
      </c>
      <c r="D596" s="31" t="inlineStr">
        <is>
          <t>Творческие мастер-классы и художественные студии</t>
        </is>
      </c>
      <c r="E596" s="31" t="inlineStr">
        <is>
          <t>Творческие мастер-классы и художественные студии</t>
        </is>
      </c>
      <c r="F596" s="31" t="inlineStr">
        <is>
          <t>Подопечные фонда «Дети Марии» (общая группа детей и подростков)</t>
        </is>
      </c>
      <c r="G596" s="31" t="inlineStr">
        <is>
          <t>Студия фонда / выездная площадка</t>
        </is>
      </c>
      <c r="H596" s="31" t="inlineStr">
        <is>
          <t>Художественно-прикладные и ремесленные навыки; Педагогические и наставнические навыки (кулинария, быт, учёба)</t>
        </is>
      </c>
      <c r="I596" s="32" t="inlineStr">
        <is>
          <t>По формату занятия</t>
        </is>
      </c>
      <c r="J596" s="31" t="inlineStr">
        <is>
          <t>Воскресные занятия керамикой с Анной Андреевой. Учимся расписывать изразцы и подсвечники подглазурными красками-ангобами. #22.12</t>
        </is>
      </c>
    </row>
    <row r="597" ht="30" customHeight="1">
      <c r="A597" s="23" t="n">
        <v>5452</v>
      </c>
      <c r="B597" s="24" t="inlineStr">
        <is>
          <t>2019-12-23</t>
        </is>
      </c>
      <c r="C597" s="25">
        <f>HYPERLINK("https://vk.com/wall-1825701_5452", "Открыть пост")</f>
        <v/>
      </c>
      <c r="D597" s="26" t="inlineStr">
        <is>
          <t>Спортивные и активные мероприятия</t>
        </is>
      </c>
      <c r="E597" s="26" t="inlineStr">
        <is>
          <t>Спортивные и активные мероприятия; Творческие мастер-классы и художественные студии</t>
        </is>
      </c>
      <c r="F597" s="26" t="inlineStr">
        <is>
          <t>Подопечные фонда «Дети Марии» (общая группа детей и подростков)</t>
        </is>
      </c>
      <c r="G597" s="26" t="inlineStr">
        <is>
          <t>Студия фонда / выездная площадка</t>
        </is>
      </c>
      <c r="H597" s="26" t="inlineStr">
        <is>
          <t>Организационные, ивент- и ярмарочные навыки</t>
        </is>
      </c>
      <c r="I597" s="27" t="inlineStr">
        <is>
          <t>По формату занятия</t>
        </is>
      </c>
      <c r="J597" s="26" t="inlineStr">
        <is>
          <t>Марафон новогодних благотворительных ярмарок продолжается. На прошлой неделе «Дети Марии» пригласили в качестве участников в компании DLA Piper, Ростелеком, Parexel International Rus, Атомредметзолото. За неделю мы собрали 151 480 рублей пожертвований, которые направим на развити...</t>
        </is>
      </c>
    </row>
    <row r="598" ht="30" customHeight="1">
      <c r="A598" s="28" t="n">
        <v>5451</v>
      </c>
      <c r="B598" s="29" t="inlineStr">
        <is>
          <t>2019-12-23</t>
        </is>
      </c>
      <c r="C598" s="30">
        <f>HYPERLINK("https://vk.com/wall-1825701_5451", "Открыть пост")</f>
        <v/>
      </c>
      <c r="D598" s="31" t="inlineStr">
        <is>
          <t>Творческие мастер-классы и художественные студии</t>
        </is>
      </c>
      <c r="E598" s="31" t="inlineStr">
        <is>
          <t>Творческие мастер-классы и художественные студии</t>
        </is>
      </c>
      <c r="F598" s="31" t="inlineStr">
        <is>
          <t>Подопечные фонда «Дети Марии» (общая группа детей и подростков)</t>
        </is>
      </c>
      <c r="G598" s="31" t="inlineStr">
        <is>
          <t>Студия фонда / выездная площадка</t>
        </is>
      </c>
      <c r="H598" s="31" t="inlineStr">
        <is>
          <t>Художественно-прикладные и ремесленные навыки</t>
        </is>
      </c>
      <c r="I598" s="32" t="inlineStr">
        <is>
          <t>По формату занятия</t>
        </is>
      </c>
      <c r="J598" s="31" t="inlineStr">
        <is>
          <t>Участники академической живописи для взрослых под руководством Нюси Митиной продолжают ботаническо-экологический проект. Вы тоже можете присоединиться. Опыт рисования не обязателен 😉 🗓 По средам ⏰ 19.00–21.00 📍 Москва, Дмитровский пер., д. 2/10 (вход со двора) Приходите рисовать!...</t>
        </is>
      </c>
    </row>
    <row r="599" ht="30" customHeight="1">
      <c r="A599" s="23" t="n">
        <v>5449</v>
      </c>
      <c r="B599" s="24" t="inlineStr">
        <is>
          <t>2019-12-22</t>
        </is>
      </c>
      <c r="C599" s="25">
        <f>HYPERLINK("https://vk.com/wall-1825701_5449", "Открыть пост")</f>
        <v/>
      </c>
      <c r="D599" s="26" t="inlineStr">
        <is>
          <t>Спектакли, концерты и музыкально-театральные занятия</t>
        </is>
      </c>
      <c r="E599" s="26" t="inlineStr">
        <is>
          <t>Спектакли, концерты и музыкально-театральные занятия; Творческие мастер-классы и художественные студии</t>
        </is>
      </c>
      <c r="F599" s="26" t="inlineStr">
        <is>
          <t>Подопечные фонда «Дети Марии» (общая группа детей и подростков)</t>
        </is>
      </c>
      <c r="G599" s="26" t="inlineStr">
        <is>
          <t>ТВЕРСКАЯ 15</t>
        </is>
      </c>
      <c r="H599" s="26" t="inlineStr">
        <is>
          <t>Коммуникативные навыки, эмпатия и тьюторское сопровождение; Артистические, музыкальные и спортивно-игровые навыки</t>
        </is>
      </c>
      <c r="I599" s="27" t="inlineStr">
        <is>
          <t>По формату занятия</t>
        </is>
      </c>
      <c r="J599" s="26" t="inlineStr">
        <is>
          <t>Фееричный Новый год для наших «подгузников» устроили на Тверской 15 Инклюзивное пространство «ТВЕРСКАЯ 15». Подарки получены, мастер-классы пройдены, спектакль волшебный, счастье переполняет и малышей, и мам. Спасибо, друзья!!! 🎅🏻👸🏻🎄🌈</t>
        </is>
      </c>
    </row>
    <row r="600" ht="30" customHeight="1">
      <c r="A600" s="28" t="n">
        <v>5447</v>
      </c>
      <c r="B600" s="29" t="inlineStr">
        <is>
          <t>2019-12-22</t>
        </is>
      </c>
      <c r="C600" s="30">
        <f>HYPERLINK("https://vk.com/wall-1825701_5447", "Открыть пост")</f>
        <v/>
      </c>
      <c r="D600" s="31" t="inlineStr">
        <is>
          <t>Творческие мастер-классы и художественные студии</t>
        </is>
      </c>
      <c r="E600" s="31" t="inlineStr">
        <is>
          <t>Творческие мастер-классы и художественные студии</t>
        </is>
      </c>
      <c r="F600" s="31" t="inlineStr">
        <is>
          <t>Подопечные фонда «Дети Марии» (общая группа детей и подростков)</t>
        </is>
      </c>
      <c r="G600" s="31" t="inlineStr">
        <is>
          <t>Студия фонда / выездная площадка</t>
        </is>
      </c>
      <c r="H600" s="31" t="inlineStr">
        <is>
          <t>Педагогические и наставнические навыки (кулинария, быт, учёба)</t>
        </is>
      </c>
      <c r="I600" s="32" t="inlineStr">
        <is>
          <t>По формату занятия</t>
        </is>
      </c>
      <c r="J600" s="31" t="inlineStr">
        <is>
          <t>В субботу в студии на Новинском учимся ткать. Наталия Лясс знакомит участников мастер-класса с историей возникновения искусства гобелена. Учимся основам: пробуем простые техники. #21.12</t>
        </is>
      </c>
    </row>
    <row r="601" ht="30" customHeight="1">
      <c r="A601" s="23" t="n">
        <v>5430</v>
      </c>
      <c r="B601" s="24" t="inlineStr">
        <is>
          <t>2019-12-18</t>
        </is>
      </c>
      <c r="C601" s="25">
        <f>HYPERLINK("https://vk.com/wall-1825701_5430", "Открыть пост")</f>
        <v/>
      </c>
      <c r="D601" s="26" t="inlineStr">
        <is>
          <t>Творческие мастер-классы и художественные студии</t>
        </is>
      </c>
      <c r="E601" s="26" t="inlineStr">
        <is>
          <t>Творческие мастер-классы и художественные студии</t>
        </is>
      </c>
      <c r="F601" s="26" t="inlineStr">
        <is>
          <t>Подопечные фонда «Дети Марии» (общая группа детей и подростков)</t>
        </is>
      </c>
      <c r="G601" s="26" t="inlineStr">
        <is>
          <t>Студия фонда / выездная площадка</t>
        </is>
      </c>
      <c r="H601" s="26" t="inlineStr">
        <is>
          <t>Художественно-прикладные и ремесленные навыки</t>
        </is>
      </c>
      <c r="I601" s="27" t="inlineStr">
        <is>
          <t>По формату занятия</t>
        </is>
      </c>
      <c r="J601" s="26" t="inlineStr">
        <is>
          <t>В студии на Новинском четыре раза в неделю проходят развивающие занятия для детей и подростков. Занятия бесплатные. Дети из Пресненского района осваивают гончарное искусство и керамику. Уже могут лепить снеговиков ☃•, домики 🏘 и ёлки 🌲 Расписание занятий: 🗓 Вторник 15:00 до 17:30...</t>
        </is>
      </c>
    </row>
    <row r="602" ht="30" customHeight="1">
      <c r="A602" s="28" t="n">
        <v>5428</v>
      </c>
      <c r="B602" s="29" t="inlineStr">
        <is>
          <t>2019-12-17</t>
        </is>
      </c>
      <c r="C602" s="30">
        <f>HYPERLINK("https://vk.com/wall-1825701_5428", "Открыть пост")</f>
        <v/>
      </c>
      <c r="D602" s="31" t="inlineStr">
        <is>
          <t>Творческие мастер-классы и художественные студии</t>
        </is>
      </c>
      <c r="E602" s="31" t="inlineStr">
        <is>
          <t>Творческие мастер-классы и художественные студии; Спектакли, концерты и музыкально-театральные занятия</t>
        </is>
      </c>
      <c r="F602" s="31" t="inlineStr">
        <is>
          <t>Подростки и взрослые с ментальными особенностями и ОВЗ (ПНИ / Социальные дома)</t>
        </is>
      </c>
      <c r="G602" s="31" t="inlineStr">
        <is>
          <t>Студия фонда / выездная площадка</t>
        </is>
      </c>
      <c r="H602" s="31" t="inlineStr">
        <is>
          <t>Художественно-прикладные и ремесленные навыки; 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t>
        </is>
      </c>
      <c r="I602" s="32" t="inlineStr">
        <is>
          <t>Да (в тексте)</t>
        </is>
      </c>
      <c r="J602" s="31" t="inlineStr">
        <is>
          <t>Утро понедельника — время творчества взрослых людей с особенностями из ПНИ 16. Наш замечательный волонтёр Ирина Свистова сделала для ребят мастер-класс по живописи с натуры. Рисовали акрилом по ткани прекрасную розу. В другой комнате шла серьезная подготовка к новогоднему концерт...</t>
        </is>
      </c>
    </row>
    <row r="603" ht="30" customHeight="1">
      <c r="A603" s="23" t="n">
        <v>5427</v>
      </c>
      <c r="B603" s="24" t="inlineStr">
        <is>
          <t>2019-12-17</t>
        </is>
      </c>
      <c r="C603" s="25">
        <f>HYPERLINK("https://vk.com/wall-1825701_5427", "Открыть пост")</f>
        <v/>
      </c>
      <c r="D603" s="26" t="inlineStr">
        <is>
          <t>Творческие мастер-классы и художественные студии</t>
        </is>
      </c>
      <c r="E603" s="26" t="inlineStr">
        <is>
          <t>Творческие мастер-классы и художественные студии</t>
        </is>
      </c>
      <c r="F603" s="26" t="inlineStr">
        <is>
          <t>Подростки и взрослые с ментальными особенностями и ОВЗ (ПНИ / Социальные дома)</t>
        </is>
      </c>
      <c r="G603" s="26" t="inlineStr">
        <is>
          <t>ПНИ №11</t>
        </is>
      </c>
      <c r="H603" s="26" t="inlineStr">
        <is>
          <t>Художественно-прикладные и ремесленные навыки; Артистические, музыкальные и спортивно-игровые навыки</t>
        </is>
      </c>
      <c r="I603" s="27" t="inlineStr">
        <is>
          <t>По формату занятия</t>
        </is>
      </c>
      <c r="J603" s="26" t="inlineStr">
        <is>
          <t>Ребята из ПНИ №11 приезжают на Дмитровку по понедельникам. Выбирают себе занятия по настроению: керамику, рисование, валяние, вышивку, гобелен, музыку — выбор большой. Впервые за долгое время с нами рисовала пастелью на чёрной бумаге Наташа. Маша закончила зимний пейзаж. С Натали...</t>
        </is>
      </c>
    </row>
    <row r="604" ht="30" customHeight="1">
      <c r="A604" s="28" t="n">
        <v>5426</v>
      </c>
      <c r="B604" s="29" t="inlineStr">
        <is>
          <t>2019-12-16</t>
        </is>
      </c>
      <c r="C604" s="30">
        <f>HYPERLINK("https://vk.com/wall-1825701_5426", "Открыть пост")</f>
        <v/>
      </c>
      <c r="D604" s="31" t="inlineStr">
        <is>
          <t>Творческие мастер-классы и художественные студии</t>
        </is>
      </c>
      <c r="E604" s="31" t="inlineStr">
        <is>
          <t>Творческие мастер-классы и художественные студии</t>
        </is>
      </c>
      <c r="F604" s="31" t="inlineStr">
        <is>
          <t>Подопечные фонда «Дети Марии» (общая группа детей и подростков)</t>
        </is>
      </c>
      <c r="G604" s="31" t="inlineStr">
        <is>
          <t>Студия фонда / выездная площадка</t>
        </is>
      </c>
      <c r="H604" s="31" t="inlineStr">
        <is>
          <t>Художественно-прикладные и ремесленные навыки; Педагогические и наставнические навыки (кулинария, быт, учёба)</t>
        </is>
      </c>
      <c r="I604" s="32" t="inlineStr">
        <is>
          <t>По формату занятия</t>
        </is>
      </c>
      <c r="J604" s="31" t="inlineStr">
        <is>
          <t>Воскресный день в студии на Дмитровке посвящен керамике. Профессиональный художник и керамист Анна Андреева не только учит лепить и работать с разными инструментами, но ещё истории интересные рассказывает. В этот раз речь зашла о Степане Полубесе — изразцовых дел мастере, который...</t>
        </is>
      </c>
    </row>
    <row r="605" ht="30" customHeight="1">
      <c r="A605" s="23" t="n">
        <v>5420</v>
      </c>
      <c r="B605" s="24" t="inlineStr">
        <is>
          <t>2019-12-16</t>
        </is>
      </c>
      <c r="C605" s="25">
        <f>HYPERLINK("https://vk.com/wall-1825701_5420", "Открыть пост")</f>
        <v/>
      </c>
      <c r="D605" s="26" t="inlineStr">
        <is>
          <t>Ярмарки, фестивали и благотворительные базары</t>
        </is>
      </c>
      <c r="E605" s="26" t="inlineStr">
        <is>
          <t>Ярмарки, фестивали и благотворительные базары</t>
        </is>
      </c>
      <c r="F605" s="26" t="inlineStr">
        <is>
          <t>Подопечные фонда «Дети Марии» (общая группа детей и подростков)</t>
        </is>
      </c>
      <c r="G605" s="26" t="inlineStr">
        <is>
          <t>Студия фонда / выездная площадка</t>
        </is>
      </c>
      <c r="H605" s="26" t="inlineStr">
        <is>
          <t>Коммуникативные навыки, эмпатия и тьюторское сопровождение; Организационные, ивент- и ярмарочные навыки</t>
        </is>
      </c>
      <c r="I605" s="27" t="inlineStr">
        <is>
          <t>По формату занятия</t>
        </is>
      </c>
      <c r="J605" s="26" t="inlineStr">
        <is>
          <t>Доброй традицией во многих московских компаниях стали предновогодние ярмарки с участием благотворительных организаций. Благодарим компании ПепсиКо, Медиаскоп и Мегафон за приглашение. На прошлой неделе «Дети Марии» участвовали в ярмарках каждый день. За неделю мы собрали 101100 р...</t>
        </is>
      </c>
    </row>
    <row r="606" ht="30" customHeight="1">
      <c r="A606" s="28" t="n">
        <v>5419</v>
      </c>
      <c r="B606" s="29" t="inlineStr">
        <is>
          <t>2019-12-16</t>
        </is>
      </c>
      <c r="C606" s="30">
        <f>HYPERLINK("https://vk.com/wall-1825701_5419", "Открыть пост")</f>
        <v/>
      </c>
      <c r="D606" s="31" t="inlineStr">
        <is>
          <t>Спектакли, концерты и музыкально-театральные занятия</t>
        </is>
      </c>
      <c r="E606" s="31" t="inlineStr">
        <is>
          <t>Спектакли, концерты и музыкально-театральные занятия</t>
        </is>
      </c>
      <c r="F606" s="31" t="inlineStr">
        <is>
          <t>Подростки и взрослые с ментальными особенностями и ОВЗ (ПНИ / Социальные дома)</t>
        </is>
      </c>
      <c r="G606" s="31" t="inlineStr">
        <is>
          <t>Студия фонда / выездная площадка</t>
        </is>
      </c>
      <c r="H606" s="31" t="inlineStr">
        <is>
          <t>Артистические, музыкальные и спортивно-игровые навыки; Педагогические и наставнические навыки (кулинария, быт, учёба)</t>
        </is>
      </c>
      <c r="I606" s="32" t="inlineStr">
        <is>
          <t>По формату занятия</t>
        </is>
      </c>
      <c r="J606" s="31" t="inlineStr">
        <is>
          <t>Половина декабря позади. Вы ждёте Новый год, готовитесь его встречать? ✨ Ребята из ПНИ 16 уже начали: репетируют с Любовью Ивановной песни на новогодний концерт, валяют с Марией Ивановной елочные игрушки. Юра всех порадовал целеустремленностью и терпением, за занятие слепил керам...</t>
        </is>
      </c>
    </row>
    <row r="607" ht="30" customHeight="1">
      <c r="A607" s="23" t="n">
        <v>5418</v>
      </c>
      <c r="B607" s="24" t="inlineStr">
        <is>
          <t>2019-12-15</t>
        </is>
      </c>
      <c r="C607" s="25">
        <f>HYPERLINK("https://vk.com/wall-1825701_5418", "Открыть пост")</f>
        <v/>
      </c>
      <c r="D607" s="26" t="inlineStr">
        <is>
          <t>Творческие мастер-классы и художественные студии</t>
        </is>
      </c>
      <c r="E607" s="26" t="inlineStr">
        <is>
          <t>Творческие мастер-классы и художественные студии</t>
        </is>
      </c>
      <c r="F607" s="26" t="inlineStr">
        <is>
          <t>Подопечные фонда «Дети Марии» (общая группа детей и подростков)</t>
        </is>
      </c>
      <c r="G607" s="26" t="inlineStr">
        <is>
          <t>Студия фонда / выездная площадка</t>
        </is>
      </c>
      <c r="H607" s="26" t="inlineStr">
        <is>
          <t>Художественно-прикладные и ремесленные навыки</t>
        </is>
      </c>
      <c r="I607" s="27" t="inlineStr">
        <is>
          <t>По формату занятия</t>
        </is>
      </c>
      <c r="J607" s="26" t="inlineStr">
        <is>
          <t>Так приятно получить выговор... за то, что целую неделю не приходили рисовать 🤪 А нас ждали в отделении психоневрологии 9 детской больницы на Шмитовском. И ребята и сотрудники. #13.12</t>
        </is>
      </c>
    </row>
    <row r="608" ht="30" customHeight="1">
      <c r="A608" s="28" t="n">
        <v>5417</v>
      </c>
      <c r="B608" s="29" t="inlineStr">
        <is>
          <t>2019-12-15</t>
        </is>
      </c>
      <c r="C608" s="30">
        <f>HYPERLINK("https://vk.com/wall-1825701_5417", "Открыть пост")</f>
        <v/>
      </c>
      <c r="D608" s="31" t="inlineStr">
        <is>
          <t>Творческие мастер-классы и художественные студии</t>
        </is>
      </c>
      <c r="E608" s="31" t="inlineStr">
        <is>
          <t>Творческие мастер-классы и художественные студии; Спектакли, концерты и музыкально-театральные занятия</t>
        </is>
      </c>
      <c r="F608" s="31" t="inlineStr">
        <is>
          <t>Подростки и взрослые с ментальными особенностями и ОВЗ (ПНИ / Социальные дома)</t>
        </is>
      </c>
      <c r="G608" s="31" t="inlineStr">
        <is>
          <t>Студия фонда / выездная площадка</t>
        </is>
      </c>
      <c r="H608"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t>
        </is>
      </c>
      <c r="I608" s="32" t="inlineStr">
        <is>
          <t>Да (в тексте)</t>
        </is>
      </c>
      <c r="J608" s="31" t="inlineStr">
        <is>
          <t>В ПНИ 16 праздник и радостное настроение, несмотря на дату — пятница 13! На занятия к ребятам приехали три педагога и новые волонтёры — Наташа Скокова и Василиса Петрова. Никто из ребят не остался без внимания. Продолжили рисовать рождественских ангелов — осваивали новую технику,...</t>
        </is>
      </c>
    </row>
    <row r="609" ht="30" customHeight="1">
      <c r="A609" s="23" t="n">
        <v>5416</v>
      </c>
      <c r="B609" s="24" t="inlineStr">
        <is>
          <t>2019-12-15</t>
        </is>
      </c>
      <c r="C609" s="25">
        <f>HYPERLINK("https://vk.com/wall-1825701_5416", "Открыть пост")</f>
        <v/>
      </c>
      <c r="D609" s="26" t="inlineStr">
        <is>
          <t>Ярмарки, фестивали и благотворительные базары</t>
        </is>
      </c>
      <c r="E609" s="26" t="inlineStr">
        <is>
          <t>Ярмарки, фестивали и благотворительные базары; Творческие мастер-классы и художественные студии</t>
        </is>
      </c>
      <c r="F609" s="26" t="inlineStr">
        <is>
          <t>Подопечные фонда «Дети Марии» (общая группа детей и подростков)</t>
        </is>
      </c>
      <c r="G609" s="26" t="inlineStr">
        <is>
          <t>Студия фонда / выездная площадка</t>
        </is>
      </c>
      <c r="H609" s="26" t="inlineStr">
        <is>
          <t>Художественно-прикладные и ремесленные навыки</t>
        </is>
      </c>
      <c r="I609" s="27" t="inlineStr">
        <is>
          <t>По формату занятия</t>
        </is>
      </c>
      <c r="J609" s="26" t="inlineStr">
        <is>
          <t>Ясин Омар и Анна Андреева приняли участие в фестивале «Сердца доброй воли» в Технограде на ВДНХ. Провели мастер класс по технике эбру — волшебному способу творчества. Дети были в восторге от процесса рисования на воде и переноса картины на бумагу. А Аня с Ясином получили почетную...</t>
        </is>
      </c>
    </row>
    <row r="610" ht="30" customHeight="1">
      <c r="A610" s="28" t="n">
        <v>5413</v>
      </c>
      <c r="B610" s="29" t="inlineStr">
        <is>
          <t>2019-12-14</t>
        </is>
      </c>
      <c r="C610" s="30">
        <f>HYPERLINK("https://vk.com/wall-1825701_5413", "Открыть пост")</f>
        <v/>
      </c>
      <c r="D610" s="31" t="inlineStr">
        <is>
          <t>Творческие мастер-классы и художественные студии</t>
        </is>
      </c>
      <c r="E610" s="31" t="inlineStr">
        <is>
          <t>Творческие мастер-классы и художественные студии</t>
        </is>
      </c>
      <c r="F610" s="31" t="inlineStr">
        <is>
          <t>Подопечные фонда «Дети Марии» (общая группа детей и подростков)</t>
        </is>
      </c>
      <c r="G610" s="31" t="inlineStr">
        <is>
          <t>Студия фонда / выездная площадка</t>
        </is>
      </c>
      <c r="H610" s="31" t="inlineStr">
        <is>
          <t>Художественно-прикладные и ремесленные навыки</t>
        </is>
      </c>
      <c r="I610" s="32" t="inlineStr">
        <is>
          <t>По формату занятия</t>
        </is>
      </c>
      <c r="J610" s="31" t="inlineStr">
        <is>
          <t>Пятница — шумный день на Новинском. С 13:00 до 17:30 время творческих занятий у детей: гончарное искусство, керамика, студия рисования. Нюся Митина рассказывает о занятии: «Пришло время для рисования новогоднего. Время проводим весело. В фирменном стиле оформляем окна в волшебных...</t>
        </is>
      </c>
    </row>
    <row r="611" ht="30" customHeight="1">
      <c r="A611" s="23" t="n">
        <v>5408</v>
      </c>
      <c r="B611" s="24" t="inlineStr">
        <is>
          <t>2019-12-12</t>
        </is>
      </c>
      <c r="C611" s="25">
        <f>HYPERLINK("https://vk.com/wall-1825701_5408", "Открыть пост")</f>
        <v/>
      </c>
      <c r="D611" s="26" t="inlineStr">
        <is>
          <t>Творческие мастер-классы и художественные студии</t>
        </is>
      </c>
      <c r="E611" s="26" t="inlineStr">
        <is>
          <t>Творческие мастер-классы и художественные студии</t>
        </is>
      </c>
      <c r="F611" s="26" t="inlineStr">
        <is>
          <t>Подопечные фонда «Дети Марии» (общая группа детей и подростков)</t>
        </is>
      </c>
      <c r="G611" s="26" t="inlineStr">
        <is>
          <t>Студия фонда / выездная площадка</t>
        </is>
      </c>
      <c r="H611" s="26" t="inlineStr">
        <is>
          <t>Художественно-прикладные и ремесленные навыки; Педагогические и наставнические навыки (кулинария, быт, учёба); Мобильность, выездное сопровождение и автоволонтёрство</t>
        </is>
      </c>
      <c r="I611" s="27" t="inlineStr">
        <is>
          <t>По формату занятия</t>
        </is>
      </c>
      <c r="J611" s="26" t="inlineStr">
        <is>
          <t>На занятиях валянием для взрослых в среду вечером готовились к новому году и делали мышей. Особенно удались уши и хвосты 🐭 Преподаватель Валентина принесла чудо техники, сильно ускоряющее процесс — виброшлифовальную машинку, так что немного пожужжали. #11.12</t>
        </is>
      </c>
    </row>
    <row r="612" ht="30" customHeight="1">
      <c r="A612" s="28" t="n">
        <v>5406</v>
      </c>
      <c r="B612" s="29" t="inlineStr">
        <is>
          <t>2019-12-11</t>
        </is>
      </c>
      <c r="C612" s="30">
        <f>HYPERLINK("https://vk.com/wall-1825701_5406", "Открыть пост")</f>
        <v/>
      </c>
      <c r="D612" s="31" t="inlineStr">
        <is>
          <t>Творческие мастер-классы и художественные студии</t>
        </is>
      </c>
      <c r="E612" s="31" t="inlineStr">
        <is>
          <t>Творческие мастер-классы и художественные студии</t>
        </is>
      </c>
      <c r="F612" s="31" t="inlineStr">
        <is>
          <t>Подопечные фонда «Дети Марии» (общая группа детей и подростков)</t>
        </is>
      </c>
      <c r="G612" s="31" t="inlineStr">
        <is>
          <t>Студия фонда / выездная площадка</t>
        </is>
      </c>
      <c r="H612" s="31" t="inlineStr">
        <is>
          <t>Художественно-прикладные и ремесленные навыки</t>
        </is>
      </c>
      <c r="I612" s="32" t="inlineStr">
        <is>
          <t>По формату занятия</t>
        </is>
      </c>
      <c r="J612" s="31" t="inlineStr">
        <is>
          <t>В студию на Новинский три раза в неделю приходят на творческие занятия местные маленькие жители. Те, кто у нас не впервые, приводят с собой школьных друзей, так что творческая команда пополняется 😉 Дети учатся керамике и рисуют. Сегодня, например, рисовали на японские мотивы. А е...</t>
        </is>
      </c>
    </row>
    <row r="613" ht="30" customHeight="1">
      <c r="A613" s="23" t="n">
        <v>5405</v>
      </c>
      <c r="B613" s="24" t="inlineStr">
        <is>
          <t>2019-12-10</t>
        </is>
      </c>
      <c r="C613" s="25">
        <f>HYPERLINK("https://vk.com/wall-1825701_5405", "Открыть пост")</f>
        <v/>
      </c>
      <c r="D613" s="26" t="inlineStr">
        <is>
          <t>Творческие мастер-классы и художественные студии</t>
        </is>
      </c>
      <c r="E613" s="26" t="inlineStr">
        <is>
          <t>Творческие мастер-классы и художественные студии</t>
        </is>
      </c>
      <c r="F613" s="26" t="inlineStr">
        <is>
          <t>Подопечные фонда «Дети Марии» (общая группа детей и подростков)</t>
        </is>
      </c>
      <c r="G613" s="26" t="inlineStr">
        <is>
          <t>Студия фонда / выездная площадка</t>
        </is>
      </c>
      <c r="H613" s="26" t="inlineStr">
        <is>
          <t>Художественно-прикладные и ремесленные навыки; Организационные, ивент- и ярмарочные навыки</t>
        </is>
      </c>
      <c r="I613" s="27" t="inlineStr">
        <is>
          <t>По формату занятия</t>
        </is>
      </c>
      <c r="J613" s="26" t="inlineStr">
        <is>
          <t>Christmas time is in the air 🎄🎅🏻✨ И в студию задуло ветром с сияющей гирляндами Дмитровки ожидание зимних праздников. На керамике с Николаем Михайловичем делали новогодние сувениры. Наш новый участник — Лена — успела за занятие сделать первую в своей жизни вазу 👏🏻 #09.12</t>
        </is>
      </c>
    </row>
    <row r="614" ht="30" customHeight="1">
      <c r="A614" s="28" t="n">
        <v>5380</v>
      </c>
      <c r="B614" s="29" t="inlineStr">
        <is>
          <t>2019-12-08</t>
        </is>
      </c>
      <c r="C614" s="30">
        <f>HYPERLINK("https://vk.com/wall-1825701_5380", "Открыть пост")</f>
        <v/>
      </c>
      <c r="D614" s="31" t="inlineStr">
        <is>
          <t>Творческие мастер-классы и художественные студии</t>
        </is>
      </c>
      <c r="E614" s="31" t="inlineStr">
        <is>
          <t>Творческие мастер-классы и художественные студии</t>
        </is>
      </c>
      <c r="F614" s="31" t="inlineStr">
        <is>
          <t>Подопечные фонда «Дети Марии» (общая группа детей и подростков)</t>
        </is>
      </c>
      <c r="G614" s="31" t="inlineStr">
        <is>
          <t>Студия фонда / выездная площадка</t>
        </is>
      </c>
      <c r="H614" s="31" t="inlineStr">
        <is>
          <t>Коммуникативные навыки, эмпатия и тьюторское сопровождение</t>
        </is>
      </c>
      <c r="I614" s="32" t="inlineStr">
        <is>
          <t>По формату занятия</t>
        </is>
      </c>
      <c r="J614" s="31" t="inlineStr">
        <is>
          <t>Мастер-классы по стеклу в технике Тиффани — захватывающие и завлекающие. Оторваться невозможно. Приходите, сами попробуйте!) Кирилл Андреевич после юридической консультации присоединился к Ане Дроздовой, Ире и Вике, первый раз попробовал работать со стеклом. Ждём ещё! #05.12</t>
        </is>
      </c>
    </row>
    <row r="615" ht="30" customHeight="1">
      <c r="A615" s="23" t="n">
        <v>5375</v>
      </c>
      <c r="B615" s="24" t="inlineStr">
        <is>
          <t>2019-12-07</t>
        </is>
      </c>
      <c r="C615" s="25">
        <f>HYPERLINK("https://vk.com/wall-1825701_5375", "Открыть пост")</f>
        <v/>
      </c>
      <c r="D615" s="26" t="inlineStr">
        <is>
          <t>Творческие мастер-классы и художественные студии</t>
        </is>
      </c>
      <c r="E615" s="26" t="inlineStr">
        <is>
          <t>Творческие мастер-классы и художественные студии; Спектакли, концерты и музыкально-театральные занятия</t>
        </is>
      </c>
      <c r="F615" s="26" t="inlineStr">
        <is>
          <t>Подростки и взрослые с ментальными особенностями и ОВЗ (ПНИ / Социальные дома)</t>
        </is>
      </c>
      <c r="G615" s="26" t="inlineStr">
        <is>
          <t>Студия фонда / выездная площадка</t>
        </is>
      </c>
      <c r="H615" s="26" t="inlineStr">
        <is>
          <t>Художественно-прикладные и ремесленные навыки; Артистические, музыкальные и спортивно-игровые навыки</t>
        </is>
      </c>
      <c r="I615" s="27" t="inlineStr">
        <is>
          <t>По формату занятия</t>
        </is>
      </c>
      <c r="J615" s="26" t="inlineStr">
        <is>
          <t>Наши педагоги приезжают к ребятам в ПНИ 16 каждую пятницу. Рисовать и петь. Ребята занятия очень ждут. Любовь Ивановна разучивает с желающими на синтезаторе простые мелодии, а Аня Андреева вдохновляет на художественное творчество. Катя и Андрей познакомились с работами австрийско...</t>
        </is>
      </c>
    </row>
    <row r="616" ht="30" customHeight="1">
      <c r="A616" s="28" t="n">
        <v>5370</v>
      </c>
      <c r="B616" s="29" t="inlineStr">
        <is>
          <t>2019-12-07</t>
        </is>
      </c>
      <c r="C616" s="30">
        <f>HYPERLINK("https://vk.com/wall-1825701_5370", "Открыть пост")</f>
        <v/>
      </c>
      <c r="D616" s="31" t="inlineStr">
        <is>
          <t>Творческие мастер-классы и художественные студии</t>
        </is>
      </c>
      <c r="E616" s="31" t="inlineStr">
        <is>
          <t>Творческие мастер-классы и художественные студии</t>
        </is>
      </c>
      <c r="F616" s="31" t="inlineStr">
        <is>
          <t>Подростки и взрослые с ментальными особенностями и ОВЗ (ПНИ / Социальные дома)</t>
        </is>
      </c>
      <c r="G616" s="31" t="inlineStr">
        <is>
          <t>Студия фонда / выездная площадка</t>
        </is>
      </c>
      <c r="H616" s="31" t="inlineStr">
        <is>
          <t>Художественно-прикладные и ремесленные навыки; Артистические, музыкальные и спортивно-игровые навыки; Мобильность, выездное сопровождение и автоволонтёрство</t>
        </is>
      </c>
      <c r="I616" s="32" t="inlineStr">
        <is>
          <t>По формату занятия</t>
        </is>
      </c>
      <c r="J616" s="31" t="inlineStr">
        <is>
          <t>Ребята из 16-го интерната занимались в четверг на Дмитровке. Пели с Любовью Ивановной и лепили символ 2020 года — симпатичных крысок 🐭 Вера, которая сопровождает ребят из ПНИ и занимается с ними, поделилась: «Порисовали сегодня от души, каждый изобразил что-то праздничное и новог...</t>
        </is>
      </c>
    </row>
    <row r="617" ht="30" customHeight="1">
      <c r="A617" s="23" t="n">
        <v>5369</v>
      </c>
      <c r="B617" s="24" t="inlineStr">
        <is>
          <t>2019-12-07</t>
        </is>
      </c>
      <c r="C617" s="25">
        <f>HYPERLINK("https://vk.com/wall-1825701_5369", "Открыть пост")</f>
        <v/>
      </c>
      <c r="D617" s="26" t="inlineStr">
        <is>
          <t>Творческие мастер-классы и художественные студии</t>
        </is>
      </c>
      <c r="E617" s="26" t="inlineStr">
        <is>
          <t>Творческие мастер-классы и художественные студии; Ярмарки, фестивали и благотворительные базары</t>
        </is>
      </c>
      <c r="F617" s="26" t="inlineStr">
        <is>
          <t>Подопечные фонда «Дети Марии» (общая группа детей и подростков)</t>
        </is>
      </c>
      <c r="G617" s="26" t="inlineStr">
        <is>
          <t>Студия фонда / выездная площадка</t>
        </is>
      </c>
      <c r="H617" s="26" t="inlineStr">
        <is>
          <t>Художественно-прикладные и ремесленные навыки; Организационные, ивент- и ярмарочные навыки</t>
        </is>
      </c>
      <c r="I617" s="27" t="inlineStr">
        <is>
          <t>Да (в тексте)</t>
        </is>
      </c>
      <c r="J617" s="26" t="inlineStr">
        <is>
          <t>По средам с 18:30 до 20:30 в студии на Новинском занятия валянием. Валяние — самая древняя техника изготовления текстиля на Земле. Археологи датируют возникновение первых валяных изделий 8000-летним возрастом! Так называемым «мокрым валянием» занимались наши прапрадеды по всей Ро...</t>
        </is>
      </c>
    </row>
    <row r="618" ht="30" customHeight="1">
      <c r="A618" s="28" t="n">
        <v>5365</v>
      </c>
      <c r="B618" s="29" t="inlineStr">
        <is>
          <t>2019-12-06</t>
        </is>
      </c>
      <c r="C618" s="30">
        <f>HYPERLINK("https://vk.com/wall-1825701_5365", "Открыть пост")</f>
        <v/>
      </c>
      <c r="D618" s="31" t="inlineStr">
        <is>
          <t>Выездные лагеря, дача и сезонные программы</t>
        </is>
      </c>
      <c r="E618" s="31" t="inlineStr">
        <is>
          <t>Выездные лагеря, дача и сезонные программы; Творческие мастер-классы и художественные студии</t>
        </is>
      </c>
      <c r="F618" s="31" t="inlineStr">
        <is>
          <t>Подростки и взрослые с ментальными особенностями и ОВЗ (ПНИ / Социальные дома); Воспитанники ЦССВ, ДДИ и детских домов-интернатов</t>
        </is>
      </c>
      <c r="G618" s="31" t="inlineStr">
        <is>
          <t>Студия фонда / выездная площадка</t>
        </is>
      </c>
      <c r="H618" s="31" t="inlineStr">
        <is>
          <t>Художественно-прикладные и ремесленные навыки</t>
        </is>
      </c>
      <c r="I618" s="32" t="inlineStr">
        <is>
          <t>По формату занятия</t>
        </is>
      </c>
      <c r="J618" s="31" t="inlineStr">
        <is>
          <t>Дети из Филимонковского детского дома были в среду в загородных мастерских. К их приезду керамические снеговики и домики прошли обжиг и ждали своих творцов на роспись. В этот раз у некоторых появилось вдохновение порисовать. Юля, например, нарисовала эскизы на тему «кот» 🐱 #04.12</t>
        </is>
      </c>
    </row>
    <row r="619" ht="30" customHeight="1">
      <c r="A619" s="23" t="n">
        <v>5364</v>
      </c>
      <c r="B619" s="24" t="inlineStr">
        <is>
          <t>2019-12-06</t>
        </is>
      </c>
      <c r="C619" s="25">
        <f>HYPERLINK("https://vk.com/wall-1825701_5364", "Открыть пост")</f>
        <v/>
      </c>
      <c r="D619" s="26" t="inlineStr">
        <is>
          <t>Ярмарки, фестивали и благотворительные базары</t>
        </is>
      </c>
      <c r="E619" s="26" t="inlineStr">
        <is>
          <t>Ярмарки, фестивали и благотворительные базары</t>
        </is>
      </c>
      <c r="F619" s="26" t="inlineStr">
        <is>
          <t>Воспитанники ЦССВ, ДДИ и детских домов-интернатов</t>
        </is>
      </c>
      <c r="G619" s="26" t="inlineStr">
        <is>
          <t>Студия фонда / выездная площадка</t>
        </is>
      </c>
      <c r="H619" s="26" t="inlineStr">
        <is>
          <t>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t>
        </is>
      </c>
      <c r="I619" s="27" t="inlineStr">
        <is>
          <t>По формату занятия</t>
        </is>
      </c>
      <c r="J619" s="26" t="inlineStr">
        <is>
          <t>Шары, расписанные Серёжей Комовым, украсили сегодня ёлку в Посольстве Республики Корея. А игрушки от Надежды Цалоевой-Гуриевой порадуют детей сотрудников гостеприимного посольства на Плющихе. Благодарим наших друзей за приглашение провести новогодню ярмарку, внимание и душевное т...</t>
        </is>
      </c>
    </row>
    <row r="620" ht="30" customHeight="1">
      <c r="A620" s="28" t="n">
        <v>5362</v>
      </c>
      <c r="B620" s="29" t="inlineStr">
        <is>
          <t>2019-12-06</t>
        </is>
      </c>
      <c r="C620" s="30">
        <f>HYPERLINK("https://vk.com/wall-1825701_5362", "Открыть пост")</f>
        <v/>
      </c>
      <c r="D620" s="31" t="inlineStr">
        <is>
          <t>Ярмарки, фестивали и благотворительные базары</t>
        </is>
      </c>
      <c r="E620" s="31" t="inlineStr">
        <is>
          <t>Ярмарки, фестивали и благотворительные базары; Выездные лагеря, дача и сезонные программы; Выставки, экскурсии и культурные выходы; Спектакли, концерты и музыкально-театральные занятия; Спортивные и активные мероприятия</t>
        </is>
      </c>
      <c r="F620" s="31" t="inlineStr">
        <is>
          <t>Подростки и взрослые с ментальными особенностями и ОВЗ (ПНИ / Социальные дома); Воспитанники ЦССВ, ДДИ и детских домов-интернатов; Выпускники интернатов и детских домов (молодые взрослые)</t>
        </is>
      </c>
      <c r="G620" s="31" t="inlineStr">
        <is>
          <t>Тверская 15</t>
        </is>
      </c>
      <c r="H620" s="31" t="inlineStr">
        <is>
          <t>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 Мобильность, выездное сопровождение и автоволонтёрство; Медиа, фото/видеосъёмка и культурная медиация</t>
        </is>
      </c>
      <c r="I620" s="32" t="inlineStr">
        <is>
          <t>Да (в тексте)</t>
        </is>
      </c>
      <c r="J620" s="31" t="inlineStr">
        <is>
          <t>14 ноября в великолепных залах исторической усадьбы Салтыковых-Чертковых на Мясницкой прошел Ежегодный благотворительный бал Художественного центра «Дети Марии» и Пространства творчества и развития «Тверская 15». В программе вечера были выступления детей с танцевальными номерами,...</t>
        </is>
      </c>
    </row>
    <row r="621" ht="30" customHeight="1">
      <c r="A621" s="23" t="n">
        <v>5360</v>
      </c>
      <c r="B621" s="24" t="inlineStr">
        <is>
          <t>2019-12-05</t>
        </is>
      </c>
      <c r="C621" s="25">
        <f>HYPERLINK("https://vk.com/wall-1825701_5360", "Открыть пост")</f>
        <v/>
      </c>
      <c r="D621" s="26" t="inlineStr">
        <is>
          <t>Кулинарные, образовательные и социально-бытовые занятия</t>
        </is>
      </c>
      <c r="E621" s="26" t="inlineStr">
        <is>
          <t>Кулинарные, образовательные и социально-бытовые занятия</t>
        </is>
      </c>
      <c r="F621" s="26" t="inlineStr">
        <is>
          <t>Подростки и взрослые с ментальными особенностями и ОВЗ (ПНИ / Социальные дома)</t>
        </is>
      </c>
      <c r="G621" s="26" t="inlineStr">
        <is>
          <t>ПНИ № 16</t>
        </is>
      </c>
      <c r="H621" s="26" t="inlineStr">
        <is>
          <t>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t>
        </is>
      </c>
      <c r="I621" s="27" t="inlineStr">
        <is>
          <t>Да (в тексте)</t>
        </is>
      </c>
      <c r="J621" s="26" t="inlineStr">
        <is>
          <t>Во вторник наши волонтёры по приглашению Наташи Щербенковой побывали в ПНИ № 16 на Кулинарном конкурсе. Команда воспитанников, которые занимаются в кулинарном кружке (а сама Наташа даже учится в колледже на кондитера), соревновались с командой сотрудников интерната. Задания в кон...</t>
        </is>
      </c>
    </row>
    <row r="622" ht="30" customHeight="1">
      <c r="A622" s="28" t="n">
        <v>5354</v>
      </c>
      <c r="B622" s="29" t="inlineStr">
        <is>
          <t>2019-12-04</t>
        </is>
      </c>
      <c r="C622" s="30">
        <f>HYPERLINK("https://vk.com/wall-1825701_5354", "Открыть пост")</f>
        <v/>
      </c>
      <c r="D622" s="31" t="inlineStr">
        <is>
          <t>Кулинарные, образовательные и социально-бытовые занятия</t>
        </is>
      </c>
      <c r="E622" s="31" t="inlineStr">
        <is>
          <t>Кулинарные, образовательные и социально-бытовые занятия; Творческие мастер-классы и художественные студии; Спортивные и активные мероприятия</t>
        </is>
      </c>
      <c r="F622" s="31" t="inlineStr">
        <is>
          <t>Подростки и взрослые с ментальными особенностями и ОВЗ (ПНИ / Социальные дома)</t>
        </is>
      </c>
      <c r="G622" s="31" t="inlineStr">
        <is>
          <t>Студия фонда / выездная площадка</t>
        </is>
      </c>
      <c r="H622" s="31" t="inlineStr">
        <is>
          <t>Педагогические и наставнические навыки (кулинария, быт, учёба)</t>
        </is>
      </c>
      <c r="I622" s="32" t="inlineStr">
        <is>
          <t>Да (в тексте)</t>
        </is>
      </c>
      <c r="J622" s="31" t="inlineStr">
        <is>
          <t>В студию на днях заходил гость из Германии — новый волонтёр Никос. Он решил порадовать ребят из ПНИ 16 всякими вкусностями. И не просто порадовал, а показал, как их готовить! Получился спонтанный кулинарный мастер-класс. Ребята учились чистить креветки, запекать моцареллу с помид...</t>
        </is>
      </c>
    </row>
    <row r="623" ht="30" customHeight="1">
      <c r="A623" s="23" t="n">
        <v>5345</v>
      </c>
      <c r="B623" s="24" t="inlineStr">
        <is>
          <t>2019-12-01</t>
        </is>
      </c>
      <c r="C623" s="25">
        <f>HYPERLINK("https://vk.com/wall-1825701_5345", "Открыть пост")</f>
        <v/>
      </c>
      <c r="D623" s="26" t="inlineStr">
        <is>
          <t>Творческие мастер-классы и художественные студии</t>
        </is>
      </c>
      <c r="E623" s="26" t="inlineStr">
        <is>
          <t>Творческие мастер-классы и художественные студии</t>
        </is>
      </c>
      <c r="F623" s="26" t="inlineStr">
        <is>
          <t>Подопечные фонда «Дети Марии» (общая группа детей и подростков)</t>
        </is>
      </c>
      <c r="G623" s="26" t="inlineStr">
        <is>
          <t>Студия фонда / выездная площадка</t>
        </is>
      </c>
      <c r="H623" s="26" t="inlineStr">
        <is>
          <t>Художественно-прикладные и ремесленные навыки</t>
        </is>
      </c>
      <c r="I623" s="27" t="inlineStr">
        <is>
          <t>По формату занятия</t>
        </is>
      </c>
      <c r="J623" s="26" t="inlineStr">
        <is>
          <t>После детей в студию на занятие керамикой с Анной Андреевой приходят взрослые. После долгого перерыва к нам пришла Оксана Пятницкая и привела новую участницу — Ирину Лощинину. Сегодня мы расписывали обожженные изделия.</t>
        </is>
      </c>
    </row>
    <row r="624" ht="30" customHeight="1">
      <c r="A624" s="28" t="n">
        <v>5343</v>
      </c>
      <c r="B624" s="29" t="inlineStr">
        <is>
          <t>2019-12-01</t>
        </is>
      </c>
      <c r="C624" s="30">
        <f>HYPERLINK("https://vk.com/wall-1825701_5343", "Открыть пост")</f>
        <v/>
      </c>
      <c r="D624" s="31" t="inlineStr">
        <is>
          <t>Творческие мастер-классы и художественные студии</t>
        </is>
      </c>
      <c r="E624" s="31" t="inlineStr">
        <is>
          <t>Творческие мастер-классы и художественные студии</t>
        </is>
      </c>
      <c r="F624" s="31" t="inlineStr">
        <is>
          <t>Подопечные фонда «Дети Марии» (общая группа детей и подростков)</t>
        </is>
      </c>
      <c r="G624" s="31" t="inlineStr">
        <is>
          <t>Студия фонда / выездная площадка</t>
        </is>
      </c>
      <c r="H624" s="31" t="inlineStr">
        <is>
          <t>Художественно-прикладные и ремесленные навыки</t>
        </is>
      </c>
      <c r="I624" s="32" t="inlineStr">
        <is>
          <t>По формату занятия</t>
        </is>
      </c>
      <c r="J624" s="31" t="inlineStr">
        <is>
          <t>По воскресеньям в студию на Дмитровке на занятия приходят семьи из АНО «Дети». Вместе лепят и расписывают керамику. У Вани есть повод гордиться — сам слепил и расписал чашку. Его сестра Маша расписала снегиря, а бабушка слепила тарелку ☺•</t>
        </is>
      </c>
    </row>
    <row r="625" ht="30" customHeight="1">
      <c r="A625" s="23" t="n">
        <v>5338</v>
      </c>
      <c r="B625" s="24" t="inlineStr">
        <is>
          <t>2019-11-30</t>
        </is>
      </c>
      <c r="C625" s="25">
        <f>HYPERLINK("https://vk.com/wall-1825701_5338", "Открыть пост")</f>
        <v/>
      </c>
      <c r="D625" s="26" t="inlineStr">
        <is>
          <t>Выставки, экскурсии и культурные выходы</t>
        </is>
      </c>
      <c r="E625" s="26" t="inlineStr">
        <is>
          <t>Выставки, экскурсии и культурные выходы</t>
        </is>
      </c>
      <c r="F625" s="26" t="inlineStr">
        <is>
          <t>Подопечные фонда «Дети Марии» (общая группа детей и подростков)</t>
        </is>
      </c>
      <c r="G625" s="26" t="inlineStr">
        <is>
          <t>Студия фонда / выездная площадка</t>
        </is>
      </c>
      <c r="H625" s="26" t="inlineStr">
        <is>
          <t>Артистические, музыкальные и спортивно-игровые навыки; Организационные, ивент- и ярмарочные навыки; Мобильность, выездное сопровождение и автоволонтёрство</t>
        </is>
      </c>
      <c r="I625" s="27" t="inlineStr">
        <is>
          <t>По формату занятия</t>
        </is>
      </c>
      <c r="J625" s="26" t="inlineStr">
        <is>
          <t>Дети из 31 интерната побывали сегодня в музее «Живые системы». Все они учатся в школе: ученики 5-7 класса. На экскурсии узнали много нового и важного, нашли ответы на все олимпиадные задания, которые им загадали на входе. Всем понравилось, что экспонаты можно трогать, собирать, р...</t>
        </is>
      </c>
    </row>
    <row r="626" ht="30" customHeight="1">
      <c r="A626" s="28" t="n">
        <v>5315</v>
      </c>
      <c r="B626" s="29" t="inlineStr">
        <is>
          <t>2019-11-26</t>
        </is>
      </c>
      <c r="C626" s="30">
        <f>HYPERLINK("https://vk.com/wall-1825701_5315", "Открыть пост")</f>
        <v/>
      </c>
      <c r="D626" s="31" t="inlineStr">
        <is>
          <t>Выставки, экскурсии и культурные выходы</t>
        </is>
      </c>
      <c r="E626" s="31" t="inlineStr">
        <is>
          <t>Выставки, экскурсии и культурные выходы; Ярмарки, фестивали и благотворительные базары</t>
        </is>
      </c>
      <c r="F626" s="31" t="inlineStr">
        <is>
          <t>Подопечные фонда «Дети Марии» (общая группа детей и подростков)</t>
        </is>
      </c>
      <c r="G626" s="31" t="inlineStr">
        <is>
          <t>Студия фонда / выездная площадка</t>
        </is>
      </c>
      <c r="H626" s="31" t="inlineStr">
        <is>
          <t>Коммуникативные навыки, эмпатия и тьюторское сопровождение; Организационные, ивент- и ярмарочные навыки; Мобильность, выездное сопровождение и автоволонтёрство</t>
        </is>
      </c>
      <c r="I626" s="32" t="inlineStr">
        <is>
          <t>По формату занятия</t>
        </is>
      </c>
      <c r="J626" s="31" t="inlineStr">
        <is>
          <t>В @meetforcharity аукцион встречи со Cтеллой Кесаевой — коллекционером, меценатом, президентом Stella Art Foundation. Предложена встреча со Стеллой в двух форматах на выбор победителя: ••Личная встреча в Абу-Даби и индивидуальная экскурсия по залам главного музея современных ОАЭ ...</t>
        </is>
      </c>
    </row>
    <row r="627" ht="30" customHeight="1">
      <c r="A627" s="23" t="n">
        <v>5311</v>
      </c>
      <c r="B627" s="24" t="inlineStr">
        <is>
          <t>2019-11-25</t>
        </is>
      </c>
      <c r="C627" s="25">
        <f>HYPERLINK("https://vk.com/wall-1825701_5311", "Открыть пост")</f>
        <v/>
      </c>
      <c r="D627" s="26" t="inlineStr">
        <is>
          <t>Выставки, экскурсии и культурные выходы</t>
        </is>
      </c>
      <c r="E627" s="26" t="inlineStr">
        <is>
          <t>Выставки, экскурсии и культурные выходы</t>
        </is>
      </c>
      <c r="F627" s="26" t="inlineStr">
        <is>
          <t>Подростки и взрослые с ментальными особенностями и ОВЗ (ПНИ / Социальные дома)</t>
        </is>
      </c>
      <c r="G627" s="26" t="inlineStr">
        <is>
          <t>ПНИ №16</t>
        </is>
      </c>
      <c r="H627" s="26" t="inlineStr">
        <is>
          <t>Организационные, ивент- и ярмарочные навыки; Мобильность, выездное сопровождение и автоволонтёрство</t>
        </is>
      </c>
      <c r="I627" s="27" t="inlineStr">
        <is>
          <t>Да (в тексте)</t>
        </is>
      </c>
      <c r="J627" s="26" t="inlineStr">
        <is>
          <t>Сегодня ребята из ПНИ №16 в сопровождении наших педагогов и волонтёров были в музее «Живые системы» — совершили увлекательное путешествие по организму человека. Вы знали, что длина тонкого кишечника человека — 7-8 метров? А сколько весит мозг человека, знаете? А ребята теперь зна...</t>
        </is>
      </c>
    </row>
    <row r="628" ht="30" customHeight="1">
      <c r="A628" s="28" t="n">
        <v>5310</v>
      </c>
      <c r="B628" s="29" t="inlineStr">
        <is>
          <t>2019-11-24</t>
        </is>
      </c>
      <c r="C628" s="30">
        <f>HYPERLINK("https://vk.com/wall-1825701_5310", "Открыть пост")</f>
        <v/>
      </c>
      <c r="D628" s="31" t="inlineStr">
        <is>
          <t>Творческие мастер-классы и художественные студии</t>
        </is>
      </c>
      <c r="E628" s="31" t="inlineStr">
        <is>
          <t>Творческие мастер-классы и художественные студии</t>
        </is>
      </c>
      <c r="F628" s="31" t="inlineStr">
        <is>
          <t>Подопечные фонда «Дети Марии» (общая группа детей и подростков)</t>
        </is>
      </c>
      <c r="G628" s="31" t="inlineStr">
        <is>
          <t>Студия фонда / выездная площадка</t>
        </is>
      </c>
      <c r="H628" s="31" t="inlineStr">
        <is>
          <t>Художественно-прикладные и ремесленные навыки</t>
        </is>
      </c>
      <c r="I628" s="32" t="inlineStr">
        <is>
          <t>По формату занятия</t>
        </is>
      </c>
      <c r="J628" s="31" t="inlineStr">
        <is>
          <t>Воскресные занятия керамикой с Анной Андреевой. Лепим, расписываем обожженные изделия. Одна из участниц — Лена — сегодня впервые после школы взяла карандаш и рисует маки 🌺 #24.11</t>
        </is>
      </c>
    </row>
    <row r="629" ht="30" customHeight="1">
      <c r="A629" s="23" t="n">
        <v>5307</v>
      </c>
      <c r="B629" s="24" t="inlineStr">
        <is>
          <t>2019-11-24</t>
        </is>
      </c>
      <c r="C629" s="25">
        <f>HYPERLINK("https://vk.com/wall-1825701_5307", "Открыть пост")</f>
        <v/>
      </c>
      <c r="D629" s="26" t="inlineStr">
        <is>
          <t>Кулинарные, образовательные и социально-бытовые занятия</t>
        </is>
      </c>
      <c r="E629" s="26" t="inlineStr">
        <is>
          <t>Кулинарные, образовательные и социально-бытовые занятия; Творческие мастер-классы и художественные студии</t>
        </is>
      </c>
      <c r="F629" s="26" t="inlineStr">
        <is>
          <t>Подростки и взрослые с ментальными особенностями и ОВЗ (ПНИ / Социальные дома); Выпускники интернатов и детских домов (молодые взрослые)</t>
        </is>
      </c>
      <c r="G629" s="26" t="inlineStr">
        <is>
          <t>Студия фонда / выездная площадка</t>
        </is>
      </c>
      <c r="H629" s="26" t="inlineStr">
        <is>
          <t>Художественно-прикладные и ремесленные навыки; Артистические, музыкальные и спортивно-игровые навыки; Педагогические и наставнические навыки (кулинария, быт, учёба)</t>
        </is>
      </c>
      <c r="I629" s="27" t="inlineStr">
        <is>
          <t>Да (в тексте)</t>
        </is>
      </c>
      <c r="J629" s="26" t="inlineStr">
        <is>
          <t>«Как быстро летит время...» — эту фразу говорили ребята, которые 20 лет назад впервые пришли на занятия в студию «Дети Марии» и вчера собрались в студии на Дмитровке. В гости пришли ребята из ПНИ 16, 11, 32 и те, кто сейчас живет самостоятельно. Повод собраться был праздничный — ...</t>
        </is>
      </c>
    </row>
    <row r="630" ht="30" customHeight="1">
      <c r="A630" s="28" t="n">
        <v>5306</v>
      </c>
      <c r="B630" s="29" t="inlineStr">
        <is>
          <t>2019-11-23</t>
        </is>
      </c>
      <c r="C630" s="30">
        <f>HYPERLINK("https://vk.com/wall-1825701_5306", "Открыть пост")</f>
        <v/>
      </c>
      <c r="D630" s="31" t="inlineStr">
        <is>
          <t>Ярмарки, фестивали и благотворительные базары</t>
        </is>
      </c>
      <c r="E630" s="31" t="inlineStr">
        <is>
          <t>Ярмарки, фестивали и благотворительные базары</t>
        </is>
      </c>
      <c r="F630" s="31" t="inlineStr">
        <is>
          <t>Подопечные фонда «Дети Марии» (общая группа детей и подростков)</t>
        </is>
      </c>
      <c r="G630" s="31" t="inlineStr">
        <is>
          <t>Студия фонда / выездная площадка</t>
        </is>
      </c>
      <c r="H630" s="31" t="inlineStr">
        <is>
          <t>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 Медиа, фото/видеосъёмка и культурная медиация</t>
        </is>
      </c>
      <c r="I630" s="32" t="inlineStr">
        <is>
          <t>По формату занятия</t>
        </is>
      </c>
      <c r="J630" s="31" t="inlineStr">
        <is>
          <t>Наши друзья из благотворительной организации «Ночлежка» устраивают фестиваль. НочлежкаFest 2019 — первый благотворительный музыкальный фестиваль в пользу бездомных людей в Москве. Он пройдёт 25 ноября. На НочлежкаFest 2019 выступят Найк Борзов, FACE, IC3PEAK, Муся Тотибадзе, а та...</t>
        </is>
      </c>
    </row>
    <row r="631" ht="30" customHeight="1">
      <c r="A631" s="23" t="n">
        <v>5303</v>
      </c>
      <c r="B631" s="24" t="inlineStr">
        <is>
          <t>2019-11-22</t>
        </is>
      </c>
      <c r="C631" s="25">
        <f>HYPERLINK("https://vk.com/wall-1825701_5303", "Открыть пост")</f>
        <v/>
      </c>
      <c r="D631" s="26" t="inlineStr">
        <is>
          <t>Творческие мастер-классы и художественные студии</t>
        </is>
      </c>
      <c r="E631" s="26" t="inlineStr">
        <is>
          <t>Творческие мастер-классы и художественные студии</t>
        </is>
      </c>
      <c r="F631" s="26" t="inlineStr">
        <is>
          <t>Подростки и взрослые с ментальными особенностями и ОВЗ (ПНИ / Социальные дома)</t>
        </is>
      </c>
      <c r="G631" s="26" t="inlineStr">
        <is>
          <t>Студия фонда / выездная площадка</t>
        </is>
      </c>
      <c r="H631" s="26" t="inlineStr">
        <is>
          <t>Художественно-прикладные и ремесленные навыки</t>
        </is>
      </c>
      <c r="I631" s="27" t="inlineStr">
        <is>
          <t>По формату занятия</t>
        </is>
      </c>
      <c r="J631" s="26" t="inlineStr">
        <is>
          <t>Сегодня в студии занятие с ребятами из ПНИ 16. Рисуем с Нюсей, ткем гобелены и вышиваем с Натальей Лясс, лепим с Николаем Михайловичем. Маша Салова доделала серию портретов друзей 😊 #22.11</t>
        </is>
      </c>
    </row>
    <row r="632" ht="30" customHeight="1">
      <c r="A632" s="28" t="n">
        <v>5302</v>
      </c>
      <c r="B632" s="29" t="inlineStr">
        <is>
          <t>2019-11-22</t>
        </is>
      </c>
      <c r="C632" s="30">
        <f>HYPERLINK("https://vk.com/wall-1825701_5302", "Открыть пост")</f>
        <v/>
      </c>
      <c r="D632" s="31" t="inlineStr">
        <is>
          <t>Выездные лагеря, дача и сезонные программы</t>
        </is>
      </c>
      <c r="E632" s="31" t="inlineStr">
        <is>
          <t>Выездные лагеря, дача и сезонные программы; Творческие мастер-классы и художественные студии</t>
        </is>
      </c>
      <c r="F632" s="31" t="inlineStr">
        <is>
          <t>Подростки и взрослые с ментальными особенностями и ОВЗ (ПНИ / Социальные дома); Воспитанники ЦССВ, ДДИ и детских домов-интернатов</t>
        </is>
      </c>
      <c r="G632" s="31" t="inlineStr">
        <is>
          <t>Студия фонда / выездная площадка</t>
        </is>
      </c>
      <c r="H632" s="31" t="inlineStr">
        <is>
          <t>Художественно-прикладные и ремесленные навыки; Организационные, ивент- и ярмарочные навыки</t>
        </is>
      </c>
      <c r="I632" s="32" t="inlineStr">
        <is>
          <t>По формату занятия</t>
        </is>
      </c>
      <c r="J632" s="31" t="inlineStr">
        <is>
          <t>Irina Rokotnina с ребятами из Филимонковского детского дома начали новогоднюю тему на занятиях керамикой. Так что скоро покажем вам снеговиков и сказочные пряничные домики ☃•✨ Занятия в загородных мастерских проходят каждую неделю, по средам. Есть время до зимних праздников 😉 #20...</t>
        </is>
      </c>
    </row>
    <row r="633" ht="30" customHeight="1">
      <c r="A633" s="23" t="n">
        <v>5299</v>
      </c>
      <c r="B633" s="24" t="inlineStr">
        <is>
          <t>2019-11-22</t>
        </is>
      </c>
      <c r="C633" s="25">
        <f>HYPERLINK("https://vk.com/wall-1825701_5299", "Открыть пост")</f>
        <v/>
      </c>
      <c r="D633" s="26" t="inlineStr">
        <is>
          <t>Творческие мастер-классы и художественные студии</t>
        </is>
      </c>
      <c r="E633" s="26" t="inlineStr">
        <is>
          <t>Творческие мастер-классы и художественные студии</t>
        </is>
      </c>
      <c r="F633" s="26" t="inlineStr">
        <is>
          <t>Подростки и взрослые с ментальными особенностями и ОВЗ (ПНИ / Социальные дома)</t>
        </is>
      </c>
      <c r="G633" s="26" t="inlineStr">
        <is>
          <t>Студия фонда / выездная площадка</t>
        </is>
      </c>
      <c r="H633" s="26" t="inlineStr">
        <is>
          <t>Художественно-прикладные и ремесленные навыки</t>
        </is>
      </c>
      <c r="I633" s="27" t="inlineStr">
        <is>
          <t>Да (в тексте)</t>
        </is>
      </c>
      <c r="J633" s="26" t="inlineStr">
        <is>
          <t>На занятиях в 16 ПНИ всё по плану: наш волонтер Аля с Олей делали мультик. Вадик рисовал метель и пургу. Наташа и Андрей трудились над блокнотами с Ясином. А ещё не по плану — спасали от ножниц Насти картины Андрея... не спасли((( Прости, художник, так случилось( Пожалуйста, нари...</t>
        </is>
      </c>
    </row>
    <row r="634" ht="30" customHeight="1">
      <c r="A634" s="28" t="n">
        <v>5295</v>
      </c>
      <c r="B634" s="29" t="inlineStr">
        <is>
          <t>2019-11-21</t>
        </is>
      </c>
      <c r="C634" s="30">
        <f>HYPERLINK("https://vk.com/wall-1825701_5295", "Открыть пост")</f>
        <v/>
      </c>
      <c r="D634" s="31" t="inlineStr">
        <is>
          <t>Творческие мастер-классы и художественные студии</t>
        </is>
      </c>
      <c r="E634" s="31" t="inlineStr">
        <is>
          <t>Творческие мастер-классы и художественные студии; Ярмарки, фестивали и благотворительные базары</t>
        </is>
      </c>
      <c r="F634" s="31" t="inlineStr">
        <is>
          <t>Подопечные фонда «Дети Марии» (общая группа детей и подростков)</t>
        </is>
      </c>
      <c r="G634" s="31" t="inlineStr">
        <is>
          <t>Студия фонда / выездная площадка</t>
        </is>
      </c>
      <c r="H634" s="31" t="inlineStr">
        <is>
          <t>Художественно-прикладные и ремесленные навыки; Педагогические и наставнические навыки (кулинария, быт, учёба); Организационные, ивент- и ярмарочные навыки</t>
        </is>
      </c>
      <c r="I634" s="32" t="inlineStr">
        <is>
          <t>Да (в тексте)</t>
        </is>
      </c>
      <c r="J634" s="31" t="inlineStr">
        <is>
          <t>Валентина Миронова, ведущая занятий по валянию для взрослых: «Главное в валяние: первое — идея, а второе — раскладка!» Первого у нас полно! Второму Валечка нас терпеливо учит. Вот и робкие результаты — ещё сырые валенки и ёлка. К новогодним ярмаркам высохнут! Приглашаем волонтёро...</t>
        </is>
      </c>
    </row>
    <row r="635" ht="30" customHeight="1">
      <c r="A635" s="23" t="n">
        <v>5286</v>
      </c>
      <c r="B635" s="24" t="inlineStr">
        <is>
          <t>2019-11-20</t>
        </is>
      </c>
      <c r="C635" s="25">
        <f>HYPERLINK("https://vk.com/wall-1825701_5286", "Открыть пост")</f>
        <v/>
      </c>
      <c r="D635" s="26" t="inlineStr">
        <is>
          <t>Творческие мастер-классы и художественные студии</t>
        </is>
      </c>
      <c r="E635" s="26" t="inlineStr">
        <is>
          <t>Творческие мастер-классы и художественные студии</t>
        </is>
      </c>
      <c r="F635" s="26" t="inlineStr">
        <is>
          <t>Широкая аудитория, гости и благотворители (открытые события)</t>
        </is>
      </c>
      <c r="G635" s="26" t="inlineStr">
        <is>
          <t>Студия фонда / выездная площадка</t>
        </is>
      </c>
      <c r="H635" s="26" t="inlineStr">
        <is>
          <t>Коммуникативные навыки, эмпатия и тьюторское сопровождение</t>
        </is>
      </c>
      <c r="I635" s="27" t="inlineStr">
        <is>
          <t>По формату занятия</t>
        </is>
      </c>
      <c r="J635" s="26" t="inlineStr">
        <is>
          <t>Тут две девушки забежали в студию на огонёк) И в первый раз попробовали работать со стеклом: точили, оборачивали детали коперфойлом. Юлия Асеева, Ника, у вас круто получается! Ждём вас снова! И спасибо всем участникам мастер-класса по витражной техники «Тиффани». #20.11</t>
        </is>
      </c>
    </row>
    <row r="636" ht="30" customHeight="1">
      <c r="A636" s="28" t="n">
        <v>5285</v>
      </c>
      <c r="B636" s="29" t="inlineStr">
        <is>
          <t>2019-11-20</t>
        </is>
      </c>
      <c r="C636" s="30">
        <f>HYPERLINK("https://vk.com/wall-1825701_5285", "Открыть пост")</f>
        <v/>
      </c>
      <c r="D636" s="31" t="inlineStr">
        <is>
          <t>Творческие мастер-классы и художественные студии</t>
        </is>
      </c>
      <c r="E636" s="31" t="inlineStr">
        <is>
          <t>Творческие мастер-классы и художественные студии</t>
        </is>
      </c>
      <c r="F636" s="31" t="inlineStr">
        <is>
          <t>Подопечные фонда «Дети Марии» (общая группа детей и подростков)</t>
        </is>
      </c>
      <c r="G636" s="31" t="inlineStr">
        <is>
          <t>Студия фонда / выездная площадка</t>
        </is>
      </c>
      <c r="H636" s="31" t="inlineStr">
        <is>
          <t>Художественно-прикладные и ремесленные навыки</t>
        </is>
      </c>
      <c r="I636" s="32" t="inlineStr">
        <is>
          <t>Да (в тексте)</t>
        </is>
      </c>
      <c r="J636" s="31" t="inlineStr">
        <is>
          <t>Валяем в студии на Новинском сегодня вечером! Приглашаем присоединиться 🙂 Мастер-класс проведет наш друг и волонтёр Валентина: 💬 «Будем совершенствовать раскладку шерсти. В валянии нужна идея, но также очень важна правильная раскладка. Научимся валять елочки и маленькие валеночки...</t>
        </is>
      </c>
    </row>
    <row r="637" ht="30" customHeight="1">
      <c r="A637" s="23" t="n">
        <v>5282</v>
      </c>
      <c r="B637" s="24" t="inlineStr">
        <is>
          <t>2019-11-20</t>
        </is>
      </c>
      <c r="C637" s="25">
        <f>HYPERLINK("https://vk.com/wall-1825701_5282", "Открыть пост")</f>
        <v/>
      </c>
      <c r="D637" s="26" t="inlineStr">
        <is>
          <t>Творческие мастер-классы и художественные студии</t>
        </is>
      </c>
      <c r="E637" s="26" t="inlineStr">
        <is>
          <t>Творческие мастер-классы и художественные студии; Спектакли, концерты и музыкально-театральные занятия</t>
        </is>
      </c>
      <c r="F637" s="26" t="inlineStr">
        <is>
          <t>Подростки и взрослые с ментальными особенностями и ОВЗ (ПНИ / Социальные дома)</t>
        </is>
      </c>
      <c r="G637" s="26" t="inlineStr">
        <is>
          <t>Студия фонда / выездная площадка</t>
        </is>
      </c>
      <c r="H637" s="26" t="inlineStr">
        <is>
          <t>Художественно-прикладные и ремесленные навыки; Артистические, музыкальные и спортивно-игровые навыки; Организационные, ивент- и ярмарочные навыки</t>
        </is>
      </c>
      <c r="I637" s="27" t="inlineStr">
        <is>
          <t>По формату занятия</t>
        </is>
      </c>
      <c r="J637" s="26" t="inlineStr">
        <is>
          <t>С чего начинается творческий процесс? У ребят из ПНИ 16 он начался с уборки!) Наташа и Вадим решили создать уют и чистоту вокруг, подмели и вымыли пол. И перешли к любимым занятиям — рисовали и пели песни. На занятиях новенький. Зовут Гена. Он — нумизмат, собирает собственную кол...</t>
        </is>
      </c>
    </row>
    <row r="638" ht="30" customHeight="1">
      <c r="A638" s="28" t="n">
        <v>5275</v>
      </c>
      <c r="B638" s="29" t="inlineStr">
        <is>
          <t>2019-11-18</t>
        </is>
      </c>
      <c r="C638" s="30">
        <f>HYPERLINK("https://vk.com/wall-1825701_5275", "Открыть пост")</f>
        <v/>
      </c>
      <c r="D638" s="31" t="inlineStr">
        <is>
          <t>Творческие мастер-классы и художественные студии</t>
        </is>
      </c>
      <c r="E638" s="31" t="inlineStr">
        <is>
          <t>Творческие мастер-классы и художественные студии</t>
        </is>
      </c>
      <c r="F638" s="31" t="inlineStr">
        <is>
          <t>Широкая аудитория, гости и благотворители (открытые события)</t>
        </is>
      </c>
      <c r="G638" s="31" t="inlineStr">
        <is>
          <t>Тверская 15</t>
        </is>
      </c>
      <c r="H638" s="31" t="inlineStr">
        <is>
          <t>Артистические, музыкальные и спортивно-игровые навыки</t>
        </is>
      </c>
      <c r="I638" s="32" t="inlineStr">
        <is>
          <t>Да (в тексте)</t>
        </is>
      </c>
      <c r="J638" s="31" t="inlineStr">
        <is>
          <t>Дорогие друзья, приглашаем вас на презентацию книги нашего давнего друга и волонтёра Александра Шишова! 🗓 26 ноября, вторник 🕰 19:00 📍Пространство творчества и развития «Тверская 15» Программа вечера насыщенная: Александр Шишов расскажет о новой книге, прочтет фрагмент и покажет ...</t>
        </is>
      </c>
    </row>
    <row r="639" ht="30" customHeight="1">
      <c r="A639" s="23" t="n">
        <v>5274</v>
      </c>
      <c r="B639" s="24" t="inlineStr">
        <is>
          <t>2019-11-18</t>
        </is>
      </c>
      <c r="C639" s="25">
        <f>HYPERLINK("https://vk.com/wall-1825701_5274", "Открыть пост")</f>
        <v/>
      </c>
      <c r="D639" s="26" t="inlineStr">
        <is>
          <t>Творческие мастер-классы и художественные студии</t>
        </is>
      </c>
      <c r="E639" s="26" t="inlineStr">
        <is>
          <t>Творческие мастер-классы и художественные студии</t>
        </is>
      </c>
      <c r="F639" s="26" t="inlineStr">
        <is>
          <t>Подопечные фонда «Дети Марии» (общая группа детей и подростков)</t>
        </is>
      </c>
      <c r="G639" s="26" t="inlineStr">
        <is>
          <t>Студия фонда / выездная площадка</t>
        </is>
      </c>
      <c r="H639" s="26" t="inlineStr">
        <is>
          <t>Коммуникативные навыки, эмпатия и тьюторское сопровождение</t>
        </is>
      </c>
      <c r="I639" s="27" t="inlineStr">
        <is>
          <t>По формату занятия</t>
        </is>
      </c>
      <c r="J639" s="26" t="inlineStr">
        <is>
          <t>Мастер-класс по приготовлению лимонного пирога с помощью пары друзей и одной собаки 🐕 от Руслана Колядина) #18.11</t>
        </is>
      </c>
    </row>
    <row r="640" ht="30" customHeight="1">
      <c r="A640" s="28" t="n">
        <v>5265</v>
      </c>
      <c r="B640" s="29" t="inlineStr">
        <is>
          <t>2019-11-15</t>
        </is>
      </c>
      <c r="C640" s="30">
        <f>HYPERLINK("https://vk.com/wall-1825701_5265", "Открыть пост")</f>
        <v/>
      </c>
      <c r="D640" s="31" t="inlineStr">
        <is>
          <t>Творческие мастер-классы и художественные студии</t>
        </is>
      </c>
      <c r="E640" s="31" t="inlineStr">
        <is>
          <t>Творческие мастер-классы и художественные студии</t>
        </is>
      </c>
      <c r="F640" s="31" t="inlineStr">
        <is>
          <t>Подопечные фонда «Дети Марии» (общая группа детей и подростков)</t>
        </is>
      </c>
      <c r="G640" s="31" t="inlineStr">
        <is>
          <t>Студия фонда / выездная площадка</t>
        </is>
      </c>
      <c r="H640" s="31" t="inlineStr">
        <is>
          <t>Художественно-прикладные и ремесленные навыки</t>
        </is>
      </c>
      <c r="I640" s="32" t="inlineStr">
        <is>
          <t>По формату занятия</t>
        </is>
      </c>
      <c r="J640" s="31" t="inlineStr">
        <is>
          <t>Интереснейшей рисовальной географией занимались сегодня дети из школы Св. Георгия с Нюсей. И лепили с нашим керамистом Исломом. #15.11.</t>
        </is>
      </c>
    </row>
    <row r="641" ht="30" customHeight="1">
      <c r="A641" s="23" t="n">
        <v>5264</v>
      </c>
      <c r="B641" s="24" t="inlineStr">
        <is>
          <t>2019-11-15</t>
        </is>
      </c>
      <c r="C641" s="25">
        <f>HYPERLINK("https://vk.com/wall-1825701_5264", "Открыть пост")</f>
        <v/>
      </c>
      <c r="D641" s="26" t="inlineStr">
        <is>
          <t>Творческие мастер-классы и художественные студии</t>
        </is>
      </c>
      <c r="E641" s="26" t="inlineStr">
        <is>
          <t>Творческие мастер-классы и художественные студии</t>
        </is>
      </c>
      <c r="F641" s="26" t="inlineStr">
        <is>
          <t>Подопечные фонда «Дети Марии» (общая группа детей и подростков)</t>
        </is>
      </c>
      <c r="G641" s="26" t="inlineStr">
        <is>
          <t>Студия фонда / выездная площадка</t>
        </is>
      </c>
      <c r="H641" s="26" t="inlineStr">
        <is>
          <t>Коммуникативные навыки, эмпатия и тьюторское сопровождение</t>
        </is>
      </c>
      <c r="I641" s="27" t="inlineStr">
        <is>
          <t>По формату занятия</t>
        </is>
      </c>
      <c r="J641" s="26" t="inlineStr">
        <is>
          <t>Эскизы к двум сторонам нового витражного фонаря нарисовали сходу. Над другими двумя думали долго. Но должно получиться интересно. Мастер-класс по стеклу в технике «Тиффани».</t>
        </is>
      </c>
    </row>
    <row r="642" ht="30" customHeight="1">
      <c r="A642" s="28" t="n">
        <v>5263</v>
      </c>
      <c r="B642" s="29" t="inlineStr">
        <is>
          <t>2019-11-15</t>
        </is>
      </c>
      <c r="C642" s="30">
        <f>HYPERLINK("https://vk.com/wall-1825701_5263", "Открыть пост")</f>
        <v/>
      </c>
      <c r="D642" s="31" t="inlineStr">
        <is>
          <t>Кулинарные, образовательные и социально-бытовые занятия</t>
        </is>
      </c>
      <c r="E642" s="31" t="inlineStr">
        <is>
          <t>Кулинарные, образовательные и социально-бытовые занятия; Творческие мастер-классы и художественные студии</t>
        </is>
      </c>
      <c r="F642" s="31" t="inlineStr">
        <is>
          <t>Подопечные фонда «Дети Марии» (общая группа детей и подростков)</t>
        </is>
      </c>
      <c r="G642" s="31" t="inlineStr">
        <is>
          <t>Студия фонда / выездная площадка</t>
        </is>
      </c>
      <c r="H642" s="31" t="inlineStr">
        <is>
          <t>Педагогические и наставнические навыки (кулинария, быт, учёба)</t>
        </is>
      </c>
      <c r="I642" s="32" t="inlineStr">
        <is>
          <t>По формату занятия</t>
        </is>
      </c>
      <c r="J642" s="31" t="inlineStr">
        <is>
          <t>Бывает, что на кухне в студии одни девушки, бывает — парни. Обязательно получается весело и вкусно) Кулинарный мастер-класс на Дмитровке всегда в среду. Приходите, научите нас готовить ваше любимое блюдо. Или мы вас научим 🤗</t>
        </is>
      </c>
    </row>
    <row r="643" ht="30" customHeight="1">
      <c r="A643" s="23" t="n">
        <v>5262</v>
      </c>
      <c r="B643" s="24" t="inlineStr">
        <is>
          <t>2019-11-14</t>
        </is>
      </c>
      <c r="C643" s="25">
        <f>HYPERLINK("https://vk.com/wall-1825701_5262", "Открыть пост")</f>
        <v/>
      </c>
      <c r="D643" s="26" t="inlineStr">
        <is>
          <t>Творческие мастер-классы и художественные студии</t>
        </is>
      </c>
      <c r="E643" s="26" t="inlineStr">
        <is>
          <t>Творческие мастер-классы и художественные студии</t>
        </is>
      </c>
      <c r="F643" s="26" t="inlineStr">
        <is>
          <t>Подопечные фонда «Дети Марии» (общая группа детей и подростков)</t>
        </is>
      </c>
      <c r="G643" s="26" t="inlineStr">
        <is>
          <t>Студия фонда / выездная площадка</t>
        </is>
      </c>
      <c r="H643" s="26" t="inlineStr">
        <is>
          <t>Художественно-прикладные и ремесленные навыки</t>
        </is>
      </c>
      <c r="I643" s="27" t="inlineStr">
        <is>
          <t>По формату занятия</t>
        </is>
      </c>
      <c r="J643" s="26" t="inlineStr">
        <is>
          <t>У нас прекрасные новые участники на рисовании для взрослых, потому что всем интересно. Так что приходите тоже! 😁 По средам, с 19:00 до 21:00 в студии на Дмитровке.</t>
        </is>
      </c>
    </row>
    <row r="644" ht="30" customHeight="1">
      <c r="A644" s="28" t="n">
        <v>5261</v>
      </c>
      <c r="B644" s="29" t="inlineStr">
        <is>
          <t>2019-11-14</t>
        </is>
      </c>
      <c r="C644" s="30">
        <f>HYPERLINK("https://vk.com/wall-1825701_5261", "Открыть пост")</f>
        <v/>
      </c>
      <c r="D644" s="31" t="inlineStr">
        <is>
          <t>Выставки, экскурсии и культурные выходы</t>
        </is>
      </c>
      <c r="E644" s="31" t="inlineStr">
        <is>
          <t>Выставки, экскурсии и культурные выходы; Спектакли, концерты и музыкально-театральные занятия</t>
        </is>
      </c>
      <c r="F644" s="31" t="inlineStr">
        <is>
          <t>Воспитанники ЦССВ, ДДИ и детских домов-интернатов</t>
        </is>
      </c>
      <c r="G644" s="31" t="inlineStr">
        <is>
          <t>Тверская 15</t>
        </is>
      </c>
      <c r="H644" s="31" t="inlineStr">
        <is>
          <t>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t>
        </is>
      </c>
      <c r="I644" s="32" t="inlineStr">
        <is>
          <t>Да (в тексте)</t>
        </is>
      </c>
      <c r="J644" s="31" t="inlineStr">
        <is>
          <t>Во вторник был радостный и волнительный день для нас! Прошёл большой праздник с ребятами из интернатов, волонтёрами и клоунами на нашей выставке «Море чудес». Мария Елисеева поздравила всех с первой выставкой «Дети Марии» в инклюзивном пространстве Тверская 15 @tverskaya15 и поде...</t>
        </is>
      </c>
    </row>
    <row r="645" ht="30" customHeight="1">
      <c r="A645" s="23" t="n">
        <v>5256</v>
      </c>
      <c r="B645" s="24" t="inlineStr">
        <is>
          <t>2019-11-13</t>
        </is>
      </c>
      <c r="C645" s="25">
        <f>HYPERLINK("https://vk.com/wall-1825701_5256", "Открыть пост")</f>
        <v/>
      </c>
      <c r="D645" s="26" t="inlineStr">
        <is>
          <t>Творческие мастер-классы и художественные студии</t>
        </is>
      </c>
      <c r="E645" s="26" t="inlineStr">
        <is>
          <t>Творческие мастер-классы и художественные студии</t>
        </is>
      </c>
      <c r="F645" s="26" t="inlineStr">
        <is>
          <t>Подопечные фонда «Дети Марии» (общая группа детей и подростков)</t>
        </is>
      </c>
      <c r="G645" s="26" t="inlineStr">
        <is>
          <t>Студия фонда / выездная площадка</t>
        </is>
      </c>
      <c r="H645" s="26" t="inlineStr">
        <is>
          <t>Коммуникативные навыки, эмпатия и тьюторское сопровождение</t>
        </is>
      </c>
      <c r="I645" s="27" t="inlineStr">
        <is>
          <t>По формату занятия</t>
        </is>
      </c>
      <c r="J645" s="26" t="inlineStr">
        <is>
          <t>«Секретное» занятие по арт-терапии в Институте педиатрии на Талдомской улице) Ребята готовят всем сюрприз, Анна Митина им помогает. В чем дело обещают рассказать позже)</t>
        </is>
      </c>
    </row>
    <row r="646" ht="30" customHeight="1">
      <c r="A646" s="28" t="n">
        <v>5254</v>
      </c>
      <c r="B646" s="29" t="inlineStr">
        <is>
          <t>2019-11-11</t>
        </is>
      </c>
      <c r="C646" s="30">
        <f>HYPERLINK("https://vk.com/wall-1825701_5254", "Открыть пост")</f>
        <v/>
      </c>
      <c r="D646" s="31" t="inlineStr">
        <is>
          <t>Выставки, экскурсии и культурные выходы</t>
        </is>
      </c>
      <c r="E646" s="31" t="inlineStr">
        <is>
          <t>Выставки, экскурсии и культурные выходы</t>
        </is>
      </c>
      <c r="F646" s="31" t="inlineStr">
        <is>
          <t>Выпускники интернатов и детских домов (молодые взрослые)</t>
        </is>
      </c>
      <c r="G646" s="31" t="inlineStr">
        <is>
          <t>Тверская15</t>
        </is>
      </c>
      <c r="H646" s="31" t="inlineStr">
        <is>
          <t>Коммуникативные навыки, эмпатия и тьюторское сопровождение</t>
        </is>
      </c>
      <c r="I646" s="32" t="inlineStr">
        <is>
          <t>По формату занятия</t>
        </is>
      </c>
      <c r="J646" s="31" t="inlineStr">
        <is>
          <t>В Пространстве творчества и развития «Тверская15» открыта наша выставка «Море чудес». 📍 ул.Тверская, дом 15, вход с Вознесенского переулка. 🕰 11:00-18:30. На выставке собраны результаты творчества детей и взрослых из интернатов, работы наших выпускников и детей из окрестных домов...</t>
        </is>
      </c>
    </row>
    <row r="647" ht="30" customHeight="1">
      <c r="A647" s="23" t="n">
        <v>5253</v>
      </c>
      <c r="B647" s="24" t="inlineStr">
        <is>
          <t>2019-11-10</t>
        </is>
      </c>
      <c r="C647" s="25">
        <f>HYPERLINK("https://vk.com/wall-1825701_5253", "Открыть пост")</f>
        <v/>
      </c>
      <c r="D647" s="26" t="inlineStr">
        <is>
          <t>Спектакли, концерты и музыкально-театральные занятия</t>
        </is>
      </c>
      <c r="E647" s="26" t="inlineStr">
        <is>
          <t>Спектакли, концерты и музыкально-театральные занятия; Творческие мастер-классы и художественные студии</t>
        </is>
      </c>
      <c r="F647" s="26" t="inlineStr">
        <is>
          <t>Подростки и взрослые с ментальными особенностями и ОВЗ (ПНИ / Социальные дома); Воспитанники ЦССВ, ДДИ и детских домов-интернатов</t>
        </is>
      </c>
      <c r="G647" s="26" t="inlineStr">
        <is>
          <t>Студия фонда / выездная площадка</t>
        </is>
      </c>
      <c r="H647" s="26" t="inlineStr">
        <is>
          <t>Коммуникативные навыки, эмпатия и тьюторское сопровождение; Артистические, музыкальные и спортивно-игровые навыки; Мобильность, выездное сопровождение и автоволонтёрство</t>
        </is>
      </c>
      <c r="I647" s="27" t="inlineStr">
        <is>
          <t>Да (в тексте)</t>
        </is>
      </c>
      <c r="J647" s="26" t="inlineStr">
        <is>
          <t>У нас в студии есть очень давняя традиция — клоунская неделя. Каждый год в ноябре в Москву на неделю приезжает международная команда клоунов в главе со знаменитым доктором- клоуном Пэтчем Адамсом. И всю эту неделю, каждый день клоуны ходят в детские и взрослые интернаты, больницы...</t>
        </is>
      </c>
    </row>
    <row r="648" ht="30" customHeight="1">
      <c r="A648" s="28" t="n">
        <v>5252</v>
      </c>
      <c r="B648" s="29" t="inlineStr">
        <is>
          <t>2019-11-10</t>
        </is>
      </c>
      <c r="C648" s="30">
        <f>HYPERLINK("https://vk.com/wall-1825701_5252", "Открыть пост")</f>
        <v/>
      </c>
      <c r="D648" s="31" t="inlineStr">
        <is>
          <t>Творческие мастер-классы и художественные студии</t>
        </is>
      </c>
      <c r="E648" s="31" t="inlineStr">
        <is>
          <t>Творческие мастер-классы и художественные студии</t>
        </is>
      </c>
      <c r="F648" s="31" t="inlineStr">
        <is>
          <t>Подопечные фонда «Дети Марии» (общая группа детей и подростков)</t>
        </is>
      </c>
      <c r="G648" s="31" t="inlineStr">
        <is>
          <t>Студия фонда / выездная площадка</t>
        </is>
      </c>
      <c r="H648" s="31" t="inlineStr">
        <is>
          <t>Художественно-прикладные и ремесленные навыки</t>
        </is>
      </c>
      <c r="I648" s="32" t="inlineStr">
        <is>
          <t>По формату занятия</t>
        </is>
      </c>
      <c r="J648" s="31" t="inlineStr">
        <is>
          <t>Воскресное занятие керамикой с Анной Андреевой. Расписываем изделия: листья и посуду в ботанических мотивах. А Ирина Черненькая угостила всех пончиками 🍩❤•</t>
        </is>
      </c>
    </row>
    <row r="649" ht="30" customHeight="1">
      <c r="A649" s="23" t="n">
        <v>5243</v>
      </c>
      <c r="B649" s="24" t="inlineStr">
        <is>
          <t>2019-11-07</t>
        </is>
      </c>
      <c r="C649" s="25">
        <f>HYPERLINK("https://vk.com/wall-1825701_5243", "Открыть пост")</f>
        <v/>
      </c>
      <c r="D649" s="26" t="inlineStr">
        <is>
          <t>Выездные лагеря, дача и сезонные программы</t>
        </is>
      </c>
      <c r="E649" s="26" t="inlineStr">
        <is>
          <t>Выездные лагеря, дача и сезонные программы; Творческие мастер-классы и художественные студии</t>
        </is>
      </c>
      <c r="F649" s="26" t="inlineStr">
        <is>
          <t>Подростки и взрослые с ментальными особенностями и ОВЗ (ПНИ / Социальные дома); Воспитанники ЦССВ, ДДИ и детских домов-интернатов</t>
        </is>
      </c>
      <c r="G649" s="26" t="inlineStr">
        <is>
          <t>Студия фонда / выездная площадка</t>
        </is>
      </c>
      <c r="H649" s="26" t="inlineStr">
        <is>
          <t>Художественно-прикладные и ремесленные навыки</t>
        </is>
      </c>
      <c r="I649" s="27" t="inlineStr">
        <is>
          <t>Да (в тексте)</t>
        </is>
      </c>
      <c r="J649" s="26" t="inlineStr">
        <is>
          <t>Дети из Филимонковского детского дома каждую неделю приезжают в загородные мастерские к Марии Елисеевой на дачу. В эту среду продолжили керамические занятия с Ириной Рокотниной: лепили, расписывали работы. К ребятам приезжал их друг, волонтёр Джастин. По душам поговорили и законч...</t>
        </is>
      </c>
    </row>
    <row r="650" ht="30" customHeight="1">
      <c r="A650" s="28" t="n">
        <v>5242</v>
      </c>
      <c r="B650" s="29" t="inlineStr">
        <is>
          <t>2019-11-07</t>
        </is>
      </c>
      <c r="C650" s="30">
        <f>HYPERLINK("https://vk.com/wall-1825701_5242", "Открыть пост")</f>
        <v/>
      </c>
      <c r="D650" s="31" t="inlineStr">
        <is>
          <t>Творческие мастер-классы и художественные студии</t>
        </is>
      </c>
      <c r="E650" s="31" t="inlineStr">
        <is>
          <t>Творческие мастер-классы и художественные студии</t>
        </is>
      </c>
      <c r="F650" s="31" t="inlineStr">
        <is>
          <t>Подопечные фонда «Дети Марии» (общая группа детей и подростков)</t>
        </is>
      </c>
      <c r="G650" s="31" t="inlineStr">
        <is>
          <t>Студия фонда / выездная площадка</t>
        </is>
      </c>
      <c r="H650" s="31" t="inlineStr">
        <is>
          <t>Художественно-прикладные и ремесленные навыки</t>
        </is>
      </c>
      <c r="I650" s="32" t="inlineStr">
        <is>
          <t>Да (в тексте)</t>
        </is>
      </c>
      <c r="J650" s="31" t="inlineStr">
        <is>
          <t>В среду в студии на Новинском, 25 прошло второе занятие для взрослых по валянию из шерсти. Участники показали доделанные дома после первого раза брошки-цветы. А вчера осваивали два вида раскладки шерсти и валяли префельт — кусочек полотна-заготовки для будущих больших изделий. В ...</t>
        </is>
      </c>
    </row>
    <row r="651" ht="30" customHeight="1">
      <c r="A651" s="23" t="n">
        <v>5234</v>
      </c>
      <c r="B651" s="24" t="inlineStr">
        <is>
          <t>2019-11-05</t>
        </is>
      </c>
      <c r="C651" s="25">
        <f>HYPERLINK("https://vk.com/wall-1825701_5234", "Открыть пост")</f>
        <v/>
      </c>
      <c r="D651" s="26" t="inlineStr">
        <is>
          <t>Выставки, экскурсии и культурные выходы</t>
        </is>
      </c>
      <c r="E651" s="26" t="inlineStr">
        <is>
          <t>Выставки, экскурсии и культурные выходы; Творческие мастер-классы и художественные студии</t>
        </is>
      </c>
      <c r="F651" s="26" t="inlineStr">
        <is>
          <t>Подростки и взрослые с ментальными особенностями и ОВЗ (ПНИ / Социальные дома)</t>
        </is>
      </c>
      <c r="G651" s="26" t="inlineStr">
        <is>
          <t>Студия фонда / выездная площадка</t>
        </is>
      </c>
      <c r="H651" s="26" t="inlineStr">
        <is>
          <t>Художественно-прикладные и ремесленные навыки; Артистические, музыкальные и спортивно-игровые навыки</t>
        </is>
      </c>
      <c r="I651" s="27" t="inlineStr">
        <is>
          <t>По формату занятия</t>
        </is>
      </c>
      <c r="J651" s="26" t="inlineStr">
        <is>
          <t>Миша Дужников из ПНИ 16 вчера освоил технику мокрой акварели. Для первого раза получилось очень неплохо! Благодаря постоянным музыкыльным упражнениям с Любовью Ивановной ребята чувствуют себя уверенными и планируют выступить на открытии выставки с музыкальным номером. Вчера репет...</t>
        </is>
      </c>
    </row>
    <row r="652" ht="30" customHeight="1">
      <c r="A652" s="28" t="n">
        <v>5233</v>
      </c>
      <c r="B652" s="29" t="inlineStr">
        <is>
          <t>2019-11-04</t>
        </is>
      </c>
      <c r="C652" s="30">
        <f>HYPERLINK("https://vk.com/wall-1825701_5233", "Открыть пост")</f>
        <v/>
      </c>
      <c r="D652" s="31" t="inlineStr">
        <is>
          <t>Творческие мастер-классы и художественные студии</t>
        </is>
      </c>
      <c r="E652" s="31" t="inlineStr">
        <is>
          <t>Творческие мастер-классы и художественные студии</t>
        </is>
      </c>
      <c r="F652" s="31" t="inlineStr">
        <is>
          <t>Воспитанники ЦССВ, ДДИ и детских домов-интернатов</t>
        </is>
      </c>
      <c r="G652" s="31" t="inlineStr">
        <is>
          <t>Студия фонда / выездная площадка</t>
        </is>
      </c>
      <c r="H652" s="31" t="inlineStr">
        <is>
          <t>Художественно-прикладные и ремесленные навыки</t>
        </is>
      </c>
      <c r="I652" s="32" t="inlineStr">
        <is>
          <t>По формату занятия</t>
        </is>
      </c>
      <c r="J652" s="31" t="inlineStr">
        <is>
          <t>История Угличского детского дома началась в далеком 1942 году. В Ярославскую область из Ленинграда прибыло 300 тысяч эвакуированных блокадников. Только в июне 42-ого приехало 10 тысяч детей, 700 из которых в Углич и Угличский район. Сейчас в детском доме постоянно проживает 16 де...</t>
        </is>
      </c>
    </row>
    <row r="653" ht="30" customHeight="1">
      <c r="A653" s="23" t="n">
        <v>5231</v>
      </c>
      <c r="B653" s="24" t="inlineStr">
        <is>
          <t>2019-11-04</t>
        </is>
      </c>
      <c r="C653" s="25">
        <f>HYPERLINK("https://vk.com/wall-1825701_5231", "Открыть пост")</f>
        <v/>
      </c>
      <c r="D653" s="26" t="inlineStr">
        <is>
          <t>Творческие мастер-классы и художественные студии</t>
        </is>
      </c>
      <c r="E653" s="26" t="inlineStr">
        <is>
          <t>Творческие мастер-классы и художественные студии</t>
        </is>
      </c>
      <c r="F653" s="26" t="inlineStr">
        <is>
          <t>Подопечные фонда «Дети Марии» (общая группа детей и подростков)</t>
        </is>
      </c>
      <c r="G653" s="26" t="inlineStr">
        <is>
          <t>Студия фонда / выездная площадка</t>
        </is>
      </c>
      <c r="H653" s="26" t="inlineStr">
        <is>
          <t>Художественно-прикладные и ремесленные навыки</t>
        </is>
      </c>
      <c r="I653" s="27" t="inlineStr">
        <is>
          <t>По формату занятия</t>
        </is>
      </c>
      <c r="J653" s="26" t="inlineStr">
        <is>
          <t>Воскресные занятия с ребятами из «АНО Дети». Валяли ангелов, рисовали и расписывали керамику.</t>
        </is>
      </c>
    </row>
    <row r="654" ht="30" customHeight="1">
      <c r="A654" s="28" t="n">
        <v>5229</v>
      </c>
      <c r="B654" s="29" t="inlineStr">
        <is>
          <t>2019-11-03</t>
        </is>
      </c>
      <c r="C654" s="30">
        <f>HYPERLINK("https://vk.com/wall-1825701_5229", "Открыть пост")</f>
        <v/>
      </c>
      <c r="D654" s="31" t="inlineStr">
        <is>
          <t>Творческие мастер-классы и художественные студии</t>
        </is>
      </c>
      <c r="E654" s="31" t="inlineStr">
        <is>
          <t>Творческие мастер-классы и художественные студии</t>
        </is>
      </c>
      <c r="F654" s="31" t="inlineStr">
        <is>
          <t>Воспитанники ЦССВ, ДДИ и детских домов-интернатов</t>
        </is>
      </c>
      <c r="G654" s="31" t="inlineStr">
        <is>
          <t>ТВЕРСКАЯ 15</t>
        </is>
      </c>
      <c r="H654" s="31" t="inlineStr">
        <is>
          <t>Художественно-прикладные и ремесленные навыки; Коммуникативные навыки, эмпатия и тьюторское сопровождение</t>
        </is>
      </c>
      <c r="I654" s="32" t="inlineStr">
        <is>
          <t>По формату занятия</t>
        </is>
      </c>
      <c r="J654" s="31" t="inlineStr">
        <is>
          <t>В гостеприимном Инклюзивное пространство «ТВЕРСКАЯ 15» в субботу занимались ребята из ресурсного центра «Спутник». На керамике лепили тыквы, угадайте, почему? 🎃 Интересное занятие также было у Оли Шейкман — отливали глиняные домики из гипса и раскрашивали их. Художники с Анной Ан...</t>
        </is>
      </c>
    </row>
    <row r="655" ht="30" customHeight="1">
      <c r="A655" s="23" t="n">
        <v>5227</v>
      </c>
      <c r="B655" s="24" t="inlineStr">
        <is>
          <t>2019-11-03</t>
        </is>
      </c>
      <c r="C655" s="25">
        <f>HYPERLINK("https://vk.com/wall-1825701_5227", "Открыть пост")</f>
        <v/>
      </c>
      <c r="D655" s="26" t="inlineStr">
        <is>
          <t>Творческие мастер-классы и художественные студии</t>
        </is>
      </c>
      <c r="E655" s="26" t="inlineStr">
        <is>
          <t>Творческие мастер-классы и художественные студии; Спектакли, концерты и музыкально-театральные занятия</t>
        </is>
      </c>
      <c r="F655" s="26" t="inlineStr">
        <is>
          <t>Подростки и взрослые с ментальными особенностями и ОВЗ (ПНИ / Социальные дома)</t>
        </is>
      </c>
      <c r="G655" s="26" t="inlineStr">
        <is>
          <t>Студия фонда / выездная площадка</t>
        </is>
      </c>
      <c r="H655" s="26" t="inlineStr">
        <is>
          <t>Художественно-прикладные и ремесленные навыки; Артистические, музыкальные и спортивно-игровые навыки; Педагогические и наставнические навыки (кулинария, быт, учёба)</t>
        </is>
      </c>
      <c r="I655" s="27" t="inlineStr">
        <is>
          <t>По формату занятия</t>
        </is>
      </c>
      <c r="J655" s="26" t="inlineStr">
        <is>
          <t>Суббота — насыщенный день! Пока группа из ПНИ 16 слушала концерт в Доме музыки, другие ребята приехали на занятие в студию. Андрей готовил праздничный пирог, Вова жарил картошку. Ваня расписывал блюдо. Валя занималась любимым делом — рисовала. А Лена успела и порисовать, и на кух...</t>
        </is>
      </c>
    </row>
    <row r="656" ht="30" customHeight="1">
      <c r="A656" s="28" t="n">
        <v>5226</v>
      </c>
      <c r="B656" s="29" t="inlineStr">
        <is>
          <t>2019-11-03</t>
        </is>
      </c>
      <c r="C656" s="30">
        <f>HYPERLINK("https://vk.com/wall-1825701_5226", "Открыть пост")</f>
        <v/>
      </c>
      <c r="D656" s="31" t="inlineStr">
        <is>
          <t>Выставки, экскурсии и культурные выходы</t>
        </is>
      </c>
      <c r="E656" s="31" t="inlineStr">
        <is>
          <t>Выставки, экскурсии и культурные выходы; Спектакли, концерты и музыкально-театральные занятия</t>
        </is>
      </c>
      <c r="F656" s="31" t="inlineStr">
        <is>
          <t>Подопечные фонда «Дети Марии» (общая группа детей и подростков)</t>
        </is>
      </c>
      <c r="G656" s="31" t="inlineStr">
        <is>
          <t>Студия фонда / выездная площадка</t>
        </is>
      </c>
      <c r="H656" s="31" t="inlineStr">
        <is>
          <t>Артистические, музыкальные и спортивно-игровые навыки</t>
        </is>
      </c>
      <c r="I656" s="32" t="inlineStr">
        <is>
          <t>По формату занятия</t>
        </is>
      </c>
      <c r="J656" s="31" t="inlineStr">
        <is>
          <t>В субботу днём в студию приходят мамочки — выпускницы интернатов со своими детьми. Наши «подгузники» будут участвовать в концерте на открытии выставки, они готовят танец маленьких утят. Приходите посмотреть 12 ноября! 😉</t>
        </is>
      </c>
    </row>
    <row r="657" ht="30" customHeight="1">
      <c r="A657" s="23" t="n">
        <v>5222</v>
      </c>
      <c r="B657" s="24" t="inlineStr">
        <is>
          <t>2019-11-02</t>
        </is>
      </c>
      <c r="C657" s="25">
        <f>HYPERLINK("https://vk.com/wall-1825701_5222", "Открыть пост")</f>
        <v/>
      </c>
      <c r="D657" s="26" t="inlineStr">
        <is>
          <t>Спектакли, концерты и музыкально-театральные занятия</t>
        </is>
      </c>
      <c r="E657" s="26" t="inlineStr">
        <is>
          <t>Спектакли, концерты и музыкально-театральные занятия; Творческие мастер-классы и художественные студии</t>
        </is>
      </c>
      <c r="F657" s="26" t="inlineStr">
        <is>
          <t>Подростки и взрослые с ментальными особенностями и ОВЗ (ПНИ / Социальные дома)</t>
        </is>
      </c>
      <c r="G657" s="26" t="inlineStr">
        <is>
          <t>ПНИ №16</t>
        </is>
      </c>
      <c r="H657" s="26" t="inlineStr">
        <is>
          <t>Артистические, музыкальные и спортивно-игровые навыки; Организационные, ивент- и ярмарочные навыки</t>
        </is>
      </c>
      <c r="I657" s="27" t="inlineStr">
        <is>
          <t>По формату занятия</t>
        </is>
      </c>
      <c r="J657" s="26" t="inlineStr">
        <is>
          <t>Красиво и заботливо — так можно описать организацию кино-концерта «Фантазия» в Доме Музыки. Спасибо компании Disney за приглашение, в этот раз от студии поехали ребята из ПНИ №16. Организаторы встретили и сопроводили маломобильных ребят на места. Но интересное началось задолго до...</t>
        </is>
      </c>
    </row>
    <row r="658" ht="30" customHeight="1">
      <c r="A658" s="28" t="n">
        <v>5220</v>
      </c>
      <c r="B658" s="29" t="inlineStr">
        <is>
          <t>2019-11-01</t>
        </is>
      </c>
      <c r="C658" s="30">
        <f>HYPERLINK("https://vk.com/wall-1825701_5220", "Открыть пост")</f>
        <v/>
      </c>
      <c r="D658" s="31" t="inlineStr">
        <is>
          <t>Выставки, экскурсии и культурные выходы</t>
        </is>
      </c>
      <c r="E658" s="31" t="inlineStr">
        <is>
          <t>Выставки, экскурсии и культурные выходы; Творческие мастер-классы и художественные студии</t>
        </is>
      </c>
      <c r="F658" s="31" t="inlineStr">
        <is>
          <t>Подопечные фонда «Дети Марии» (общая группа детей и подростков)</t>
        </is>
      </c>
      <c r="G658" s="31" t="inlineStr">
        <is>
          <t>Студия фонда / выездная площадка</t>
        </is>
      </c>
      <c r="H658" s="31" t="inlineStr">
        <is>
          <t>Художественно-прикладные и ремесленные навыки</t>
        </is>
      </c>
      <c r="I658" s="32" t="inlineStr">
        <is>
          <t>По формату занятия</t>
        </is>
      </c>
      <c r="J658" s="31" t="inlineStr">
        <is>
          <t>Рисование для взрослых. Доделываем последние штрихи к выставке :)</t>
        </is>
      </c>
    </row>
    <row r="659" ht="30" customHeight="1">
      <c r="A659" s="23" t="n">
        <v>5217</v>
      </c>
      <c r="B659" s="24" t="inlineStr">
        <is>
          <t>2019-10-31</t>
        </is>
      </c>
      <c r="C659" s="25">
        <f>HYPERLINK("https://vk.com/wall-1825701_5217", "Открыть пост")</f>
        <v/>
      </c>
      <c r="D659" s="26" t="inlineStr">
        <is>
          <t>Творческие мастер-классы и художественные студии</t>
        </is>
      </c>
      <c r="E659" s="26" t="inlineStr">
        <is>
          <t>Творческие мастер-классы и художественные студии; Выставки, экскурсии и культурные выходы</t>
        </is>
      </c>
      <c r="F659" s="26" t="inlineStr">
        <is>
          <t>Выпускники интернатов и детских домов (молодые взрослые)</t>
        </is>
      </c>
      <c r="G659" s="26" t="inlineStr">
        <is>
          <t>Тверская 15</t>
        </is>
      </c>
      <c r="H659" s="26" t="inlineStr">
        <is>
          <t>Художественно-прикладные и ремесленные навыки; Коммуникативные навыки, эмпатия и тьюторское сопровождение</t>
        </is>
      </c>
      <c r="I659" s="27" t="inlineStr">
        <is>
          <t>По формату занятия</t>
        </is>
      </c>
      <c r="J659" s="26" t="inlineStr">
        <is>
          <t>Дорогие друзья! Приглашаем всех на нашу традиционную выставку. В этом году она проходит с 5 по 14 ноября в Пространстве творчества и развития «Тверская 15», по адресу улица Тверская, дом 15, вход с Вознесенского переулка. Каждый день кроме воскресенья и понедельника с 11:00 до 18...</t>
        </is>
      </c>
    </row>
    <row r="660" ht="30" customHeight="1">
      <c r="A660" s="28" t="n">
        <v>5215</v>
      </c>
      <c r="B660" s="29" t="inlineStr">
        <is>
          <t>2019-10-31</t>
        </is>
      </c>
      <c r="C660" s="30">
        <f>HYPERLINK("https://vk.com/wall-1825701_5215", "Открыть пост")</f>
        <v/>
      </c>
      <c r="D660" s="31" t="inlineStr">
        <is>
          <t>Творческие мастер-классы и художественные студии</t>
        </is>
      </c>
      <c r="E660" s="31" t="inlineStr">
        <is>
          <t>Творческие мастер-классы и художественные студии</t>
        </is>
      </c>
      <c r="F660" s="31" t="inlineStr">
        <is>
          <t>Подопечные фонда «Дети Марии» (общая группа детей и подростков)</t>
        </is>
      </c>
      <c r="G660" s="31" t="inlineStr">
        <is>
          <t>Студия фонда / выездная площадка</t>
        </is>
      </c>
      <c r="H660" s="31" t="inlineStr">
        <is>
          <t>Художественно-прикладные и ремесленные навыки; Педагогические и наставнические навыки (кулинария, быт, учёба)</t>
        </is>
      </c>
      <c r="I660" s="32" t="inlineStr">
        <is>
          <t>По формату занятия</t>
        </is>
      </c>
      <c r="J660" s="31" t="inlineStr">
        <is>
          <t>Первый мастер-класс по валянию для взрослых прошел в среду студии на Новинском. Преподаватель Оксана начала с основ: рассказала о свойствах шерсти, показала способы её раскладки и образцы валяных изделий. После теории перешли к практике. Валяли шарики, детали будущего изделия. Из...</t>
        </is>
      </c>
    </row>
    <row r="661" ht="30" customHeight="1">
      <c r="A661" s="23" t="n">
        <v>5208</v>
      </c>
      <c r="B661" s="24" t="inlineStr">
        <is>
          <t>2019-10-29</t>
        </is>
      </c>
      <c r="C661" s="25">
        <f>HYPERLINK("https://vk.com/wall-1825701_5208", "Открыть пост")</f>
        <v/>
      </c>
      <c r="D661" s="26" t="inlineStr">
        <is>
          <t>Творческие мастер-классы и художественные студии</t>
        </is>
      </c>
      <c r="E661" s="26" t="inlineStr">
        <is>
          <t>Творческие мастер-классы и художественные студии</t>
        </is>
      </c>
      <c r="F661" s="26" t="inlineStr">
        <is>
          <t>Подростки и взрослые с ментальными особенностями и ОВЗ (ПНИ / Социальные дома)</t>
        </is>
      </c>
      <c r="G661" s="26" t="inlineStr">
        <is>
          <t>ПНИ №16</t>
        </is>
      </c>
      <c r="H661" s="26" t="inlineStr">
        <is>
          <t>Художественно-прикладные и ремесленные навыки; Артистические, музыкальные и спортивно-игровые навыки</t>
        </is>
      </c>
      <c r="I661" s="27" t="inlineStr">
        <is>
          <t>По формату занятия</t>
        </is>
      </c>
      <c r="J661" s="26" t="inlineStr">
        <is>
          <t>Вчера в студии были ребята из ПНИ №16. Занимались вязанием и музыкой. Лёша и Света закончили гобелены, над которыми долго трудились, а Маша уже начала новую работу. Занятие керамикой тоже было: расписывали большую вазу. На живописи закончили работы в карандаше и придали им ярких ...</t>
        </is>
      </c>
    </row>
    <row r="662" ht="30" customHeight="1">
      <c r="A662" s="28" t="n">
        <v>5206</v>
      </c>
      <c r="B662" s="29" t="inlineStr">
        <is>
          <t>2019-10-28</t>
        </is>
      </c>
      <c r="C662" s="30">
        <f>HYPERLINK("https://vk.com/wall-1825701_5206", "Открыть пост")</f>
        <v/>
      </c>
      <c r="D662" s="31" t="inlineStr">
        <is>
          <t>Ярмарки, фестивали и благотворительные базары</t>
        </is>
      </c>
      <c r="E662" s="31" t="inlineStr">
        <is>
          <t>Ярмарки, фестивали и благотворительные базары</t>
        </is>
      </c>
      <c r="F662" s="31" t="inlineStr">
        <is>
          <t>Подопечные фонда «Дети Марии» (общая группа детей и подростков)</t>
        </is>
      </c>
      <c r="G662" s="31" t="inlineStr">
        <is>
          <t>Студия фонда / выездная площадка</t>
        </is>
      </c>
      <c r="H662" s="31" t="inlineStr">
        <is>
          <t>Коммуникативные навыки, эмпатия и тьюторское сопровождение; Организационные, ивент- и ярмарочные навыки</t>
        </is>
      </c>
      <c r="I662" s="32" t="inlineStr">
        <is>
          <t>По формату занятия</t>
        </is>
      </c>
      <c r="J662" s="31" t="inlineStr">
        <is>
          <t>По итогам аукциона Meet for Charity с генеральным директором Яндекс.Такси Даниилом Шулейко собрано 300 000 рублей. Выражаем огромную благодарность за пожертвование победителю аукциона. И всем участникам за интерес. Вам, Даниил, спасибо за то, что выбрали Художественный центр "Дет...</t>
        </is>
      </c>
    </row>
    <row r="663" ht="30" customHeight="1">
      <c r="A663" s="23" t="n">
        <v>5205</v>
      </c>
      <c r="B663" s="24" t="inlineStr">
        <is>
          <t>2019-10-28</t>
        </is>
      </c>
      <c r="C663" s="25">
        <f>HYPERLINK("https://vk.com/wall-1825701_5205", "Открыть пост")</f>
        <v/>
      </c>
      <c r="D663" s="26" t="inlineStr">
        <is>
          <t>Творческие мастер-классы и художественные студии</t>
        </is>
      </c>
      <c r="E663" s="26" t="inlineStr">
        <is>
          <t>Творческие мастер-классы и художественные студии</t>
        </is>
      </c>
      <c r="F663" s="26" t="inlineStr">
        <is>
          <t>Подопечные фонда «Дети Марии» (общая группа детей и подростков)</t>
        </is>
      </c>
      <c r="G663" s="26" t="inlineStr">
        <is>
          <t>Студия фонда / выездная площадка</t>
        </is>
      </c>
      <c r="H663" s="26" t="inlineStr">
        <is>
          <t>Художественно-прикладные и ремесленные навыки</t>
        </is>
      </c>
      <c r="I663" s="27" t="inlineStr">
        <is>
          <t>Да (в тексте)</t>
        </is>
      </c>
      <c r="J663" s="26" t="inlineStr">
        <is>
          <t>Начинаем занятия по мокрому валянию из шерсти! Приглашаем участвовать всех желающих взрослых жителей Пресненского района и волонтёров студии. Занятия бесплатные, будут проходить каждую неделю по средам. Начало занятий: 📆 30 октября 2019 ⏰ 18:30-20:30 📍 Новинский бульвар, дом 25, ...</t>
        </is>
      </c>
    </row>
    <row r="664" ht="30" customHeight="1">
      <c r="A664" s="28" t="n">
        <v>5203</v>
      </c>
      <c r="B664" s="29" t="inlineStr">
        <is>
          <t>2019-10-28</t>
        </is>
      </c>
      <c r="C664" s="30">
        <f>HYPERLINK("https://vk.com/wall-1825701_5203", "Открыть пост")</f>
        <v/>
      </c>
      <c r="D664" s="31" t="inlineStr">
        <is>
          <t>Творческие мастер-классы и художественные студии</t>
        </is>
      </c>
      <c r="E664" s="31" t="inlineStr">
        <is>
          <t>Творческие мастер-классы и художественные студии</t>
        </is>
      </c>
      <c r="F664" s="31" t="inlineStr">
        <is>
          <t>Подопечные фонда «Дети Марии» (общая группа детей и подростков)</t>
        </is>
      </c>
      <c r="G664" s="31" t="inlineStr">
        <is>
          <t>Студия фонда / выездная площадка</t>
        </is>
      </c>
      <c r="H664" s="31" t="inlineStr">
        <is>
          <t>Художественно-прикладные и ремесленные навыки</t>
        </is>
      </c>
      <c r="I664" s="32" t="inlineStr">
        <is>
          <t>По формату занятия</t>
        </is>
      </c>
      <c r="J664" s="31" t="inlineStr">
        <is>
          <t>Воскресные занятия керамикой для взрослых с Анной Андреевой продолжаются! Вчера декорировали уже обожженные в печи блюда, тарелки и подставки. Вдохновляемся осенними красками природы 🍁🍎🍆 Занятия проходят с 15.00–18.00 по воскресеньям Адрес: Москва, Дмитровский пер., д. 2/10 (вход...</t>
        </is>
      </c>
    </row>
    <row r="665" ht="30" customHeight="1">
      <c r="A665" s="23" t="n">
        <v>5188</v>
      </c>
      <c r="B665" s="24" t="inlineStr">
        <is>
          <t>2019-10-26</t>
        </is>
      </c>
      <c r="C665" s="25">
        <f>HYPERLINK("https://vk.com/wall-1825701_5188", "Открыть пост")</f>
        <v/>
      </c>
      <c r="D665" s="26" t="inlineStr">
        <is>
          <t>Творческие мастер-классы и художественные студии</t>
        </is>
      </c>
      <c r="E665" s="26" t="inlineStr">
        <is>
          <t>Творческие мастер-классы и художественные студии</t>
        </is>
      </c>
      <c r="F665" s="26" t="inlineStr">
        <is>
          <t>Подопечные фонда «Дети Марии» (общая группа детей и подростков)</t>
        </is>
      </c>
      <c r="G665" s="26" t="inlineStr">
        <is>
          <t>Студия фонда / выездная площадка</t>
        </is>
      </c>
      <c r="H665" s="26" t="inlineStr">
        <is>
          <t>Художественно-прикладные и ремесленные навыки</t>
        </is>
      </c>
      <c r="I665" s="27" t="inlineStr">
        <is>
          <t>По формату занятия</t>
        </is>
      </c>
      <c r="J665" s="26" t="inlineStr">
        <is>
          <t>Дети из школы Св. Георгия занимались вчера в студии на Новинском. На керамике приступили к росписи изделий. А на рисовании с художницей Нюсей Митиной раскрашивали и заодно выучили материки и океаны 🌎 Было шумно и весело 😊</t>
        </is>
      </c>
    </row>
    <row r="666" ht="30" customHeight="1">
      <c r="A666" s="28" t="n">
        <v>5186</v>
      </c>
      <c r="B666" s="29" t="inlineStr">
        <is>
          <t>2019-10-25</t>
        </is>
      </c>
      <c r="C666" s="30">
        <f>HYPERLINK("https://vk.com/wall-1825701_5186", "Открыть пост")</f>
        <v/>
      </c>
      <c r="D666" s="31" t="inlineStr">
        <is>
          <t>Выставки, экскурсии и культурные выходы</t>
        </is>
      </c>
      <c r="E666" s="31" t="inlineStr">
        <is>
          <t>Выставки, экскурсии и культурные выходы</t>
        </is>
      </c>
      <c r="F666" s="31" t="inlineStr">
        <is>
          <t>Подростки и взрослые с ментальными особенностями и ОВЗ (ПНИ / Социальные дома)</t>
        </is>
      </c>
      <c r="G666" s="31" t="inlineStr">
        <is>
          <t>ПНИ №16</t>
        </is>
      </c>
      <c r="H666" s="31" t="inlineStr">
        <is>
          <t>Организационные, ивент- и ярмарочные навыки; Мобильность, выездное сопровождение и автоволонтёрство</t>
        </is>
      </c>
      <c r="I666" s="32" t="inlineStr">
        <is>
          <t>По формату занятия</t>
        </is>
      </c>
      <c r="J666" s="31" t="inlineStr">
        <is>
          <t>Благодарим компанию Skadden, Arps, Slate, Meagher &amp; Flom, которая четвёртый раз организует для людей с особенностями развития из ПНИ №16 экскурсию в музей и обед в кафе. В среду группа подопечных ПНИ посетила музей «Живые системы». На экскурсии ребятам наглядно показали, как рабо...</t>
        </is>
      </c>
    </row>
    <row r="667" ht="30" customHeight="1">
      <c r="A667" s="23" t="n">
        <v>5185</v>
      </c>
      <c r="B667" s="24" t="inlineStr">
        <is>
          <t>2019-10-25</t>
        </is>
      </c>
      <c r="C667" s="25">
        <f>HYPERLINK("https://vk.com/wall-1825701_5185", "Открыть пост")</f>
        <v/>
      </c>
      <c r="D667" s="26" t="inlineStr">
        <is>
          <t>Творческие мастер-классы и художественные студии</t>
        </is>
      </c>
      <c r="E667" s="26" t="inlineStr">
        <is>
          <t>Творческие мастер-классы и художественные студии</t>
        </is>
      </c>
      <c r="F667" s="26" t="inlineStr">
        <is>
          <t>Подопечные фонда «Дети Марии» (общая группа детей и подростков)</t>
        </is>
      </c>
      <c r="G667" s="26" t="inlineStr">
        <is>
          <t>Студия фонда / выездная площадка</t>
        </is>
      </c>
      <c r="H667" s="26" t="inlineStr">
        <is>
          <t>Художественно-прикладные и ремесленные навыки</t>
        </is>
      </c>
      <c r="I667" s="27" t="inlineStr">
        <is>
          <t>По формату занятия</t>
        </is>
      </c>
      <c r="J667" s="26" t="inlineStr">
        <is>
          <t>В четверг на занятия приезжают дети с нарушениями опорно-двигательной системы из 31-го интерната. В студии их ждали: Лёша Строев испёк для ребят пышную шарлотку (сезон шарлотки продолжается!) Ребята валяли мышек, рисовали, музицировали. Время пролетело незаметно :)</t>
        </is>
      </c>
    </row>
    <row r="668" ht="30" customHeight="1">
      <c r="A668" s="28" t="n">
        <v>5184</v>
      </c>
      <c r="B668" s="29" t="inlineStr">
        <is>
          <t>2019-10-25</t>
        </is>
      </c>
      <c r="C668" s="30">
        <f>HYPERLINK("https://vk.com/wall-1825701_5184", "Открыть пост")</f>
        <v/>
      </c>
      <c r="D668" s="31" t="inlineStr">
        <is>
          <t>Выездные лагеря, дача и сезонные программы</t>
        </is>
      </c>
      <c r="E668" s="31" t="inlineStr">
        <is>
          <t>Выездные лагеря, дача и сезонные программы; Творческие мастер-классы и художественные студии</t>
        </is>
      </c>
      <c r="F668" s="31" t="inlineStr">
        <is>
          <t>Подростки и взрослые с ментальными особенностями и ОВЗ (ПНИ / Социальные дома); Воспитанники ЦССВ, ДДИ и детских домов-интернатов</t>
        </is>
      </c>
      <c r="G668" s="31" t="inlineStr">
        <is>
          <t>Студия фонда / выездная площадка</t>
        </is>
      </c>
      <c r="H668" s="31" t="inlineStr">
        <is>
          <t>Художественно-прикладные и ремесленные навыки</t>
        </is>
      </c>
      <c r="I668" s="32" t="inlineStr">
        <is>
          <t>По формату занятия</t>
        </is>
      </c>
      <c r="J668" s="31" t="inlineStr">
        <is>
          <t>В загородных мастерских у Марии в среду занятия для ребят из Филимонковского детского дома. Занимались керамикой. Прежние работы закончены, а значит, самое время для новых замыслов ;)</t>
        </is>
      </c>
    </row>
    <row r="669" ht="30" customHeight="1">
      <c r="A669" s="23" t="n">
        <v>5174</v>
      </c>
      <c r="B669" s="24" t="inlineStr">
        <is>
          <t>2019-10-23</t>
        </is>
      </c>
      <c r="C669" s="25">
        <f>HYPERLINK("https://vk.com/wall-1825701_5174", "Открыть пост")</f>
        <v/>
      </c>
      <c r="D669" s="26" t="inlineStr">
        <is>
          <t>Творческие мастер-классы и художественные студии</t>
        </is>
      </c>
      <c r="E669" s="26" t="inlineStr">
        <is>
          <t>Творческие мастер-классы и художественные студии</t>
        </is>
      </c>
      <c r="F669" s="26" t="inlineStr">
        <is>
          <t>Подопечные фонда «Дети Марии» (общая группа детей и подростков)</t>
        </is>
      </c>
      <c r="G669" s="26" t="inlineStr">
        <is>
          <t>Студия фонда / выездная площадка</t>
        </is>
      </c>
      <c r="H669" s="26" t="inlineStr">
        <is>
          <t>Художественно-прикладные и ремесленные навыки</t>
        </is>
      </c>
      <c r="I669" s="27" t="inlineStr">
        <is>
          <t>По формату занятия</t>
        </is>
      </c>
      <c r="J669" s="26" t="inlineStr">
        <is>
          <t>В студии на Дмитровке продолжаются занятия керамикой для взрослых. В понедельник любители керамики лепили под руководством Николай Панюков: раскатали пласты глины и начали новые работы на природную тематику 🍁 Вы тоже можете присоединиться к нам! Занятия проходят по понедельникам ...</t>
        </is>
      </c>
    </row>
    <row r="670" ht="30" customHeight="1">
      <c r="A670" s="28" t="n">
        <v>5173</v>
      </c>
      <c r="B670" s="29" t="inlineStr">
        <is>
          <t>2019-10-22</t>
        </is>
      </c>
      <c r="C670" s="30">
        <f>HYPERLINK("https://vk.com/wall-1825701_5173", "Открыть пост")</f>
        <v/>
      </c>
      <c r="D670" s="31" t="inlineStr">
        <is>
          <t>Творческие мастер-классы и художественные студии</t>
        </is>
      </c>
      <c r="E670" s="31" t="inlineStr">
        <is>
          <t>Творческие мастер-классы и художественные студии; Выставки, экскурсии и культурные выходы</t>
        </is>
      </c>
      <c r="F670" s="31" t="inlineStr">
        <is>
          <t>Подростки и взрослые с ментальными особенностями и ОВЗ (ПНИ / Социальные дома)</t>
        </is>
      </c>
      <c r="G670" s="31" t="inlineStr">
        <is>
          <t>ПНИ №16</t>
        </is>
      </c>
      <c r="H670" s="31" t="inlineStr">
        <is>
          <t>Художественно-прикладные и ремесленные навыки; Педагогические и наставнические навыки (кулинария, быт, учёба)</t>
        </is>
      </c>
      <c r="I670" s="32" t="inlineStr">
        <is>
          <t>Да (в тексте)</t>
        </is>
      </c>
      <c r="J670" s="31" t="inlineStr">
        <is>
          <t>В понедельник ребята из ПНИ №16 на занятии керамикой лепили динозавриков, а ещё с Ириной Свистовой, нашим прекрасным волонтёром, готовили к выставке яркие батики. ❗•🗓 В ноябре в пространстве творчества и развития откроется вставка Художественного центра «Дети Марии», где мы покаж...</t>
        </is>
      </c>
    </row>
    <row r="671" ht="30" customHeight="1">
      <c r="A671" s="23" t="n">
        <v>5172</v>
      </c>
      <c r="B671" s="24" t="inlineStr">
        <is>
          <t>2019-10-22</t>
        </is>
      </c>
      <c r="C671" s="25">
        <f>HYPERLINK("https://vk.com/wall-1825701_5172", "Открыть пост")</f>
        <v/>
      </c>
      <c r="D671" s="26" t="inlineStr">
        <is>
          <t>Ярмарки, фестивали и благотворительные базары</t>
        </is>
      </c>
      <c r="E671" s="26" t="inlineStr">
        <is>
          <t>Ярмарки, фестивали и благотворительные базары</t>
        </is>
      </c>
      <c r="F671" s="26" t="inlineStr">
        <is>
          <t>Подопечные фонда «Дети Марии» (общая группа детей и подростков)</t>
        </is>
      </c>
      <c r="G671" s="26" t="inlineStr">
        <is>
          <t>Студия фонда / выездная площадка</t>
        </is>
      </c>
      <c r="H671" s="26" t="inlineStr">
        <is>
          <t>Коммуникативные навыки, эмпатия и тьюторское сопровождение; Организационные, ивент- и ярмарочные навыки</t>
        </is>
      </c>
      <c r="I671" s="27" t="inlineStr">
        <is>
          <t>По формату занятия</t>
        </is>
      </c>
      <c r="J671" s="26" t="inlineStr">
        <is>
          <t>Как приятно делать что-то для друзей! Мы начали расписывать одну из переговорных Сбербанк на Кутузовском. В этом отделении ярмарки Maria's Children ArtCenter Moscow всегда проходят невероятно успешно. Благодарим от всего сердца Яну Приходченко за приглашение, многолетнее внимание...</t>
        </is>
      </c>
    </row>
    <row r="672" ht="30" customHeight="1">
      <c r="A672" s="28" t="n">
        <v>5169</v>
      </c>
      <c r="B672" s="29" t="inlineStr">
        <is>
          <t>2019-10-21</t>
        </is>
      </c>
      <c r="C672" s="30">
        <f>HYPERLINK("https://vk.com/wall-1825701_5169", "Открыть пост")</f>
        <v/>
      </c>
      <c r="D672" s="31" t="inlineStr">
        <is>
          <t>Творческие мастер-классы и художественные студии</t>
        </is>
      </c>
      <c r="E672" s="31" t="inlineStr">
        <is>
          <t>Творческие мастер-классы и художественные студии; Спектакли, концерты и музыкально-театральные занятия</t>
        </is>
      </c>
      <c r="F672" s="31" t="inlineStr">
        <is>
          <t>Подростки и взрослые с ментальными особенностями и ОВЗ (ПНИ / Социальные дома)</t>
        </is>
      </c>
      <c r="G672" s="31" t="inlineStr">
        <is>
          <t>ПНИ №16</t>
        </is>
      </c>
      <c r="H672" s="31" t="inlineStr">
        <is>
          <t>Художественно-прикладные и ремесленные навыки; Артистические, музыкальные и спортивно-игровые навыки; Мобильность, выездное сопровождение и автоволонтёрство</t>
        </is>
      </c>
      <c r="I672" s="32" t="inlineStr">
        <is>
          <t>По формату занятия</t>
        </is>
      </c>
      <c r="J672" s="31" t="inlineStr">
        <is>
          <t>В ПНИ №16 в пятницу было шумно и весело. На занятие из других отделений психоневрологического интерната привезли Катю Оглы и Машу Орехову. Девочки передвигаются на колясках, поэтому им нужна помощь в сопровождении до места занятий. Ребята рисовали на свободную тему. Валя дорисова...</t>
        </is>
      </c>
    </row>
    <row r="673" ht="30" customHeight="1">
      <c r="A673" s="23" t="n">
        <v>5165</v>
      </c>
      <c r="B673" s="24" t="inlineStr">
        <is>
          <t>2019-10-20</t>
        </is>
      </c>
      <c r="C673" s="25">
        <f>HYPERLINK("https://vk.com/wall-1825701_5165", "Открыть пост")</f>
        <v/>
      </c>
      <c r="D673" s="26" t="inlineStr">
        <is>
          <t>Творческие мастер-классы и художественные студии</t>
        </is>
      </c>
      <c r="E673" s="26" t="inlineStr">
        <is>
          <t>Творческие мастер-классы и художественные студии</t>
        </is>
      </c>
      <c r="F673" s="26" t="inlineStr">
        <is>
          <t>Подопечные фонда «Дети Марии» (общая группа детей и подростков)</t>
        </is>
      </c>
      <c r="G673" s="26" t="inlineStr">
        <is>
          <t>Студия фонда / выездная площадка</t>
        </is>
      </c>
      <c r="H673" s="26" t="inlineStr">
        <is>
          <t>Коммуникативные навыки, эмпатия и тьюторское сопровождение</t>
        </is>
      </c>
      <c r="I673" s="27" t="inlineStr">
        <is>
          <t>По формату занятия</t>
        </is>
      </c>
      <c r="J673" s="26" t="inlineStr">
        <is>
          <t>Дорогой Благотворительный Фонд «Абсолют-Помощь»! Ваш проект в Институте Педиатрии нереально прекрасен. Мы рады, что стали его частью. В арт-терапии много методик и практик, но самое важное — эти занятия полны радости, творчества и любви 🤗</t>
        </is>
      </c>
    </row>
    <row r="674" ht="30" customHeight="1">
      <c r="A674" s="28" t="n">
        <v>5162</v>
      </c>
      <c r="B674" s="29" t="inlineStr">
        <is>
          <t>2019-10-19</t>
        </is>
      </c>
      <c r="C674" s="30">
        <f>HYPERLINK("https://vk.com/wall-1825701_5162", "Открыть пост")</f>
        <v/>
      </c>
      <c r="D674" s="31" t="inlineStr">
        <is>
          <t>Творческие мастер-классы и художественные студии</t>
        </is>
      </c>
      <c r="E674" s="31" t="inlineStr">
        <is>
          <t>Творческие мастер-классы и художественные студии; Спектакли, концерты и музыкально-театральные занятия</t>
        </is>
      </c>
      <c r="F674" s="31" t="inlineStr">
        <is>
          <t>Подростки и взрослые с ментальными особенностями и ОВЗ (ПНИ / Социальные дома)</t>
        </is>
      </c>
      <c r="G674" s="31" t="inlineStr">
        <is>
          <t>Студия фонда / выездная площадка</t>
        </is>
      </c>
      <c r="H674" s="31" t="inlineStr">
        <is>
          <t>Художественно-прикладные и ремесленные навыки; Артистические, музыкальные и спортивно-игровые навыки</t>
        </is>
      </c>
      <c r="I674" s="32" t="inlineStr">
        <is>
          <t>По формату занятия</t>
        </is>
      </c>
      <c r="J674" s="31" t="inlineStr">
        <is>
          <t>Ребята из ПНИ 16 занимались в студии вчера. Юра с увлечением импровизировал на гитаре, и его музыка вдохновляла ребят. Они ткали гобелен с Натальей Лясс, лепили, пели, занимались арт-терапией. А Маша Салова решила создать серию портретов друзей.</t>
        </is>
      </c>
    </row>
    <row r="675" ht="30" customHeight="1">
      <c r="A675" s="23" t="n">
        <v>5161</v>
      </c>
      <c r="B675" s="24" t="inlineStr">
        <is>
          <t>2019-10-19</t>
        </is>
      </c>
      <c r="C675" s="25">
        <f>HYPERLINK("https://vk.com/wall-1825701_5161", "Открыть пост")</f>
        <v/>
      </c>
      <c r="D675" s="26" t="inlineStr">
        <is>
          <t>Спектакли, концерты и музыкально-театральные занятия</t>
        </is>
      </c>
      <c r="E675" s="26" t="inlineStr">
        <is>
          <t>Спектакли, концерты и музыкально-театральные занятия</t>
        </is>
      </c>
      <c r="F675" s="26" t="inlineStr">
        <is>
          <t>Подростки и взрослые с ментальными особенностями и ОВЗ (ПНИ / Социальные дома)</t>
        </is>
      </c>
      <c r="G675" s="26" t="inlineStr">
        <is>
          <t>ПНИ №16</t>
        </is>
      </c>
      <c r="H675" s="26" t="inlineStr">
        <is>
          <t>Артистические, музыкальные и спортивно-игровые навыки</t>
        </is>
      </c>
      <c r="I675" s="27" t="inlineStr">
        <is>
          <t>По формату занятия</t>
        </is>
      </c>
      <c r="J675" s="26" t="inlineStr">
        <is>
          <t>Не можем не поделиться — вчера в ПНИ №16 была премьера спектакля «Золушка», в главных ролях выступили многие ребята, которые занимаются у нас в студии. Фея — Валя, король — Миша, Анна, сводная сестра Золушки — Катя. Поздравляем ребят с премьерой! 🤩🎭</t>
        </is>
      </c>
    </row>
    <row r="676" ht="30" customHeight="1">
      <c r="A676" s="28" t="n">
        <v>5159</v>
      </c>
      <c r="B676" s="29" t="inlineStr">
        <is>
          <t>2019-10-18</t>
        </is>
      </c>
      <c r="C676" s="30">
        <f>HYPERLINK("https://vk.com/wall-1825701_5159", "Открыть пост")</f>
        <v/>
      </c>
      <c r="D676" s="31" t="inlineStr">
        <is>
          <t>Творческие мастер-классы и художественные студии</t>
        </is>
      </c>
      <c r="E676" s="31" t="inlineStr">
        <is>
          <t>Творческие мастер-классы и художественные студии</t>
        </is>
      </c>
      <c r="F676" s="31" t="inlineStr">
        <is>
          <t>Подростки и взрослые с ментальными особенностями и ОВЗ (ПНИ / Социальные дома)</t>
        </is>
      </c>
      <c r="G676" s="31" t="inlineStr">
        <is>
          <t>ПНИ №16</t>
        </is>
      </c>
      <c r="H676" s="31" t="inlineStr">
        <is>
          <t>Художественно-прикладные и ремесленные навыки</t>
        </is>
      </c>
      <c r="I676" s="32" t="inlineStr">
        <is>
          <t>По формату занятия</t>
        </is>
      </c>
      <c r="J676" s="31" t="inlineStr">
        <is>
          <t>В четверг в студию на Дмитровке приезжают ребята из ПНИ №16. В этот раз продолжили рисовать в новой технике арт-терапии. Лиза и Андрей даже успели доделать начатые на прошлом занятии картины. В другой комнате собрались любители сухого валяния и музицирования. Эля Родионова и Оля ...</t>
        </is>
      </c>
    </row>
    <row r="677" ht="30" customHeight="1">
      <c r="A677" s="23" t="n">
        <v>5157</v>
      </c>
      <c r="B677" s="24" t="inlineStr">
        <is>
          <t>2019-10-18</t>
        </is>
      </c>
      <c r="C677" s="25">
        <f>HYPERLINK("https://vk.com/wall-1825701_5157", "Открыть пост")</f>
        <v/>
      </c>
      <c r="D677" s="26" t="inlineStr">
        <is>
          <t>Творческие мастер-классы и художественные студии</t>
        </is>
      </c>
      <c r="E677" s="26" t="inlineStr">
        <is>
          <t>Творческие мастер-классы и художественные студии; Выездные лагеря, дача и сезонные программы</t>
        </is>
      </c>
      <c r="F677" s="26" t="inlineStr">
        <is>
          <t>Подростки и взрослые с ментальными особенностями и ОВЗ (ПНИ / Социальные дома); Воспитанники ЦССВ, ДДИ и детских домов-интернатов</t>
        </is>
      </c>
      <c r="G677" s="26" t="inlineStr">
        <is>
          <t>Студия фонда / выездная площадка</t>
        </is>
      </c>
      <c r="H677" s="26" t="inlineStr">
        <is>
          <t>Художественно-прикладные и ремесленные навыки</t>
        </is>
      </c>
      <c r="I677" s="27" t="inlineStr">
        <is>
          <t>По формату занятия</t>
        </is>
      </c>
      <c r="J677" s="26" t="inlineStr">
        <is>
          <t>В среду в загородных мастерских — занятие у детей из Филимонковского детского дома. Занимались керамикой с Ириной Рокотниной: лепили, расписывали лошадку и циркового тюленя с шаром. А Вова с Джастином чинили ферму.</t>
        </is>
      </c>
    </row>
    <row r="678" ht="30" customHeight="1">
      <c r="A678" s="28" t="n">
        <v>5156</v>
      </c>
      <c r="B678" s="29" t="inlineStr">
        <is>
          <t>2019-10-17</t>
        </is>
      </c>
      <c r="C678" s="30">
        <f>HYPERLINK("https://vk.com/wall-1825701_5156", "Открыть пост")</f>
        <v/>
      </c>
      <c r="D678" s="31" t="inlineStr">
        <is>
          <t>Выездные лагеря, дача и сезонные программы</t>
        </is>
      </c>
      <c r="E678" s="31" t="inlineStr">
        <is>
          <t>Выездные лагеря, дача и сезонные программы; Кулинарные, образовательные и социально-бытовые занятия; Творческие мастер-классы и художественные студии</t>
        </is>
      </c>
      <c r="F678" s="31" t="inlineStr">
        <is>
          <t>Подопечные фонда «Дети Марии» (общая группа детей и подростков)</t>
        </is>
      </c>
      <c r="G678" s="31" t="inlineStr">
        <is>
          <t>Студия фонда / выездная площадка</t>
        </is>
      </c>
      <c r="H678" s="31" t="inlineStr">
        <is>
          <t>Педагогические и наставнические навыки (кулинария, быт, учёба); Мобильность, выездное сопровождение и автоволонтёрство</t>
        </is>
      </c>
      <c r="I678" s="32" t="inlineStr">
        <is>
          <t>По формату занятия</t>
        </is>
      </c>
      <c r="J678" s="31" t="inlineStr">
        <is>
          <t>Что для вас «вспомнить молодость»? Для наших ребят — приготовить солянку. Кто жил в интернате или был в пионерском лагере нас поймут 😂 Кулинарный мастер-класс на Дмитровке.</t>
        </is>
      </c>
    </row>
    <row r="679" ht="30" customHeight="1">
      <c r="A679" s="23" t="n">
        <v>5155</v>
      </c>
      <c r="B679" s="24" t="inlineStr">
        <is>
          <t>2019-10-17</t>
        </is>
      </c>
      <c r="C679" s="25">
        <f>HYPERLINK("https://vk.com/wall-1825701_5155", "Открыть пост")</f>
        <v/>
      </c>
      <c r="D679" s="26" t="inlineStr">
        <is>
          <t>Творческие мастер-классы и художественные студии</t>
        </is>
      </c>
      <c r="E679" s="26" t="inlineStr">
        <is>
          <t>Творческие мастер-классы и художественные студии</t>
        </is>
      </c>
      <c r="F679" s="26" t="inlineStr">
        <is>
          <t>Воспитанники ЦССВ, ДДИ и детских домов-интернатов</t>
        </is>
      </c>
      <c r="G679" s="26" t="inlineStr">
        <is>
          <t>Студия фонда / выездная площадка</t>
        </is>
      </c>
      <c r="H679" s="26" t="inlineStr">
        <is>
          <t>Художественно-прикладные и ремесленные навыки; Артистические, музыкальные и спортивно-игровые навыки; Педагогические и наставнические навыки (кулинария, быт, учёба)</t>
        </is>
      </c>
      <c r="I679" s="27" t="inlineStr">
        <is>
          <t>По формату занятия</t>
        </is>
      </c>
      <c r="J679" s="26" t="inlineStr">
        <is>
          <t>Вчера было занятие с ребятами из Юноны. После долгого перерыва к нам приехал Ваня Кочкин, и зарядил всех своих жизнелюбием! Рисовал, танцевал и показывал фокусы 💫 Другие ребята рисовали и занимались музыкой с Любовью Ивановной.</t>
        </is>
      </c>
    </row>
    <row r="680" ht="30" customHeight="1">
      <c r="A680" s="28" t="n">
        <v>5154</v>
      </c>
      <c r="B680" s="29" t="inlineStr">
        <is>
          <t>2019-10-17</t>
        </is>
      </c>
      <c r="C680" s="30">
        <f>HYPERLINK("https://vk.com/wall-1825701_5154", "Открыть пост")</f>
        <v/>
      </c>
      <c r="D680" s="31" t="inlineStr">
        <is>
          <t>Выставки, экскурсии и культурные выходы</t>
        </is>
      </c>
      <c r="E680" s="31" t="inlineStr">
        <is>
          <t>Выставки, экскурсии и культурные выходы; Творческие мастер-классы и художественные студии</t>
        </is>
      </c>
      <c r="F680" s="31" t="inlineStr">
        <is>
          <t>Подопечные фонда «Дети Марии» (общая группа детей и подростков)</t>
        </is>
      </c>
      <c r="G680" s="31" t="inlineStr">
        <is>
          <t>Студия фонда / выездная площадка</t>
        </is>
      </c>
      <c r="H680" s="31" t="inlineStr">
        <is>
          <t>Художественно-прикладные и ремесленные навыки</t>
        </is>
      </c>
      <c r="I680" s="32" t="inlineStr">
        <is>
          <t>По формату занятия</t>
        </is>
      </c>
      <c r="J680" s="31" t="inlineStr">
        <is>
          <t>В ноябре по традиции мы устраиваем большую выставку всего лучшего, что создано за год ребятами в студии. На рисовании для взрослых вчера с художницей Нюсей «собирали» картину про русалочье болото. И фон, и детали для неё нарисовали дети на занятиях, но взрослые тоже захотели не о...</t>
        </is>
      </c>
    </row>
    <row r="681" ht="30" customHeight="1">
      <c r="A681" s="23" t="n">
        <v>5153</v>
      </c>
      <c r="B681" s="24" t="inlineStr">
        <is>
          <t>2019-10-17</t>
        </is>
      </c>
      <c r="C681" s="25">
        <f>HYPERLINK("https://vk.com/wall-1825701_5153", "Открыть пост")</f>
        <v/>
      </c>
      <c r="D681" s="26" t="inlineStr">
        <is>
          <t>Творческие мастер-классы и художественные студии</t>
        </is>
      </c>
      <c r="E681" s="26" t="inlineStr">
        <is>
          <t>Творческие мастер-классы и художественные студии</t>
        </is>
      </c>
      <c r="F681" s="26" t="inlineStr">
        <is>
          <t>Подростки и взрослые с ментальными особенностями и ОВЗ (ПНИ / Социальные дома)</t>
        </is>
      </c>
      <c r="G681" s="26" t="inlineStr">
        <is>
          <t>ПНИ №16</t>
        </is>
      </c>
      <c r="H681" s="26" t="inlineStr">
        <is>
          <t>Художественно-прикладные и ремесленные навыки; Артистические, музыкальные и спортивно-игровые навыки; Педагогические и наставнические навыки (кулинария, быт, учёба)</t>
        </is>
      </c>
      <c r="I681" s="27" t="inlineStr">
        <is>
          <t>По формату занятия</t>
        </is>
      </c>
      <c r="J681" s="26" t="inlineStr">
        <is>
          <t>По средам в студии на Новинском занимаются ребята из ПНИ №16. Педагог Вера поделилась впечатлением от занятия: «Сегодня ребята познакомились с новым керамистом. Ислом — настоящий волшебник: некоторые ребята переживали, что у них не получится, но он помог им разобраться, и в итоге...</t>
        </is>
      </c>
    </row>
    <row r="682" ht="30" customHeight="1">
      <c r="A682" s="28" t="n">
        <v>5149</v>
      </c>
      <c r="B682" s="29" t="inlineStr">
        <is>
          <t>2019-10-16</t>
        </is>
      </c>
      <c r="C682" s="30">
        <f>HYPERLINK("https://vk.com/wall-1825701_5149", "Открыть пост")</f>
        <v/>
      </c>
      <c r="D682" s="31" t="inlineStr">
        <is>
          <t>Творческие мастер-классы и художественные студии</t>
        </is>
      </c>
      <c r="E682" s="31" t="inlineStr">
        <is>
          <t>Творческие мастер-классы и художественные студии</t>
        </is>
      </c>
      <c r="F682" s="31" t="inlineStr">
        <is>
          <t>Подопечные фонда «Дети Марии» (общая группа детей и подростков)</t>
        </is>
      </c>
      <c r="G682" s="31" t="inlineStr">
        <is>
          <t>Студия фонда / выездная площадка</t>
        </is>
      </c>
      <c r="H682" s="31" t="inlineStr">
        <is>
          <t>Художественно-прикладные и ремесленные навыки</t>
        </is>
      </c>
      <c r="I682" s="32" t="inlineStr">
        <is>
          <t>По формату занятия</t>
        </is>
      </c>
      <c r="J682" s="31" t="inlineStr">
        <is>
          <t>В студии на Новинском во вторник, среду и пятницу с 15:00 проходят бесплатные творческие занятия с детьми жителей Пресненского района. Осваиваем керамику: под руководством педагога дети учатся работать с глиной, узнают техники лепки и росписи изделий. Вот вчера, например, делали ...</t>
        </is>
      </c>
    </row>
    <row r="683" ht="30" customHeight="1">
      <c r="A683" s="23" t="n">
        <v>5142</v>
      </c>
      <c r="B683" s="24" t="inlineStr">
        <is>
          <t>2019-10-16</t>
        </is>
      </c>
      <c r="C683" s="25">
        <f>HYPERLINK("https://vk.com/wall-1825701_5142", "Открыть пост")</f>
        <v/>
      </c>
      <c r="D683" s="26" t="inlineStr">
        <is>
          <t>Творческие мастер-классы и художественные студии</t>
        </is>
      </c>
      <c r="E683" s="26" t="inlineStr">
        <is>
          <t>Творческие мастер-классы и художественные студии; Спектакли, концерты и музыкально-театральные занятия; Спортивные и активные мероприятия</t>
        </is>
      </c>
      <c r="F683" s="26" t="inlineStr">
        <is>
          <t>Подростки и взрослые с ментальными особенностями и ОВЗ (ПНИ / Социальные дома); Воспитанники ЦССВ, ДДИ и детских домов-интернатов</t>
        </is>
      </c>
      <c r="G683" s="26" t="inlineStr">
        <is>
          <t>ЦССВ «Юнона»</t>
        </is>
      </c>
      <c r="H683"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t>
        </is>
      </c>
      <c r="I683" s="27" t="inlineStr">
        <is>
          <t>Да (в тексте)</t>
        </is>
      </c>
      <c r="J683" s="26" t="inlineStr">
        <is>
          <t>Вчера на Дмитровке были дети с особенностями развития из ЦССВ «Юнона». В этот раз приехали трое ребят с педагогом, поэтому педагоги работали с детьми индивидуально. Любовь Ивановна провела музыкальное занятие — учили ритмические композиции, пели под аккомпанемент фортепиано и даж...</t>
        </is>
      </c>
    </row>
    <row r="684" ht="30" customHeight="1">
      <c r="A684" s="28" t="n">
        <v>5140</v>
      </c>
      <c r="B684" s="29" t="inlineStr">
        <is>
          <t>2019-10-13</t>
        </is>
      </c>
      <c r="C684" s="30">
        <f>HYPERLINK("https://vk.com/wall-1825701_5140", "Открыть пост")</f>
        <v/>
      </c>
      <c r="D684" s="31" t="inlineStr">
        <is>
          <t>Творческие мастер-классы и художественные студии</t>
        </is>
      </c>
      <c r="E684" s="31" t="inlineStr">
        <is>
          <t>Творческие мастер-классы и художественные студии</t>
        </is>
      </c>
      <c r="F684" s="31" t="inlineStr">
        <is>
          <t>Подопечные фонда «Дети Марии» (общая группа детей и подростков)</t>
        </is>
      </c>
      <c r="G684" s="31" t="inlineStr">
        <is>
          <t>Студия фонда / выездная площадка</t>
        </is>
      </c>
      <c r="H684" s="31" t="inlineStr">
        <is>
          <t>Коммуникативные навыки, эмпатия и тьюторское сопровождение</t>
        </is>
      </c>
      <c r="I684" s="32" t="inlineStr">
        <is>
          <t>По формату занятия</t>
        </is>
      </c>
      <c r="J684" s="31" t="inlineStr">
        <is>
          <t>Интересная история! Вчера в отделение неврологии Института педиатрии пришла проводить свои занятия по арт-терапии Анастасия Фриева. И встретила там девочку Катю с мамой, которые лежали в палате 9 детской больницы, где мы летающие острова на стене нарисовали) И они сразу Настю узн...</t>
        </is>
      </c>
    </row>
    <row r="685" ht="30" customHeight="1">
      <c r="A685" s="23" t="n">
        <v>5138</v>
      </c>
      <c r="B685" s="24" t="inlineStr">
        <is>
          <t>2019-10-13</t>
        </is>
      </c>
      <c r="C685" s="25">
        <f>HYPERLINK("https://vk.com/wall-1825701_5138", "Открыть пост")</f>
        <v/>
      </c>
      <c r="D685" s="26" t="inlineStr">
        <is>
          <t>Творческие мастер-классы и художественные студии</t>
        </is>
      </c>
      <c r="E685" s="26" t="inlineStr">
        <is>
          <t>Творческие мастер-классы и художественные студии</t>
        </is>
      </c>
      <c r="F685" s="26" t="inlineStr">
        <is>
          <t>Подростки и взрослые с ментальными особенностями и ОВЗ (ПНИ / Социальные дома)</t>
        </is>
      </c>
      <c r="G685" s="26" t="inlineStr">
        <is>
          <t>Студия фонда / выездная площадка</t>
        </is>
      </c>
      <c r="H685" s="26" t="inlineStr">
        <is>
          <t>Художественно-прикладные и ремесленные навыки</t>
        </is>
      </c>
      <c r="I685" s="27" t="inlineStr">
        <is>
          <t>По формату занятия</t>
        </is>
      </c>
      <c r="J685" s="26" t="inlineStr">
        <is>
          <t>Ясин: «Вчера мы собрались небольшой компанией рисовать и лепить в 16 ПНИ. Было тихо и уютно... совсем как у котят, которые лежали на подоконнике в одном из коридоров интерната» 🐱☺•</t>
        </is>
      </c>
    </row>
    <row r="686" ht="30" customHeight="1">
      <c r="A686" s="28" t="n">
        <v>5132</v>
      </c>
      <c r="B686" s="29" t="inlineStr">
        <is>
          <t>2019-10-12</t>
        </is>
      </c>
      <c r="C686" s="30">
        <f>HYPERLINK("https://vk.com/wall-1825701_5132", "Открыть пост")</f>
        <v/>
      </c>
      <c r="D686" s="31" t="inlineStr">
        <is>
          <t>Творческие мастер-классы и художественные студии</t>
        </is>
      </c>
      <c r="E686" s="31" t="inlineStr">
        <is>
          <t>Творческие мастер-классы и художественные студии</t>
        </is>
      </c>
      <c r="F686" s="31" t="inlineStr">
        <is>
          <t>Подростки и взрослые с ментальными особенностями и ОВЗ (ПНИ / Социальные дома)</t>
        </is>
      </c>
      <c r="G686" s="31" t="inlineStr">
        <is>
          <t>ПНИ №16</t>
        </is>
      </c>
      <c r="H686" s="31" t="inlineStr">
        <is>
          <t>Художественно-прикладные и ремесленные навыки; Артистические, музыкальные и спортивно-игровые навыки</t>
        </is>
      </c>
      <c r="I686" s="32" t="inlineStr">
        <is>
          <t>По формату занятия</t>
        </is>
      </c>
      <c r="J686" s="31" t="inlineStr">
        <is>
          <t>Сегодняшнее занятия в ребятами в ПНИ №16. Не смогли найти синтезатор, поэтому наш музыкант Любовь Ивановна стала художником! Она помогала рисовать Ване Савельеву виды саванны. Андрей Коряпкин продолжал рисовать картину, вдохновляясь творчеством Хундертвассера. Валя Ляховская рисо...</t>
        </is>
      </c>
    </row>
    <row r="687" ht="30" customHeight="1">
      <c r="A687" s="23" t="n">
        <v>5129</v>
      </c>
      <c r="B687" s="24" t="inlineStr">
        <is>
          <t>2019-10-12</t>
        </is>
      </c>
      <c r="C687" s="25">
        <f>HYPERLINK("https://vk.com/wall-1825701_5129", "Открыть пост")</f>
        <v/>
      </c>
      <c r="D687" s="26" t="inlineStr">
        <is>
          <t>Творческие мастер-классы и художественные студии</t>
        </is>
      </c>
      <c r="E687" s="26" t="inlineStr">
        <is>
          <t>Творческие мастер-классы и художественные студии</t>
        </is>
      </c>
      <c r="F687" s="26" t="inlineStr">
        <is>
          <t>Подопечные фонда «Дети Марии» (общая группа детей и подростков)</t>
        </is>
      </c>
      <c r="G687" s="26" t="inlineStr">
        <is>
          <t>Студия фонда / выездная площадка</t>
        </is>
      </c>
      <c r="H687" s="26" t="inlineStr">
        <is>
          <t>Художественно-прикладные и ремесленные навыки; Педагогические и наставнические навыки (кулинария, быт, учёба)</t>
        </is>
      </c>
      <c r="I687" s="27" t="inlineStr">
        <is>
          <t>По формату занятия</t>
        </is>
      </c>
      <c r="J687" s="26" t="inlineStr">
        <is>
          <t>В студии на Новинском по пятницам ребята из школы Св.Георгия. Каждый нашел занятие по душе. Можно было учиться делать вазу на гончарном кругу, лепить из глины тыквы 🎃 А можно — поучаствовать в новом большом проекте, создании карты мира 🌍</t>
        </is>
      </c>
    </row>
    <row r="688" ht="30" customHeight="1">
      <c r="A688" s="28" t="n">
        <v>5126</v>
      </c>
      <c r="B688" s="29" t="inlineStr">
        <is>
          <t>2019-10-11</t>
        </is>
      </c>
      <c r="C688" s="30">
        <f>HYPERLINK("https://vk.com/wall-1825701_5126", "Открыть пост")</f>
        <v/>
      </c>
      <c r="D688" s="31" t="inlineStr">
        <is>
          <t>Творческие мастер-классы и художественные студии</t>
        </is>
      </c>
      <c r="E688" s="31" t="inlineStr">
        <is>
          <t>Творческие мастер-классы и художественные студии</t>
        </is>
      </c>
      <c r="F688" s="31" t="inlineStr">
        <is>
          <t>Подопечные фонда «Дети Марии» (общая группа детей и подростков)</t>
        </is>
      </c>
      <c r="G688" s="31" t="inlineStr">
        <is>
          <t>Студия фонда / выездная площадка</t>
        </is>
      </c>
      <c r="H688" s="31" t="inlineStr">
        <is>
          <t>Коммуникативные навыки, эмпатия и тьюторское сопровождение</t>
        </is>
      </c>
      <c r="I688" s="32" t="inlineStr">
        <is>
          <t>По формату занятия</t>
        </is>
      </c>
      <c r="J688" s="31" t="inlineStr">
        <is>
          <t>Опять аншлаг у Нюси Митиной в отделении нефрологии Института педиатрии. БФ «Абсолют-Помощь» финансирует занятия наших художников по арт-терапии с ребятами, проходящими лечение в шести отделениях больницы. Спасибо за возможность участвовать в таком нужном проекте!</t>
        </is>
      </c>
    </row>
    <row r="689" ht="30" customHeight="1">
      <c r="A689" s="23" t="n">
        <v>5123</v>
      </c>
      <c r="B689" s="24" t="inlineStr">
        <is>
          <t>2019-10-10</t>
        </is>
      </c>
      <c r="C689" s="25">
        <f>HYPERLINK("https://vk.com/wall-1825701_5123", "Открыть пост")</f>
        <v/>
      </c>
      <c r="D689" s="26" t="inlineStr">
        <is>
          <t>Творческие мастер-классы и художественные студии</t>
        </is>
      </c>
      <c r="E689" s="26" t="inlineStr">
        <is>
          <t>Творческие мастер-классы и художественные студии</t>
        </is>
      </c>
      <c r="F689" s="26" t="inlineStr">
        <is>
          <t>Подопечные фонда «Дети Марии» (общая группа детей и подростков)</t>
        </is>
      </c>
      <c r="G689" s="26" t="inlineStr">
        <is>
          <t>Студия фонда / выездная площадка</t>
        </is>
      </c>
      <c r="H689" s="26" t="inlineStr">
        <is>
          <t>Художественно-прикладные и ремесленные навыки</t>
        </is>
      </c>
      <c r="I689" s="27" t="inlineStr">
        <is>
          <t>По формату занятия</t>
        </is>
      </c>
      <c r="J689" s="26" t="inlineStr">
        <is>
          <t>Обитатели микро-био-эко-картины размножаются. Но для заселения всей территории их ещё недостаточно. Будем продолжать в следующую среду на занятиях рисованием для взрослых с Нюсей Митиной.</t>
        </is>
      </c>
    </row>
    <row r="690" ht="30" customHeight="1">
      <c r="A690" s="28" t="n">
        <v>5122</v>
      </c>
      <c r="B690" s="29" t="inlineStr">
        <is>
          <t>2019-10-10</t>
        </is>
      </c>
      <c r="C690" s="30">
        <f>HYPERLINK("https://vk.com/wall-1825701_5122", "Открыть пост")</f>
        <v/>
      </c>
      <c r="D690" s="31" t="inlineStr">
        <is>
          <t>Кулинарные, образовательные и социально-бытовые занятия</t>
        </is>
      </c>
      <c r="E690" s="31" t="inlineStr">
        <is>
          <t>Кулинарные, образовательные и социально-бытовые занятия; Творческие мастер-классы и художественные студии</t>
        </is>
      </c>
      <c r="F690" s="31" t="inlineStr">
        <is>
          <t>Подопечные фонда «Дети Марии» (общая группа детей и подростков)</t>
        </is>
      </c>
      <c r="G690" s="31" t="inlineStr">
        <is>
          <t>Студия фонда / выездная площадка</t>
        </is>
      </c>
      <c r="H690" s="31" t="inlineStr">
        <is>
          <t>Педагогические и наставнические навыки (кулинария, быт, учёба)</t>
        </is>
      </c>
      <c r="I690" s="32" t="inlineStr">
        <is>
          <t>По формату занятия</t>
        </is>
      </c>
      <c r="J690" s="31" t="inlineStr">
        <is>
          <t>Какой самый прикольный торт на день рождения был у вас? Анна Митина получила торт из яиц) Почему? Фирменные птички и гнезда нашей художницы украшают стены не одной московской больницы! А ещё на кулинарном мастер-классе вчера для именинницы приготовили штук пять салатов, два из ко...</t>
        </is>
      </c>
    </row>
    <row r="691" ht="30" customHeight="1">
      <c r="A691" s="23" t="n">
        <v>5120</v>
      </c>
      <c r="B691" s="24" t="inlineStr">
        <is>
          <t>2019-10-09</t>
        </is>
      </c>
      <c r="C691" s="25">
        <f>HYPERLINK("https://vk.com/wall-1825701_5120", "Открыть пост")</f>
        <v/>
      </c>
      <c r="D691" s="26" t="inlineStr">
        <is>
          <t>Творческие мастер-классы и художественные студии</t>
        </is>
      </c>
      <c r="E691" s="26" t="inlineStr">
        <is>
          <t>Творческие мастер-классы и художественные студии</t>
        </is>
      </c>
      <c r="F691" s="26" t="inlineStr">
        <is>
          <t>Подопечные фонда «Дети Марии» (общая группа детей и подростков)</t>
        </is>
      </c>
      <c r="G691" s="26" t="inlineStr">
        <is>
          <t>Студия фонда / выездная площадка</t>
        </is>
      </c>
      <c r="H691" s="26" t="inlineStr">
        <is>
          <t>Художественно-прикладные и ремесленные навыки; Коммуникативные навыки, эмпатия и тьюторское сопровождение; Организационные, ивент- и ярмарочные навыки</t>
        </is>
      </c>
      <c r="I691" s="27" t="inlineStr">
        <is>
          <t>По формату занятия</t>
        </is>
      </c>
      <c r="J691" s="26" t="inlineStr">
        <is>
          <t>В воскресенье в студию приходят заниматься дети из автономной некоммерческой организации «Дети». Эти малыши проходят реабилитацию после тяжелого лечения онкологических заболеваний, и, как правило, это связано с ограничением контактов. Творческие занятия проходят в семейном формат...</t>
        </is>
      </c>
    </row>
    <row r="692" ht="30" customHeight="1">
      <c r="A692" s="28" t="n">
        <v>5115</v>
      </c>
      <c r="B692" s="29" t="inlineStr">
        <is>
          <t>2019-10-09</t>
        </is>
      </c>
      <c r="C692" s="30">
        <f>HYPERLINK("https://vk.com/wall-1825701_5115", "Открыть пост")</f>
        <v/>
      </c>
      <c r="D692" s="31" t="inlineStr">
        <is>
          <t>Кулинарные, образовательные и социально-бытовые занятия</t>
        </is>
      </c>
      <c r="E692" s="31" t="inlineStr">
        <is>
          <t>Кулинарные, образовательные и социально-бытовые занятия</t>
        </is>
      </c>
      <c r="F692" s="31" t="inlineStr">
        <is>
          <t>Подопечные фонда «Дети Марии» (общая группа детей и подростков)</t>
        </is>
      </c>
      <c r="G692" s="31" t="inlineStr">
        <is>
          <t>Студия фонда / выездная площадка</t>
        </is>
      </c>
      <c r="H692" s="31" t="inlineStr">
        <is>
          <t>Педагогические и наставнические навыки (кулинария, быт, учёба)</t>
        </is>
      </c>
      <c r="I692" s="32" t="inlineStr">
        <is>
          <t>По формату занятия</t>
        </is>
      </c>
      <c r="J692" s="31" t="inlineStr">
        <is>
          <t>В уютной атмосфере приятно заниматься. Продолжаются кружки занимательной математики и английского языка в студии на Новинском. Приходите к нам по вторникам!) 📌 Новинский бульвар, 25-27.</t>
        </is>
      </c>
    </row>
    <row r="693" ht="30" customHeight="1">
      <c r="A693" s="23" t="n">
        <v>5111</v>
      </c>
      <c r="B693" s="24" t="inlineStr">
        <is>
          <t>2019-10-09</t>
        </is>
      </c>
      <c r="C693" s="25">
        <f>HYPERLINK("https://vk.com/wall-1825701_5111", "Открыть пост")</f>
        <v/>
      </c>
      <c r="D693" s="26" t="inlineStr">
        <is>
          <t>Творческие мастер-классы и художественные студии</t>
        </is>
      </c>
      <c r="E693" s="26" t="inlineStr">
        <is>
          <t>Творческие мастер-классы и художественные студии; Спектакли, концерты и музыкально-театральные занятия</t>
        </is>
      </c>
      <c r="F693" s="26" t="inlineStr">
        <is>
          <t>Воспитанники ЦССВ, ДДИ и детских домов-интернатов</t>
        </is>
      </c>
      <c r="G693" s="26" t="inlineStr">
        <is>
          <t>ЦССВ «Юнона»</t>
        </is>
      </c>
      <c r="H693" s="26" t="inlineStr">
        <is>
          <t>Художественно-прикладные и ремесленные навыки; Артистические, музыкальные и спортивно-игровые навыки</t>
        </is>
      </c>
      <c r="I693" s="27" t="inlineStr">
        <is>
          <t>По формату занятия</t>
        </is>
      </c>
      <c r="J693" s="26" t="inlineStr">
        <is>
          <t>Во вторник в студии на Дмитровке занятия с детьми из ЦССВ «Юнона». Пели песни, лепили и рисовали — продолжали наш творческий путь 📍 Педагог Анна Андреева с Сашей Быковым читали и писали. Саша не разговаривает, но знает все буквы, умеет и любит читать. А особенно он любит, когда е...</t>
        </is>
      </c>
    </row>
    <row r="694" ht="30" customHeight="1">
      <c r="A694" s="28" t="n">
        <v>5110</v>
      </c>
      <c r="B694" s="29" t="inlineStr">
        <is>
          <t>2019-10-09</t>
        </is>
      </c>
      <c r="C694" s="30">
        <f>HYPERLINK("https://vk.com/wall-1825701_5110", "Открыть пост")</f>
        <v/>
      </c>
      <c r="D694" s="31" t="inlineStr">
        <is>
          <t>Творческие мастер-классы и художественные студии</t>
        </is>
      </c>
      <c r="E694" s="31" t="inlineStr">
        <is>
          <t>Творческие мастер-классы и художественные студии</t>
        </is>
      </c>
      <c r="F694" s="31" t="inlineStr">
        <is>
          <t>Подопечные фонда «Дети Марии» (общая группа детей и подростков)</t>
        </is>
      </c>
      <c r="G694" s="31" t="inlineStr">
        <is>
          <t>Студия фонда / выездная площадка</t>
        </is>
      </c>
      <c r="H694" s="31" t="inlineStr">
        <is>
          <t>Художественно-прикладные и ремесленные навыки</t>
        </is>
      </c>
      <c r="I694" s="32" t="inlineStr">
        <is>
          <t>По формату занятия</t>
        </is>
      </c>
      <c r="J694" s="31" t="inlineStr">
        <is>
          <t>На занятии керамикой для взрослых в понедельник прошедшие обжиг изделия обретали цвет. Процесс завораживает и результат — всегда тайна. Которая раскроется, когда поделку обожгут ещё раз. Приглашаем в студию на Дмитровском переулке, 2/10 приобщиться к тайне, своими руками ощутить ...</t>
        </is>
      </c>
    </row>
    <row r="695" ht="30" customHeight="1">
      <c r="A695" s="23" t="n">
        <v>5108</v>
      </c>
      <c r="B695" s="24" t="inlineStr">
        <is>
          <t>2019-10-07</t>
        </is>
      </c>
      <c r="C695" s="25">
        <f>HYPERLINK("https://vk.com/wall-1825701_5108", "Открыть пост")</f>
        <v/>
      </c>
      <c r="D695" s="26" t="inlineStr">
        <is>
          <t>Творческие мастер-классы и художественные студии</t>
        </is>
      </c>
      <c r="E695" s="26" t="inlineStr">
        <is>
          <t>Творческие мастер-классы и художественные студии</t>
        </is>
      </c>
      <c r="F695" s="26" t="inlineStr">
        <is>
          <t>Воспитанники ЦССВ, ДДИ и детских домов-интернатов</t>
        </is>
      </c>
      <c r="G695" s="26" t="inlineStr">
        <is>
          <t>ТВЕРСКАЯ 15</t>
        </is>
      </c>
      <c r="H695" s="26"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t>
        </is>
      </c>
      <c r="I695" s="27" t="inlineStr">
        <is>
          <t>По формату занятия</t>
        </is>
      </c>
      <c r="J695" s="26" t="inlineStr">
        <is>
          <t>Дети из Ресурсного центра «Спутник» и дети из семей занимались на Тверской 15 в субботу. Интересные дела нашлись для каждого: Юля Клечина учила мокрому валянию, Лёша Строев вёл керамику, где можно было самому сделать посуду и домики, с Аней Андреевой рисовали на стене, а с Олей Ш...</t>
        </is>
      </c>
    </row>
    <row r="696" ht="30" customHeight="1">
      <c r="A696" s="28" t="n">
        <v>5105</v>
      </c>
      <c r="B696" s="29" t="inlineStr">
        <is>
          <t>2019-10-07</t>
        </is>
      </c>
      <c r="C696" s="30">
        <f>HYPERLINK("https://vk.com/wall-1825701_5105", "Открыть пост")</f>
        <v/>
      </c>
      <c r="D696" s="31" t="inlineStr">
        <is>
          <t>Творческие мастер-классы и художественные студии</t>
        </is>
      </c>
      <c r="E696" s="31" t="inlineStr">
        <is>
          <t>Творческие мастер-классы и художественные студии</t>
        </is>
      </c>
      <c r="F696" s="31" t="inlineStr">
        <is>
          <t>Подопечные фонда «Дети Марии» (общая группа детей и подростков)</t>
        </is>
      </c>
      <c r="G696" s="31" t="inlineStr">
        <is>
          <t>Студия фонда / выездная площадка</t>
        </is>
      </c>
      <c r="H696" s="31" t="inlineStr">
        <is>
          <t>Художественно-прикладные и ремесленные навыки</t>
        </is>
      </c>
      <c r="I696" s="32" t="inlineStr">
        <is>
          <t>По формату занятия</t>
        </is>
      </c>
      <c r="J696" s="31" t="inlineStr">
        <is>
          <t>Воскресная керамика получилась не совсем для взрослых: с нами занимались дети, расписывали изразцы. Все — и взрослые, и маленькие керамисты — большие молодцы! Несмотря на плохую погоду пришли и поучаствовали в творческом процессе. И мы рады приветствовать новую участницу — Виктор...</t>
        </is>
      </c>
    </row>
    <row r="697" ht="30" customHeight="1">
      <c r="A697" s="23" t="n">
        <v>5100</v>
      </c>
      <c r="B697" s="24" t="inlineStr">
        <is>
          <t>2019-10-06</t>
        </is>
      </c>
      <c r="C697" s="25">
        <f>HYPERLINK("https://vk.com/wall-1825701_5100", "Открыть пост")</f>
        <v/>
      </c>
      <c r="D697" s="26" t="inlineStr">
        <is>
          <t>Ярмарки, фестивали и благотворительные базары</t>
        </is>
      </c>
      <c r="E697" s="26" t="inlineStr">
        <is>
          <t>Ярмарки, фестивали и благотворительные базары</t>
        </is>
      </c>
      <c r="F697" s="26" t="inlineStr">
        <is>
          <t>Подопечные фонда «Дети Марии» (общая группа детей и подростков)</t>
        </is>
      </c>
      <c r="G697" s="26" t="inlineStr">
        <is>
          <t>Студия фонда / выездная площадка</t>
        </is>
      </c>
      <c r="H697" s="26" t="inlineStr">
        <is>
          <t>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t>
        </is>
      </c>
      <c r="I697" s="27" t="inlineStr">
        <is>
          <t>По формату занятия</t>
        </is>
      </c>
      <c r="J697" s="26" t="inlineStr">
        <is>
          <t>В воскресенье мы участвовали в благотворительной ярмарке в Центре лечебной педагогики в Коньково. Наш сбор 18500 рублей. Спасибо всем, кто любит и ценит творчество наших ребят и поддерживает нашу работу!</t>
        </is>
      </c>
    </row>
    <row r="698" ht="30" customHeight="1">
      <c r="A698" s="28" t="n">
        <v>5099</v>
      </c>
      <c r="B698" s="29" t="inlineStr">
        <is>
          <t>2019-10-06</t>
        </is>
      </c>
      <c r="C698" s="30">
        <f>HYPERLINK("https://vk.com/wall-1825701_5099", "Открыть пост")</f>
        <v/>
      </c>
      <c r="D698" s="31" t="inlineStr">
        <is>
          <t>Творческие мастер-классы и художественные студии</t>
        </is>
      </c>
      <c r="E698" s="31" t="inlineStr">
        <is>
          <t>Творческие мастер-классы и художественные студии; Кулинарные, образовательные и социально-бытовые занятия; Праздники, дни рождения и клубные встречи</t>
        </is>
      </c>
      <c r="F698" s="31" t="inlineStr">
        <is>
          <t>Подростки и взрослые с ментальными особенностями и ОВЗ (ПНИ / Социальные дома)</t>
        </is>
      </c>
      <c r="G698" s="31" t="inlineStr">
        <is>
          <t>Студия фонда / выездная площадка</t>
        </is>
      </c>
      <c r="H698" s="31" t="inlineStr">
        <is>
          <t>Художественно-прикладные и ремесленные навыки; Педагогические и наставнические навыки (кулинария, быт, учёба); Организационные, ивент- и ярмарочные навыки; Мобильность, выездное сопровождение и автоволонтёрство</t>
        </is>
      </c>
      <c r="I698" s="32" t="inlineStr">
        <is>
          <t>Да (в тексте)</t>
        </is>
      </c>
      <c r="J698" s="31" t="inlineStr">
        <is>
          <t>В субботу в студии занималась группа ребят из 16-го ПНИ. С педагогом Ириной Рокотниной расписывали керамику, художницей Анной Митиной рисовали детали к большой картине. Очень здорово, что в занятии участвовали наши друзья-волонтёры: Аля рисовала вместе с ребятами транспорт будуще...</t>
        </is>
      </c>
    </row>
    <row r="699" ht="30" customHeight="1">
      <c r="A699" s="23" t="n">
        <v>5094</v>
      </c>
      <c r="B699" s="24" t="inlineStr">
        <is>
          <t>2019-10-05</t>
        </is>
      </c>
      <c r="C699" s="25">
        <f>HYPERLINK("https://vk.com/wall-1825701_5094", "Открыть пост")</f>
        <v/>
      </c>
      <c r="D699" s="26" t="inlineStr">
        <is>
          <t>Ярмарки, фестивали и благотворительные базары</t>
        </is>
      </c>
      <c r="E699" s="26" t="inlineStr">
        <is>
          <t>Ярмарки, фестивали и благотворительные базары; Праздники, дни рождения и клубные встречи</t>
        </is>
      </c>
      <c r="F699" s="26" t="inlineStr">
        <is>
          <t>Подопечные фонда «Дети Марии» (общая группа детей и подростков)</t>
        </is>
      </c>
      <c r="G699" s="26" t="inlineStr">
        <is>
          <t>Студия фонда / выездная площадка</t>
        </is>
      </c>
      <c r="H699" s="26" t="inlineStr">
        <is>
          <t>Артистические, музыкальные и спортивно-игровые навыки; Организационные, ивент- и ярмарочные навыки</t>
        </is>
      </c>
      <c r="I699" s="27" t="inlineStr">
        <is>
          <t>Да (в тексте)</t>
        </is>
      </c>
      <c r="J699" s="26" t="inlineStr">
        <is>
          <t>У наших друзей —Центра лечебной педагогики — завтра юбилей — 30 лет! Поздравляем всех сотрудников, волонтёров и подопечных ЦЛП и приглашаем на празднование, мы тоже примем участие в ярмарке! До встречи завтра в Коньково.</t>
        </is>
      </c>
    </row>
    <row r="700" ht="30" customHeight="1">
      <c r="A700" s="28" t="n">
        <v>5093</v>
      </c>
      <c r="B700" s="29" t="inlineStr">
        <is>
          <t>2019-10-05</t>
        </is>
      </c>
      <c r="C700" s="30">
        <f>HYPERLINK("https://vk.com/wall-1825701_5093", "Открыть пост")</f>
        <v/>
      </c>
      <c r="D700" s="31" t="inlineStr">
        <is>
          <t>Творческие мастер-классы и художественные студии</t>
        </is>
      </c>
      <c r="E700" s="31" t="inlineStr">
        <is>
          <t>Творческие мастер-классы и художественные студии</t>
        </is>
      </c>
      <c r="F700" s="31" t="inlineStr">
        <is>
          <t>Подопечные фонда «Дети Марии» (общая группа детей и подростков)</t>
        </is>
      </c>
      <c r="G700" s="31" t="inlineStr">
        <is>
          <t>Студия фонда / выездная площадка</t>
        </is>
      </c>
      <c r="H700" s="31" t="inlineStr">
        <is>
          <t>Художественно-прикладные и ремесленные навыки</t>
        </is>
      </c>
      <c r="I700" s="32" t="inlineStr">
        <is>
          <t>По формату занятия</t>
        </is>
      </c>
      <c r="J700" s="31" t="inlineStr">
        <is>
          <t>В студии на Новинском вчера были дети из школы Святого Георгия, где преподаёт наш сотрудник Ясин. С педагогом Нюсей Митиной рисовали ботанические этюды ☘• А еще открыла свои двери Мастерская гончарного искусства и керамики! Приходите в гости! :))</t>
        </is>
      </c>
    </row>
    <row r="701" ht="30" customHeight="1">
      <c r="A701" s="23" t="n">
        <v>5082</v>
      </c>
      <c r="B701" s="24" t="inlineStr">
        <is>
          <t>2019-10-04</t>
        </is>
      </c>
      <c r="C701" s="25">
        <f>HYPERLINK("https://vk.com/wall-1825701_5082", "Открыть пост")</f>
        <v/>
      </c>
      <c r="D701" s="26" t="inlineStr">
        <is>
          <t>Творческие мастер-классы и художественные студии</t>
        </is>
      </c>
      <c r="E701" s="26" t="inlineStr">
        <is>
          <t>Творческие мастер-классы и художественные студии</t>
        </is>
      </c>
      <c r="F701" s="26" t="inlineStr">
        <is>
          <t>Подопечные фонда «Дети Марии» (общая группа детей и подростков)</t>
        </is>
      </c>
      <c r="G701" s="26" t="inlineStr">
        <is>
          <t>Студия фонда / выездная площадка</t>
        </is>
      </c>
      <c r="H701" s="26" t="inlineStr">
        <is>
          <t>Коммуникативные навыки, эмпатия и тьюторское сопровождение</t>
        </is>
      </c>
      <c r="I701" s="27" t="inlineStr">
        <is>
          <t>По формату занятия</t>
        </is>
      </c>
      <c r="J701" s="26" t="inlineStr">
        <is>
          <t>Как он всё успевает? Утром преподаёт в школе, днем ведёт мастер-класс в интернате, вечером в студии — индивидуальные занятия. Ясин может забыть поесть, но никогда не забудет напомнить своим ученикам про их задания 🤪 И они его любят)</t>
        </is>
      </c>
    </row>
    <row r="702" ht="30" customHeight="1">
      <c r="A702" s="28" t="n">
        <v>5079</v>
      </c>
      <c r="B702" s="29" t="inlineStr">
        <is>
          <t>2019-10-04</t>
        </is>
      </c>
      <c r="C702" s="30">
        <f>HYPERLINK("https://vk.com/wall-1825701_5079", "Открыть пост")</f>
        <v/>
      </c>
      <c r="D702" s="31" t="inlineStr">
        <is>
          <t>Творческие мастер-классы и художественные студии</t>
        </is>
      </c>
      <c r="E702" s="31" t="inlineStr">
        <is>
          <t>Творческие мастер-классы и художественные студии</t>
        </is>
      </c>
      <c r="F702" s="31" t="inlineStr">
        <is>
          <t>Подопечные фонда «Дети Марии» (общая группа детей и подростков)</t>
        </is>
      </c>
      <c r="G702" s="31" t="inlineStr">
        <is>
          <t>Студия фонда / выездная площадка</t>
        </is>
      </c>
      <c r="H702" s="31" t="inlineStr">
        <is>
          <t>Художественно-прикладные и ремесленные навыки</t>
        </is>
      </c>
      <c r="I702" s="32" t="inlineStr">
        <is>
          <t>По формату занятия</t>
        </is>
      </c>
      <c r="J702" s="31" t="inlineStr">
        <is>
          <t>В среду на занятиях рисованием для взрослых с Нюсей Митиной продолжали в подробностях рисовать обитателей микромира.</t>
        </is>
      </c>
    </row>
    <row r="703" ht="30" customHeight="1">
      <c r="A703" s="23" t="n">
        <v>5078</v>
      </c>
      <c r="B703" s="24" t="inlineStr">
        <is>
          <t>2019-10-03</t>
        </is>
      </c>
      <c r="C703" s="25">
        <f>HYPERLINK("https://vk.com/wall-1825701_5078", "Открыть пост")</f>
        <v/>
      </c>
      <c r="D703" s="26" t="inlineStr">
        <is>
          <t>Творческие мастер-классы и художественные студии</t>
        </is>
      </c>
      <c r="E703" s="26" t="inlineStr">
        <is>
          <t>Творческие мастер-классы и художественные студии</t>
        </is>
      </c>
      <c r="F703" s="26" t="inlineStr">
        <is>
          <t>Подростки и взрослые с ментальными особенностями и ОВЗ (ПНИ / Социальные дома)</t>
        </is>
      </c>
      <c r="G703" s="26" t="inlineStr">
        <is>
          <t>Студия фонда / выездная площадка</t>
        </is>
      </c>
      <c r="H703" s="26" t="inlineStr">
        <is>
          <t>Художественно-прикладные и ремесленные навыки; Коммуникативные навыки, эмпатия и тьюторское сопровождение; Мобильность, выездное сопровождение и автоволонтёрство</t>
        </is>
      </c>
      <c r="I703" s="27" t="inlineStr">
        <is>
          <t>По формату занятия</t>
        </is>
      </c>
      <c r="J703" s="26" t="inlineStr">
        <is>
          <t>Сегодня погода была шикарная, поэтому ребята из ПНИ 16 с педагогами Верой и Любовью Ивановной решили не сидеть в студии на Дмитровке и отправились гулять. На прогулке ребята познакомились с достопримечательностями на улице Петровка, посетили Высоко-Петровский монастырь и узнали о...</t>
        </is>
      </c>
    </row>
    <row r="704" ht="30" customHeight="1">
      <c r="A704" s="28" t="n">
        <v>5074</v>
      </c>
      <c r="B704" s="29" t="inlineStr">
        <is>
          <t>2019-10-03</t>
        </is>
      </c>
      <c r="C704" s="30">
        <f>HYPERLINK("https://vk.com/wall-1825701_5074", "Открыть пост")</f>
        <v/>
      </c>
      <c r="D704" s="31" t="inlineStr">
        <is>
          <t>Выездные лагеря, дача и сезонные программы</t>
        </is>
      </c>
      <c r="E704" s="31" t="inlineStr">
        <is>
          <t>Выездные лагеря, дача и сезонные программы; Спортивные и активные мероприятия; Творческие мастер-классы и художественные студии</t>
        </is>
      </c>
      <c r="F704" s="31" t="inlineStr">
        <is>
          <t>Подопечные фонда «Дети Марии» (общая группа детей и подростков)</t>
        </is>
      </c>
      <c r="G704" s="31" t="inlineStr">
        <is>
          <t>Студия фонда / выездная площадка</t>
        </is>
      </c>
      <c r="H704" s="31" t="inlineStr">
        <is>
          <t>Художественно-прикладные и ремесленные навыки</t>
        </is>
      </c>
      <c r="I704" s="32" t="inlineStr">
        <is>
          <t>Да (в тексте)</t>
        </is>
      </c>
      <c r="J704" s="31" t="inlineStr">
        <is>
          <t>В среду в загородные мастерские приехали дети из Филимонок. Занятие в керамической мастерской прошло продуктивно: ребята начали лепить новые красивые изделия, расписали витиеватыми узорами кружку, раскрасили улыбчивую керамическую собаку. С волонтером Джастином читали книжку. А п...</t>
        </is>
      </c>
    </row>
    <row r="705" ht="30" customHeight="1">
      <c r="A705" s="23" t="n">
        <v>5073</v>
      </c>
      <c r="B705" s="24" t="inlineStr">
        <is>
          <t>2019-10-03</t>
        </is>
      </c>
      <c r="C705" s="25">
        <f>HYPERLINK("https://vk.com/wall-1825701_5073", "Открыть пост")</f>
        <v/>
      </c>
      <c r="D705" s="26" t="inlineStr">
        <is>
          <t>Творческие мастер-классы и художественные студии</t>
        </is>
      </c>
      <c r="E705" s="26" t="inlineStr">
        <is>
          <t>Творческие мастер-классы и художественные студии</t>
        </is>
      </c>
      <c r="F705" s="26" t="inlineStr">
        <is>
          <t>Воспитанники ЦССВ, ДДИ и детских домов-интернатов</t>
        </is>
      </c>
      <c r="G705" s="26" t="inlineStr">
        <is>
          <t>ЦССВ «Юнона»</t>
        </is>
      </c>
      <c r="H705" s="26" t="inlineStr">
        <is>
          <t>Художественно-прикладные и ремесленные навыки; Артистические, музыкальные и спортивно-игровые навыки; Педагогические и наставнические навыки (кулинария, быт, учёба)</t>
        </is>
      </c>
      <c r="I705" s="27" t="inlineStr">
        <is>
          <t>По формату занятия</t>
        </is>
      </c>
      <c r="J705" s="26" t="inlineStr">
        <is>
          <t>Занятие с детьми из ЦССВ «Юнона» — в среду. На рисовании с Анной Андреевой Женя изобразил Большой театр, Саша чёрными нитками на белой бумаге вышивал натюрморт с цветами, а Илья занимался цветовой импровизацией. Затем с нашим музыкальным педагогом Любовью Ивановной учился писать,...</t>
        </is>
      </c>
    </row>
    <row r="706" ht="30" customHeight="1">
      <c r="A706" s="28" t="n">
        <v>5070</v>
      </c>
      <c r="B706" s="29" t="inlineStr">
        <is>
          <t>2019-10-02</t>
        </is>
      </c>
      <c r="C706" s="30">
        <f>HYPERLINK("https://vk.com/wall-1825701_5070", "Открыть пост")</f>
        <v/>
      </c>
      <c r="D706" s="31" t="inlineStr">
        <is>
          <t>Творческие мастер-классы и художественные студии</t>
        </is>
      </c>
      <c r="E706" s="31" t="inlineStr">
        <is>
          <t>Творческие мастер-классы и художественные студии; Спектакли, концерты и музыкально-театральные занятия</t>
        </is>
      </c>
      <c r="F706" s="31" t="inlineStr">
        <is>
          <t>Подростки и взрослые с ментальными особенностями и ОВЗ (ПНИ / Социальные дома)</t>
        </is>
      </c>
      <c r="G706" s="31" t="inlineStr">
        <is>
          <t>Студия фонда / выездная площадка</t>
        </is>
      </c>
      <c r="H706"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t>
        </is>
      </c>
      <c r="I706" s="32" t="inlineStr">
        <is>
          <t>Да (в тексте)</t>
        </is>
      </c>
      <c r="J706" s="31" t="inlineStr">
        <is>
          <t>Взрослые люди с особенностями развития из ПНИ 16 занимаются у нас по вторникам. Вчера на занятии вязали крючком, пели песни и отстукивали ритм барабанными палочками. Вера провела занятие арт-терапии. Ребята учились экспериментировать и не бояться ошибок. Рисовали абстрактные рису...</t>
        </is>
      </c>
    </row>
    <row r="707" ht="30" customHeight="1">
      <c r="A707" s="23" t="n">
        <v>5068</v>
      </c>
      <c r="B707" s="24" t="inlineStr">
        <is>
          <t>2019-09-30</t>
        </is>
      </c>
      <c r="C707" s="25">
        <f>HYPERLINK("https://vk.com/wall-1825701_5068", "Открыть пост")</f>
        <v/>
      </c>
      <c r="D707" s="26" t="inlineStr">
        <is>
          <t>Творческие мастер-классы и художественные студии</t>
        </is>
      </c>
      <c r="E707" s="26" t="inlineStr">
        <is>
          <t>Творческие мастер-классы и художественные студии; Спектакли, концерты и музыкально-театральные занятия</t>
        </is>
      </c>
      <c r="F707" s="26" t="inlineStr">
        <is>
          <t>Подростки и взрослые с ментальными особенностями и ОВЗ (ПНИ / Социальные дома)</t>
        </is>
      </c>
      <c r="G707" s="26" t="inlineStr">
        <is>
          <t>ПНИ №11</t>
        </is>
      </c>
      <c r="H707" s="26" t="inlineStr">
        <is>
          <t>Художественно-прикладные и ремесленные навыки; Артистические, музыкальные и спортивно-игровые навыки</t>
        </is>
      </c>
      <c r="I707" s="27" t="inlineStr">
        <is>
          <t>По формату занятия</t>
        </is>
      </c>
      <c r="J707" s="26" t="inlineStr">
        <is>
          <t>В студии на Дмитровке было занятие у ребят из ПНИ №11. Под чутким руководством Наталии Лясс ткали сложнейший гобелен. А ещё сегодня ребята узнали об одном из крупнейших художников средневековой Японии, которого звали Огата Корин. О том, как художник смело сочетал разные материалы...</t>
        </is>
      </c>
    </row>
    <row r="708" ht="30" customHeight="1">
      <c r="A708" s="28" t="n">
        <v>5067</v>
      </c>
      <c r="B708" s="29" t="inlineStr">
        <is>
          <t>2019-09-30</t>
        </is>
      </c>
      <c r="C708" s="30">
        <f>HYPERLINK("https://vk.com/wall-1825701_5067", "Открыть пост")</f>
        <v/>
      </c>
      <c r="D708" s="31" t="inlineStr">
        <is>
          <t>Ярмарки, фестивали и благотворительные базары</t>
        </is>
      </c>
      <c r="E708" s="31" t="inlineStr">
        <is>
          <t>Ярмарки, фестивали и благотворительные базары</t>
        </is>
      </c>
      <c r="F708" s="31" t="inlineStr">
        <is>
          <t>Подопечные фонда «Дети Марии» (общая группа детей и подростков)</t>
        </is>
      </c>
      <c r="G708" s="31" t="inlineStr">
        <is>
          <t>Студия фонда / выездная площадка</t>
        </is>
      </c>
      <c r="H708" s="31" t="inlineStr">
        <is>
          <t>Организационные, ивент- и ярмарочные навыки</t>
        </is>
      </c>
      <c r="I708" s="32" t="inlineStr">
        <is>
          <t>По формату занятия</t>
        </is>
      </c>
      <c r="J708" s="31" t="inlineStr">
        <is>
          <t>В Meet For Charity – генеральный директор Яндекс.Такси Даниил Шулейко. Даниил пришел в компанию в 2015 году на должность директора по маркетингу, после слияния Яндекс.Такси и Uber стал управляющим директором, а в мае 2019 года возглавил компанию. Сейчас он отвечает за развитие он...</t>
        </is>
      </c>
    </row>
    <row r="709" ht="30" customHeight="1">
      <c r="A709" s="23" t="n">
        <v>5065</v>
      </c>
      <c r="B709" s="24" t="inlineStr">
        <is>
          <t>2019-09-29</t>
        </is>
      </c>
      <c r="C709" s="25">
        <f>HYPERLINK("https://vk.com/wall-1825701_5065", "Открыть пост")</f>
        <v/>
      </c>
      <c r="D709" s="26" t="inlineStr">
        <is>
          <t>Творческие мастер-классы и художественные студии</t>
        </is>
      </c>
      <c r="E709" s="26" t="inlineStr">
        <is>
          <t>Творческие мастер-классы и художественные студии</t>
        </is>
      </c>
      <c r="F709" s="26" t="inlineStr">
        <is>
          <t>Подопечные фонда «Дети Марии» (общая группа детей и подростков)</t>
        </is>
      </c>
      <c r="G709" s="26" t="inlineStr">
        <is>
          <t>Студия фонда / выездная площадка</t>
        </is>
      </c>
      <c r="H709" s="26" t="inlineStr">
        <is>
          <t>Художественно-прикладные и ремесленные навыки</t>
        </is>
      </c>
      <c r="I709" s="27" t="inlineStr">
        <is>
          <t>По формату занятия</t>
        </is>
      </c>
      <c r="J709" s="26" t="inlineStr">
        <is>
          <t>Воскресные занятия керамикой с Анной Андреевой. Расписывали обожженные в печи чашки и лепили новые. Ира Черненькая решилась слепить дом-подсвечник 🏠 И у неё получилось!)</t>
        </is>
      </c>
    </row>
    <row r="710" ht="30" customHeight="1">
      <c r="A710" s="28" t="n">
        <v>5054</v>
      </c>
      <c r="B710" s="29" t="inlineStr">
        <is>
          <t>2019-09-27</t>
        </is>
      </c>
      <c r="C710" s="30">
        <f>HYPERLINK("https://vk.com/wall-1825701_5054", "Открыть пост")</f>
        <v/>
      </c>
      <c r="D710" s="31" t="inlineStr">
        <is>
          <t>Творческие мастер-классы и художественные студии</t>
        </is>
      </c>
      <c r="E710" s="31" t="inlineStr">
        <is>
          <t>Творческие мастер-классы и художественные студии; Спектакли, концерты и музыкально-театральные занятия</t>
        </is>
      </c>
      <c r="F710" s="31" t="inlineStr">
        <is>
          <t>Воспитанники ЦССВ, ДДИ и детских домов-интернатов</t>
        </is>
      </c>
      <c r="G710" s="31" t="inlineStr">
        <is>
          <t>интерната №31</t>
        </is>
      </c>
      <c r="H710" s="31" t="inlineStr">
        <is>
          <t>Художественно-прикладные и ремесленные навыки; Артистические, музыкальные и спортивно-игровые навыки; Педагогические и наставнические навыки (кулинария, быт, учёба)</t>
        </is>
      </c>
      <c r="I710" s="32" t="inlineStr">
        <is>
          <t>По формату занятия</t>
        </is>
      </c>
      <c r="J710" s="31" t="inlineStr">
        <is>
          <t>Вчера после школьных занятий в студию приехали дети и воспитатели из школы-интерната №31. С Николаем Михайловичем учились лепить вазы. У Любови Ивановны сложился целый ансамбль: фортепиано, гитара и барабаны. В другой комнате разместились художники: рисовали птиц-киви, а Саша нар...</t>
        </is>
      </c>
    </row>
    <row r="711" ht="30" customHeight="1">
      <c r="A711" s="23" t="n">
        <v>5051</v>
      </c>
      <c r="B711" s="24" t="inlineStr">
        <is>
          <t>2019-09-27</t>
        </is>
      </c>
      <c r="C711" s="25">
        <f>HYPERLINK("https://vk.com/wall-1825701_5051", "Открыть пост")</f>
        <v/>
      </c>
      <c r="D711" s="26" t="inlineStr">
        <is>
          <t>Творческие мастер-классы и художественные студии</t>
        </is>
      </c>
      <c r="E711" s="26" t="inlineStr">
        <is>
          <t>Творческие мастер-классы и художественные студии</t>
        </is>
      </c>
      <c r="F711" s="26" t="inlineStr">
        <is>
          <t>Подопечные фонда «Дети Марии» (общая группа детей и подростков)</t>
        </is>
      </c>
      <c r="G711" s="26" t="inlineStr">
        <is>
          <t>ТВЕРСКАЯ 15</t>
        </is>
      </c>
      <c r="H711"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t>
        </is>
      </c>
      <c r="I711" s="27" t="inlineStr">
        <is>
          <t>По формату занятия</t>
        </is>
      </c>
      <c r="J711" s="26" t="inlineStr">
        <is>
          <t>В среду в Инклюзивное пространство «ТВЕРСКАЯ 15» прошло второе занятие из цикла «Музыкальное путешествие в былинную Русь» для детей из 31-го интерната и детей из семей. Ребята слушали былины киевского цикла. Педагог рассказал об возникновении российского государства, о выдающихся...</t>
        </is>
      </c>
    </row>
    <row r="712" ht="30" customHeight="1">
      <c r="A712" s="28" t="n">
        <v>5050</v>
      </c>
      <c r="B712" s="29" t="inlineStr">
        <is>
          <t>2019-09-26</t>
        </is>
      </c>
      <c r="C712" s="30">
        <f>HYPERLINK("https://vk.com/wall-1825701_5050", "Открыть пост")</f>
        <v/>
      </c>
      <c r="D712" s="31" t="inlineStr">
        <is>
          <t>Творческие мастер-классы и художественные студии</t>
        </is>
      </c>
      <c r="E712" s="31" t="inlineStr">
        <is>
          <t>Творческие мастер-классы и художественные студии; Спектакли, концерты и музыкально-театральные занятия</t>
        </is>
      </c>
      <c r="F712" s="31" t="inlineStr">
        <is>
          <t>Подростки и взрослые с ментальными особенностями и ОВЗ (ПНИ / Социальные дома)</t>
        </is>
      </c>
      <c r="G712" s="31" t="inlineStr">
        <is>
          <t>Студия фонда / выездная площадка</t>
        </is>
      </c>
      <c r="H712" s="31" t="inlineStr">
        <is>
          <t>Художественно-прикладные и ремесленные навыки; Артистические, музыкальные и спортивно-игровые навыки</t>
        </is>
      </c>
      <c r="I712" s="32" t="inlineStr">
        <is>
          <t>Да (в тексте)</t>
        </is>
      </c>
      <c r="J712" s="31" t="inlineStr">
        <is>
          <t>К 10 утра педагог Вера сопроводила ребят из 16-го ПНИ в студию на Дмитровку. На занятии пели песни, рисовали карандашами и акварелью. Наш волонтёр Ирина Свистова вернулась после лета и продолжила с ребятами картины в технике батик. А Лёша Строев напёк на всех шарлотку. Ребята сос...</t>
        </is>
      </c>
    </row>
    <row r="713" ht="30" customHeight="1">
      <c r="A713" s="23" t="n">
        <v>5049</v>
      </c>
      <c r="B713" s="24" t="inlineStr">
        <is>
          <t>2019-09-26</t>
        </is>
      </c>
      <c r="C713" s="25">
        <f>HYPERLINK("https://vk.com/wall-1825701_5049", "Открыть пост")</f>
        <v/>
      </c>
      <c r="D713" s="26" t="inlineStr">
        <is>
          <t>Кулинарные, образовательные и социально-бытовые занятия</t>
        </is>
      </c>
      <c r="E713" s="26" t="inlineStr">
        <is>
          <t>Кулинарные, образовательные и социально-бытовые занятия; Творческие мастер-классы и художественные студии</t>
        </is>
      </c>
      <c r="F713" s="26" t="inlineStr">
        <is>
          <t>Подопечные фонда «Дети Марии» (общая группа детей и подростков)</t>
        </is>
      </c>
      <c r="G713" s="26" t="inlineStr">
        <is>
          <t>Студия фонда / выездная площадка</t>
        </is>
      </c>
      <c r="H713" s="26" t="inlineStr">
        <is>
          <t>Педагогические и наставнические навыки (кулинария, быт, учёба)</t>
        </is>
      </c>
      <c r="I713" s="27" t="inlineStr">
        <is>
          <t>По формату занятия</t>
        </is>
      </c>
      <c r="J713" s="26" t="inlineStr">
        <is>
          <t>На кулинарном мастер-классе делали суши. Рис получился так себе, хотя купили специальный и варили по секундомеру. Мисо суп и салат из фунчозы готовить попроще) Девушки участвовали тоже, но остались за кадром.</t>
        </is>
      </c>
    </row>
    <row r="714" ht="30" customHeight="1">
      <c r="A714" s="28" t="n">
        <v>5047</v>
      </c>
      <c r="B714" s="29" t="inlineStr">
        <is>
          <t>2019-09-25</t>
        </is>
      </c>
      <c r="C714" s="30">
        <f>HYPERLINK("https://vk.com/wall-1825701_5047", "Открыть пост")</f>
        <v/>
      </c>
      <c r="D714" s="31" t="inlineStr">
        <is>
          <t>Праздники, дни рождения и клубные встречи</t>
        </is>
      </c>
      <c r="E714" s="31" t="inlineStr">
        <is>
          <t>Праздники, дни рождения и клубные встречи</t>
        </is>
      </c>
      <c r="F714" s="31" t="inlineStr">
        <is>
          <t>Подростки и взрослые с ментальными особенностями и ОВЗ (ПНИ / Социальные дома); Воспитанники ЦССВ, ДДИ и детских домов-интернатов</t>
        </is>
      </c>
      <c r="G714" s="31" t="inlineStr">
        <is>
          <t>ЦССВ «Юнона», ПНИ №34</t>
        </is>
      </c>
      <c r="H714" s="31" t="inlineStr">
        <is>
          <t>Коммуникативные навыки, эмпатия и тьюторское сопровождение</t>
        </is>
      </c>
      <c r="I714" s="32" t="inlineStr">
        <is>
          <t>По формату занятия</t>
        </is>
      </c>
      <c r="J714" s="31" t="inlineStr">
        <is>
          <t>В студии — дети из ЦССВ «Юнона». Это занятие стало особенным, потому что к приезду ребят из взрослого интерната привезли Вову. Раньше он жил в «Юноне», а теперь его по возрасту перевели в ПНИ №34. И сегодня произошла долгожданная встреча друзей 🤗</t>
        </is>
      </c>
    </row>
    <row r="715" ht="30" customHeight="1">
      <c r="A715" s="23" t="n">
        <v>5044</v>
      </c>
      <c r="B715" s="24" t="inlineStr">
        <is>
          <t>2019-09-25</t>
        </is>
      </c>
      <c r="C715" s="25">
        <f>HYPERLINK("https://vk.com/wall-1825701_5044", "Открыть пост")</f>
        <v/>
      </c>
      <c r="D715" s="26" t="inlineStr">
        <is>
          <t>Выставки, экскурсии и культурные выходы</t>
        </is>
      </c>
      <c r="E715" s="26" t="inlineStr">
        <is>
          <t>Выставки, экскурсии и культурные выходы; Творческие мастер-классы и художественные студии</t>
        </is>
      </c>
      <c r="F715" s="26" t="inlineStr">
        <is>
          <t>Подопечные фонда «Дети Марии» (общая группа детей и подростков)</t>
        </is>
      </c>
      <c r="G715" s="26" t="inlineStr">
        <is>
          <t>Тверская 15</t>
        </is>
      </c>
      <c r="H715" s="26" t="inlineStr">
        <is>
          <t>Мобильность, выездное сопровождение и автоволонтёрство</t>
        </is>
      </c>
      <c r="I715" s="27" t="inlineStr">
        <is>
          <t>По формату занятия</t>
        </is>
      </c>
      <c r="J715" s="26" t="inlineStr">
        <is>
          <t>В воскресенье у детей из Вологды была экскурсия в Московский Кремль и мастер-класс в Пространстве творчества и развития «Тверская 15», где ребята проводили физические опыты, делали моторчики, узнали по какому принципу работает магнит и много ещё интересного. Потом мы пообедали в ...</t>
        </is>
      </c>
    </row>
    <row r="716" ht="30" customHeight="1">
      <c r="A716" s="28" t="n">
        <v>5041</v>
      </c>
      <c r="B716" s="29" t="inlineStr">
        <is>
          <t>2019-09-24</t>
        </is>
      </c>
      <c r="C716" s="30">
        <f>HYPERLINK("https://vk.com/wall-1825701_5041", "Открыть пост")</f>
        <v/>
      </c>
      <c r="D716" s="31" t="inlineStr">
        <is>
          <t>Творческие мастер-классы и художественные студии</t>
        </is>
      </c>
      <c r="E716" s="31" t="inlineStr">
        <is>
          <t>Творческие мастер-классы и художественные студии; Праздники, дни рождения и клубные встречи</t>
        </is>
      </c>
      <c r="F716" s="31" t="inlineStr">
        <is>
          <t>Подростки и взрослые с ментальными особенностями и ОВЗ (ПНИ / Социальные дома)</t>
        </is>
      </c>
      <c r="G716" s="31" t="inlineStr">
        <is>
          <t>ПНИ №16</t>
        </is>
      </c>
      <c r="H716" s="31" t="inlineStr">
        <is>
          <t>Художественно-прикладные и ремесленные навыки; Артистические, музыкальные и спортивно-игровые навыки; Организационные, ивент- и ярмарочные навыки</t>
        </is>
      </c>
      <c r="I716" s="32" t="inlineStr">
        <is>
          <t>По формату занятия</t>
        </is>
      </c>
      <c r="J716" s="31" t="inlineStr">
        <is>
          <t>У ребят с особенностями развития из ПНИ №16 сегодня было занятие. Продолжили свои работы по керамике и валянию из шерсти, нарисовали разных красивых птиц киви. С Любовью Ивановной разучивали новые песни. А на кухне, тем временем, эстафету по шарлотке приняли Сережа Королёв и Лёша...</t>
        </is>
      </c>
    </row>
    <row r="717" ht="30" customHeight="1">
      <c r="A717" s="23" t="n">
        <v>5040</v>
      </c>
      <c r="B717" s="24" t="inlineStr">
        <is>
          <t>2019-09-24</t>
        </is>
      </c>
      <c r="C717" s="25">
        <f>HYPERLINK("https://vk.com/wall-1825701_5040", "Открыть пост")</f>
        <v/>
      </c>
      <c r="D717" s="26" t="inlineStr">
        <is>
          <t>Творческие мастер-классы и художественные студии</t>
        </is>
      </c>
      <c r="E717" s="26" t="inlineStr">
        <is>
          <t>Творческие мастер-классы и художественные студии</t>
        </is>
      </c>
      <c r="F717" s="26" t="inlineStr">
        <is>
          <t>Подопечные фонда «Дети Марии» (общая группа детей и подростков)</t>
        </is>
      </c>
      <c r="G717" s="26" t="inlineStr">
        <is>
          <t>Студия фонда / выездная площадка</t>
        </is>
      </c>
      <c r="H717" s="26" t="inlineStr">
        <is>
          <t>Художественно-прикладные и ремесленные навыки</t>
        </is>
      </c>
      <c r="I717" s="27" t="inlineStr">
        <is>
          <t>По формату занятия</t>
        </is>
      </c>
      <c r="J717" s="26" t="inlineStr">
        <is>
          <t>По понедельникам в 18:00 в студии керамика для взрослых с Николаем Михайловичем. Приходите к нам, даже если никогда раньше не лепили, занятия бесплатны :) У Николая Михайловича особый подход к новичкам: для начала он знакомит с базовыми приемами работы с глиной. А тем, кто уже им...</t>
        </is>
      </c>
    </row>
    <row r="718" ht="30" customHeight="1">
      <c r="A718" s="28" t="n">
        <v>5034</v>
      </c>
      <c r="B718" s="29" t="inlineStr">
        <is>
          <t>2019-09-24</t>
        </is>
      </c>
      <c r="C718" s="30">
        <f>HYPERLINK("https://vk.com/wall-1825701_5034", "Открыть пост")</f>
        <v/>
      </c>
      <c r="D718" s="31" t="inlineStr">
        <is>
          <t>Творческие мастер-классы и художественные студии</t>
        </is>
      </c>
      <c r="E718" s="31" t="inlineStr">
        <is>
          <t>Творческие мастер-классы и художественные студии; Кулинарные, образовательные и социально-бытовые занятия</t>
        </is>
      </c>
      <c r="F718" s="31" t="inlineStr">
        <is>
          <t>Подростки и взрослые с ментальными особенностями и ОВЗ (ПНИ / Социальные дома)</t>
        </is>
      </c>
      <c r="G718" s="31" t="inlineStr">
        <is>
          <t>ПНИ №11</t>
        </is>
      </c>
      <c r="H718" s="31" t="inlineStr">
        <is>
          <t>Художественно-прикладные и ремесленные навыки; Артистические, музыкальные и спортивно-игровые навыки; Педагогические и наставнические навыки (кулинария, быт, учёба)</t>
        </is>
      </c>
      <c r="I718" s="32" t="inlineStr">
        <is>
          <t>По формату занятия</t>
        </is>
      </c>
      <c r="J718" s="31" t="inlineStr">
        <is>
          <t>Днём в студию приезжали ребята из ПНИ №11. Вышивали картины на тонированной бумаге (маяк уже готов, а вот приморский город с чайками и кораблями вдоль набережной ещё в процессе), рисовали пастелью. Ткали гобелен. Акварель тоже пошла в дело и получился разноцветный сказочный город...</t>
        </is>
      </c>
    </row>
    <row r="719" ht="30" customHeight="1">
      <c r="A719" s="23" t="n">
        <v>5032</v>
      </c>
      <c r="B719" s="24" t="inlineStr">
        <is>
          <t>2019-09-23</t>
        </is>
      </c>
      <c r="C719" s="25">
        <f>HYPERLINK("https://vk.com/wall-1825701_5032", "Открыть пост")</f>
        <v/>
      </c>
      <c r="D719" s="26" t="inlineStr">
        <is>
          <t>Творческие мастер-классы и художественные студии</t>
        </is>
      </c>
      <c r="E719" s="26" t="inlineStr">
        <is>
          <t>Творческие мастер-классы и художественные студии</t>
        </is>
      </c>
      <c r="F719" s="26" t="inlineStr">
        <is>
          <t>Подопечные фонда «Дети Марии» (общая группа детей и подростков)</t>
        </is>
      </c>
      <c r="G719" s="26" t="inlineStr">
        <is>
          <t>Студия фонда / выездная площадка</t>
        </is>
      </c>
      <c r="H719" s="26" t="inlineStr">
        <is>
          <t>Художественно-прикладные и ремесленные навыки</t>
        </is>
      </c>
      <c r="I719" s="27" t="inlineStr">
        <is>
          <t>По формату занятия</t>
        </is>
      </c>
      <c r="J719" s="26" t="inlineStr">
        <is>
          <t>Занимались керамикой в воскресенье с Анной Андреевой не только взрослые, но и дети. Ваня и Маша слепили собачек и замечательные чашки :)</t>
        </is>
      </c>
    </row>
    <row r="720" ht="30" customHeight="1">
      <c r="A720" s="28" t="n">
        <v>5028</v>
      </c>
      <c r="B720" s="29" t="inlineStr">
        <is>
          <t>2019-09-22</t>
        </is>
      </c>
      <c r="C720" s="30">
        <f>HYPERLINK("https://vk.com/wall-1825701_5028", "Открыть пост")</f>
        <v/>
      </c>
      <c r="D720" s="31" t="inlineStr">
        <is>
          <t>Творческие мастер-классы и художественные студии</t>
        </is>
      </c>
      <c r="E720" s="31" t="inlineStr">
        <is>
          <t>Творческие мастер-классы и художественные студии</t>
        </is>
      </c>
      <c r="F720" s="31" t="inlineStr">
        <is>
          <t>Подростки и взрослые с ментальными особенностями и ОВЗ (ПНИ / Социальные дома)</t>
        </is>
      </c>
      <c r="G720" s="31" t="inlineStr">
        <is>
          <t>ПНИ №16</t>
        </is>
      </c>
      <c r="H720" s="31" t="inlineStr">
        <is>
          <t>Художественно-прикладные и ремесленные навыки; Педагогические и наставнические навыки (кулинария, быт, учёба); Организационные, ивент- и ярмарочные навыки</t>
        </is>
      </c>
      <c r="I720" s="32" t="inlineStr">
        <is>
          <t>Да (в тексте)</t>
        </is>
      </c>
      <c r="J720" s="31" t="inlineStr">
        <is>
          <t>У Вовы из ПНИ №16 вчера был день рождения. И ребята захотели устроить ему настоящий праздник. Помогла им в этом добрая фея, наш постоянный волонтер Катя — она прислала денег, на которые ребята купили настоящий киевский торт и продукты к обеду. В студии лепили, а после занятия гот...</t>
        </is>
      </c>
    </row>
    <row r="721" ht="30" customHeight="1">
      <c r="A721" s="23" t="n">
        <v>5021</v>
      </c>
      <c r="B721" s="24" t="inlineStr">
        <is>
          <t>2019-09-20</t>
        </is>
      </c>
      <c r="C721" s="25">
        <f>HYPERLINK("https://vk.com/wall-1825701_5021", "Открыть пост")</f>
        <v/>
      </c>
      <c r="D721" s="26" t="inlineStr">
        <is>
          <t>Творческие мастер-классы и художественные студии</t>
        </is>
      </c>
      <c r="E721" s="26" t="inlineStr">
        <is>
          <t>Творческие мастер-классы и художественные студии</t>
        </is>
      </c>
      <c r="F721" s="26" t="inlineStr">
        <is>
          <t>Подростки и взрослые с ментальными особенностями и ОВЗ (ПНИ / Социальные дома); Выпускники интернатов и детских домов (молодые взрослые)</t>
        </is>
      </c>
      <c r="G721" s="26" t="inlineStr">
        <is>
          <t>ПНИ №16, ПНИ №12</t>
        </is>
      </c>
      <c r="H721" s="26" t="inlineStr">
        <is>
          <t>Художественно-прикладные и ремесленные навыки; Мобильность, выездное сопровождение и автоволонтёрство</t>
        </is>
      </c>
      <c r="I721" s="27" t="inlineStr">
        <is>
          <t>Да (в тексте)</t>
        </is>
      </c>
      <c r="J721" s="26" t="inlineStr">
        <is>
          <t>Занятие у ПНИ №16 сегодня в студии: керамика, валяние из шерсти, акварельная живопись и ткание гобелена. У Серёжи Черёмкина, нашего активного волонтёра, выпускника интерната, опять началась учебная пора. Но он всё равно находит время зайти в гости, а кроме того, регулярно помогае...</t>
        </is>
      </c>
    </row>
    <row r="722" ht="30" customHeight="1">
      <c r="A722" s="28" t="n">
        <v>5011</v>
      </c>
      <c r="B722" s="29" t="inlineStr">
        <is>
          <t>2019-09-19</t>
        </is>
      </c>
      <c r="C722" s="30">
        <f>HYPERLINK("https://vk.com/wall-1825701_5011", "Открыть пост")</f>
        <v/>
      </c>
      <c r="D722" s="31" t="inlineStr">
        <is>
          <t>Творческие мастер-классы и художественные студии</t>
        </is>
      </c>
      <c r="E722" s="31" t="inlineStr">
        <is>
          <t>Творческие мастер-классы и художественные студии; Кулинарные, образовательные и социально-бытовые занятия</t>
        </is>
      </c>
      <c r="F722" s="31" t="inlineStr">
        <is>
          <t>Подростки и взрослые с ментальными особенностями и ОВЗ (ПНИ / Социальные дома)</t>
        </is>
      </c>
      <c r="G722" s="31" t="inlineStr">
        <is>
          <t>Студия фонда / выездная площадка</t>
        </is>
      </c>
      <c r="H722" s="31" t="inlineStr">
        <is>
          <t>Педагогические и наставнические навыки (кулинария, быт, учёба)</t>
        </is>
      </c>
      <c r="I722" s="32" t="inlineStr">
        <is>
          <t>По формату занятия</t>
        </is>
      </c>
      <c r="J722" s="31" t="inlineStr">
        <is>
          <t>Борщ вчера на кулинарном мастер-классе получился таким вкусным, что съели весь. Но сделали вторую порцию картофельной запеканки для ребят из 16 ПНИ, которые сейчас приедут утром на занятия в студию) Приятного им аппетита!</t>
        </is>
      </c>
    </row>
    <row r="723" ht="30" customHeight="1">
      <c r="A723" s="23" t="n">
        <v>5010</v>
      </c>
      <c r="B723" s="24" t="inlineStr">
        <is>
          <t>2019-09-19</t>
        </is>
      </c>
      <c r="C723" s="25">
        <f>HYPERLINK("https://vk.com/wall-1825701_5010", "Открыть пост")</f>
        <v/>
      </c>
      <c r="D723" s="26" t="inlineStr">
        <is>
          <t>Творческие мастер-классы и художественные студии</t>
        </is>
      </c>
      <c r="E723" s="26" t="inlineStr">
        <is>
          <t>Творческие мастер-классы и художественные студии</t>
        </is>
      </c>
      <c r="F723" s="26" t="inlineStr">
        <is>
          <t>Воспитанники ЦССВ, ДДИ и детских домов-интернатов</t>
        </is>
      </c>
      <c r="G723" s="26" t="inlineStr">
        <is>
          <t>ЦССВ «Юнона»</t>
        </is>
      </c>
      <c r="H723" s="26" t="inlineStr">
        <is>
          <t>Художественно-прикладные и ремесленные навыки</t>
        </is>
      </c>
      <c r="I723" s="27" t="inlineStr">
        <is>
          <t>По формату занятия</t>
        </is>
      </c>
      <c r="J723" s="26" t="inlineStr">
        <is>
          <t>Дети из ЦССВ «Юнона» занимались в студии вчера. Саша и Максим захотели лепить чашки, с чем им помогли Дима и Татьяна Васильевна. Остальные ребята рисовали акварелью воспоминания о лете.</t>
        </is>
      </c>
    </row>
    <row r="724" ht="30" customHeight="1">
      <c r="A724" s="28" t="n">
        <v>5009</v>
      </c>
      <c r="B724" s="29" t="inlineStr">
        <is>
          <t>2019-09-19</t>
        </is>
      </c>
      <c r="C724" s="30">
        <f>HYPERLINK("https://vk.com/wall-1825701_5009", "Открыть пост")</f>
        <v/>
      </c>
      <c r="D724" s="31" t="inlineStr">
        <is>
          <t>Творческие мастер-классы и художественные студии</t>
        </is>
      </c>
      <c r="E724" s="31" t="inlineStr">
        <is>
          <t>Творческие мастер-классы и художественные студии</t>
        </is>
      </c>
      <c r="F724" s="31" t="inlineStr">
        <is>
          <t>Подопечные фонда «Дети Марии» (общая группа детей и подростков)</t>
        </is>
      </c>
      <c r="G724" s="31" t="inlineStr">
        <is>
          <t>Студия фонда / выездная площадка</t>
        </is>
      </c>
      <c r="H724" s="31" t="inlineStr">
        <is>
          <t>Художественно-прикладные и ремесленные навыки</t>
        </is>
      </c>
      <c r="I724" s="32" t="inlineStr">
        <is>
          <t>По формату занятия</t>
        </is>
      </c>
      <c r="J724" s="31" t="inlineStr">
        <is>
          <t>Почему только руки? Потому что важно. Руки малышей из отделения психоневрологии и их мам. В этом отделении родители должны рисовать в месте с детьми. Так что у Нюси Митиной в Институте педиатрии всегда получаются необычные занятия.</t>
        </is>
      </c>
    </row>
    <row r="725" ht="30" customHeight="1">
      <c r="A725" s="23" t="n">
        <v>5007</v>
      </c>
      <c r="B725" s="24" t="inlineStr">
        <is>
          <t>2019-09-18</t>
        </is>
      </c>
      <c r="C725" s="25">
        <f>HYPERLINK("https://vk.com/wall-1825701_5007", "Открыть пост")</f>
        <v/>
      </c>
      <c r="D725" s="26" t="inlineStr">
        <is>
          <t>Творческие мастер-классы и художественные студии</t>
        </is>
      </c>
      <c r="E725" s="26" t="inlineStr">
        <is>
          <t>Творческие мастер-классы и художественные студии</t>
        </is>
      </c>
      <c r="F725" s="26" t="inlineStr">
        <is>
          <t>Подопечные фонда «Дети Марии» (общая группа детей и подростков)</t>
        </is>
      </c>
      <c r="G725" s="26" t="inlineStr">
        <is>
          <t>Студия фонда / выездная площадка</t>
        </is>
      </c>
      <c r="H725" s="26" t="inlineStr">
        <is>
          <t>Художественно-прикладные и ремесленные навыки</t>
        </is>
      </c>
      <c r="I725" s="27" t="inlineStr">
        <is>
          <t>По формату занятия</t>
        </is>
      </c>
      <c r="J725" s="26" t="inlineStr">
        <is>
          <t>Керамика для взрослых. Первое занятие с Николаем Михайловичем в этом сезоне. Занятия проходят по понедельникам с 18:00, по адресу Дмитровский переулок, 2/10 узнать подробности можно по телефону студии: 8(495)692-48-70. Занятия бесплатные, присоединяйтесь к нам!</t>
        </is>
      </c>
    </row>
    <row r="726" ht="30" customHeight="1">
      <c r="A726" s="28" t="n">
        <v>5001</v>
      </c>
      <c r="B726" s="29" t="inlineStr">
        <is>
          <t>2019-09-18</t>
        </is>
      </c>
      <c r="C726" s="30">
        <f>HYPERLINK("https://vk.com/wall-1825701_5001", "Открыть пост")</f>
        <v/>
      </c>
      <c r="D726" s="31" t="inlineStr">
        <is>
          <t>Выставки, экскурсии и культурные выходы</t>
        </is>
      </c>
      <c r="E726" s="31" t="inlineStr">
        <is>
          <t>Выставки, экскурсии и культурные выходы; Творческие мастер-классы и художественные студии</t>
        </is>
      </c>
      <c r="F726" s="31" t="inlineStr">
        <is>
          <t>Подростки и взрослые с ментальными особенностями и ОВЗ (ПНИ / Социальные дома)</t>
        </is>
      </c>
      <c r="G726" s="31" t="inlineStr">
        <is>
          <t>ПНИ №16</t>
        </is>
      </c>
      <c r="H726" s="31" t="inlineStr">
        <is>
          <t>Художественно-прикладные и ремесленные навыки; Артистические, музыкальные и спортивно-игровые навыки</t>
        </is>
      </c>
      <c r="I726" s="32" t="inlineStr">
        <is>
          <t>Да (в тексте)</t>
        </is>
      </c>
      <c r="J726" s="31" t="inlineStr">
        <is>
          <t>История такая: на самом деле волонтеров в ПНИ №16 вчера приехало не двое, а трое — Вера, Ирина и Алла. Они планировали общее мероприятие: выставку или кино. Но часть ребят, которые занимаются в студии по вторникам и четвергам, в один голос сказали: «Не хотим в кино, хотим в студи...</t>
        </is>
      </c>
    </row>
    <row r="727" ht="30" customHeight="1">
      <c r="A727" s="23" t="n">
        <v>4998</v>
      </c>
      <c r="B727" s="24" t="inlineStr">
        <is>
          <t>2019-09-17</t>
        </is>
      </c>
      <c r="C727" s="25">
        <f>HYPERLINK("https://vk.com/wall-1825701_4998", "Открыть пост")</f>
        <v/>
      </c>
      <c r="D727" s="26" t="inlineStr">
        <is>
          <t>Творческие мастер-классы и художественные студии</t>
        </is>
      </c>
      <c r="E727" s="26" t="inlineStr">
        <is>
          <t>Творческие мастер-классы и художественные студии</t>
        </is>
      </c>
      <c r="F727" s="26" t="inlineStr">
        <is>
          <t>Подростки и взрослые с ментальными особенностями и ОВЗ (ПНИ / Социальные дома); Воспитанники ЦССВ, ДДИ и детских домов-интернатов</t>
        </is>
      </c>
      <c r="G727" s="26" t="inlineStr">
        <is>
          <t>ПНИ №11</t>
        </is>
      </c>
      <c r="H727" s="26" t="inlineStr">
        <is>
          <t>Художественно-прикладные и ремесленные навыки</t>
        </is>
      </c>
      <c r="I727" s="27" t="inlineStr">
        <is>
          <t>По формату занятия</t>
        </is>
      </c>
      <c r="J727" s="26" t="inlineStr">
        <is>
          <t>ПНИ №11 занимаются в студии по понедельникам. Ребята лепили с Николаем Михайловичем, рисовали с Аней Андреевой, вышивали и плели гобелен под руководством Натальи Лясс. Ещё вчера у нас были редкие, но очень дорогие гости — Тамарочка и Арсений ♥• Тамара Моисеевна много лет вела в с...</t>
        </is>
      </c>
    </row>
    <row r="728" ht="30" customHeight="1">
      <c r="A728" s="28" t="n">
        <v>4989</v>
      </c>
      <c r="B728" s="29" t="inlineStr">
        <is>
          <t>2019-09-15</t>
        </is>
      </c>
      <c r="C728" s="30">
        <f>HYPERLINK("https://vk.com/wall-1825701_4989", "Открыть пост")</f>
        <v/>
      </c>
      <c r="D728" s="31" t="inlineStr">
        <is>
          <t>Творческие мастер-классы и художественные студии</t>
        </is>
      </c>
      <c r="E728" s="31" t="inlineStr">
        <is>
          <t>Творческие мастер-классы и художественные студии; Праздники, дни рождения и клубные встречи</t>
        </is>
      </c>
      <c r="F728" s="31" t="inlineStr">
        <is>
          <t>Подростки и взрослые с ментальными особенностями и ОВЗ (ПНИ / Социальные дома)</t>
        </is>
      </c>
      <c r="G728" s="31" t="inlineStr">
        <is>
          <t>ПНИ №16</t>
        </is>
      </c>
      <c r="H728" s="31" t="inlineStr">
        <is>
          <t>Художественно-прикладные и ремесленные навыки; Организационные, ивент- и ярмарочные навыки</t>
        </is>
      </c>
      <c r="I728" s="32" t="inlineStr">
        <is>
          <t>По формату занятия</t>
        </is>
      </c>
      <c r="J728" s="31" t="inlineStr">
        <is>
          <t>В студии есть традиция — праздновать дни рождения ребят. Летом наступают каникулы и занятия прекращаются, но это не значит, что прекращаются дни рождения! В пятницу в студии был ПНИ №16. Ребята лепили, рисовали, валяли и плели гобелен, а после мы устроили праздничное чаепитие в ч...</t>
        </is>
      </c>
    </row>
    <row r="729" ht="30" customHeight="1">
      <c r="A729" s="23" t="n">
        <v>4982</v>
      </c>
      <c r="B729" s="24" t="inlineStr">
        <is>
          <t>2019-09-14</t>
        </is>
      </c>
      <c r="C729" s="25">
        <f>HYPERLINK("https://vk.com/wall-1825701_4982", "Открыть пост")</f>
        <v/>
      </c>
      <c r="D729" s="26" t="inlineStr">
        <is>
          <t>Творческие мастер-классы и художественные студии</t>
        </is>
      </c>
      <c r="E729" s="26" t="inlineStr">
        <is>
          <t>Творческие мастер-классы и художественные студии</t>
        </is>
      </c>
      <c r="F729" s="26" t="inlineStr">
        <is>
          <t>Подопечные фонда «Дети Марии» (общая группа детей и подростков)</t>
        </is>
      </c>
      <c r="G729" s="26" t="inlineStr">
        <is>
          <t>Тверская 15</t>
        </is>
      </c>
      <c r="H729" s="26" t="inlineStr">
        <is>
          <t>Художественно-прикладные и ремесленные навыки</t>
        </is>
      </c>
      <c r="I729" s="27" t="inlineStr">
        <is>
          <t>По формату занятия</t>
        </is>
      </c>
      <c r="J729" s="26" t="inlineStr">
        <is>
          <t>По средам в пространстве творчества и развития Тверская 15 @tverskaya15 будут проходить занятия, тема — «Былинная Русь». Первое занятие в сезоне называлось «Богатыри земли Русской». Ребята из 31-го интерната познакомились и сдружились с детьми из семей, которые тоже пришли на зан...</t>
        </is>
      </c>
    </row>
    <row r="730" ht="30" customHeight="1">
      <c r="A730" s="28" t="n">
        <v>4978</v>
      </c>
      <c r="B730" s="29" t="inlineStr">
        <is>
          <t>2019-09-13</t>
        </is>
      </c>
      <c r="C730" s="30">
        <f>HYPERLINK("https://vk.com/wall-1825701_4978", "Открыть пост")</f>
        <v/>
      </c>
      <c r="D730" s="31" t="inlineStr">
        <is>
          <t>Творческие мастер-классы и художественные студии</t>
        </is>
      </c>
      <c r="E730" s="31" t="inlineStr">
        <is>
          <t>Творческие мастер-классы и художественные студии</t>
        </is>
      </c>
      <c r="F730" s="31" t="inlineStr">
        <is>
          <t>Подопечные фонда «Дети Марии» (общая группа детей и подростков)</t>
        </is>
      </c>
      <c r="G730" s="31" t="inlineStr">
        <is>
          <t>Студия фонда / выездная площадка</t>
        </is>
      </c>
      <c r="H730" s="31" t="inlineStr">
        <is>
          <t>Художественно-прикладные и ремесленные навыки; Коммуникативные навыки, эмпатия и тьюторское сопровождение</t>
        </is>
      </c>
      <c r="I730" s="32" t="inlineStr">
        <is>
          <t>По формату занятия</t>
        </is>
      </c>
      <c r="J730" s="31" t="inlineStr">
        <is>
          <t>По четвергам с 15.00 до 17.00 на Дмитровке — дети с нарушениями опорно-двигательной системы из 31-го интерната. Занимались рукоделием: валянием, живописью и керамикой. Основное внимание уделили созданию деталей. Воплощенные на занятиях детские фантазии фрагментами складываются в ...</t>
        </is>
      </c>
    </row>
    <row r="731" ht="30" customHeight="1">
      <c r="A731" s="23" t="n">
        <v>4970</v>
      </c>
      <c r="B731" s="24" t="inlineStr">
        <is>
          <t>2019-09-12</t>
        </is>
      </c>
      <c r="C731" s="25">
        <f>HYPERLINK("https://vk.com/wall-1825701_4970", "Открыть пост")</f>
        <v/>
      </c>
      <c r="D731" s="26" t="inlineStr">
        <is>
          <t>Творческие мастер-классы и художественные студии</t>
        </is>
      </c>
      <c r="E731" s="26" t="inlineStr">
        <is>
          <t>Творческие мастер-классы и художественные студии; Выездные лагеря, дача и сезонные программы; Спектакли, концерты и музыкально-театральные занятия</t>
        </is>
      </c>
      <c r="F731" s="26" t="inlineStr">
        <is>
          <t>Воспитанники ЦССВ, ДДИ и детских домов-интернатов</t>
        </is>
      </c>
      <c r="G731" s="26" t="inlineStr">
        <is>
          <t>Студия фонда / выездная площадка</t>
        </is>
      </c>
      <c r="H731" s="26" t="inlineStr">
        <is>
          <t>Художественно-прикладные и ремесленные навыки; Артистические, музыкальные и спортивно-игровые навыки; Педагогические и наставнические навыки (кулинария, быт, учёба)</t>
        </is>
      </c>
      <c r="I731" s="27" t="inlineStr">
        <is>
          <t>По формату занятия</t>
        </is>
      </c>
      <c r="J731" s="26" t="inlineStr">
        <is>
          <t>В среду в загородных мастерских у Марии был Филимоновский детский дом. Керамикой с ребятами занимался мастер Ислом — и традиционной лепкой, и на гончарном круге. А Настя и Аня помогали детям расписывать обожженные изделия. В этот раз приехал Костя, он редко бывает — учится и гаст...</t>
        </is>
      </c>
    </row>
    <row r="732" ht="30" customHeight="1">
      <c r="A732" s="28" t="n">
        <v>4968</v>
      </c>
      <c r="B732" s="29" t="inlineStr">
        <is>
          <t>2019-09-12</t>
        </is>
      </c>
      <c r="C732" s="30">
        <f>HYPERLINK("https://vk.com/wall-1825701_4968", "Открыть пост")</f>
        <v/>
      </c>
      <c r="D732" s="31" t="inlineStr">
        <is>
          <t>Кулинарные, образовательные и социально-бытовые занятия</t>
        </is>
      </c>
      <c r="E732" s="31" t="inlineStr">
        <is>
          <t>Кулинарные, образовательные и социально-бытовые занятия; Творческие мастер-классы и художественные студии</t>
        </is>
      </c>
      <c r="F732" s="31" t="inlineStr">
        <is>
          <t>Подопечные фонда «Дети Марии» (общая группа детей и подростков)</t>
        </is>
      </c>
      <c r="G732" s="31" t="inlineStr">
        <is>
          <t>Студия фонда / выездная площадка</t>
        </is>
      </c>
      <c r="H732" s="31" t="inlineStr">
        <is>
          <t>Педагогические и наставнические навыки (кулинария, быт, учёба)</t>
        </is>
      </c>
      <c r="I732" s="32" t="inlineStr">
        <is>
          <t>По формату занятия</t>
        </is>
      </c>
      <c r="J732" s="31" t="inlineStr">
        <is>
          <t>Кулинарный мастер-класс на Дмитровке был жарким и сырным) Салат с курицей и 🧀, жульен с грибами и 🧀, сырный суп и жареные бутерброды с ... ну сами понимаете 🤪 Наталья и Марина, спасибо девушки, накормили всех.</t>
        </is>
      </c>
    </row>
    <row r="733" ht="30" customHeight="1">
      <c r="A733" s="23" t="n">
        <v>4967</v>
      </c>
      <c r="B733" s="24" t="inlineStr">
        <is>
          <t>2019-09-11</t>
        </is>
      </c>
      <c r="C733" s="25">
        <f>HYPERLINK("https://vk.com/wall-1825701_4967", "Открыть пост")</f>
        <v/>
      </c>
      <c r="D733" s="26" t="inlineStr">
        <is>
          <t>Творческие мастер-классы и художественные студии</t>
        </is>
      </c>
      <c r="E733" s="26" t="inlineStr">
        <is>
          <t>Творческие мастер-классы и художественные студии</t>
        </is>
      </c>
      <c r="F733" s="26" t="inlineStr">
        <is>
          <t>Подростки и взрослые с ментальными особенностями и ОВЗ (ПНИ / Социальные дома); Воспитанники ЦССВ, ДДИ и детских домов-интернатов</t>
        </is>
      </c>
      <c r="G733" s="26" t="inlineStr">
        <is>
          <t>ЦССВ «Юнона»</t>
        </is>
      </c>
      <c r="H733" s="26" t="inlineStr">
        <is>
          <t>Художественно-прикладные и ремесленные навыки</t>
        </is>
      </c>
      <c r="I733" s="27" t="inlineStr">
        <is>
          <t>По формату занятия</t>
        </is>
      </c>
      <c r="J733" s="26" t="inlineStr">
        <is>
          <t>Вчера в студию на Дмитровку приезжали дети из ЦССВ «Юнона». Занимались живописью и керамикой, лепили из глины кружки. А ещё на занятии был Лёша Ильин — он из взрослого ПНИ и приезжает в студию самостоятельно. Лёша внёс свою лепту в создание коллективной работы.</t>
        </is>
      </c>
    </row>
    <row r="734" ht="30" customHeight="1">
      <c r="A734" s="28" t="n">
        <v>4966</v>
      </c>
      <c r="B734" s="29" t="inlineStr">
        <is>
          <t>2019-09-11</t>
        </is>
      </c>
      <c r="C734" s="30">
        <f>HYPERLINK("https://vk.com/wall-1825701_4966", "Открыть пост")</f>
        <v/>
      </c>
      <c r="D734" s="31" t="inlineStr">
        <is>
          <t>Творческие мастер-классы и художественные студии</t>
        </is>
      </c>
      <c r="E734" s="31" t="inlineStr">
        <is>
          <t>Творческие мастер-классы и художественные студии</t>
        </is>
      </c>
      <c r="F734" s="31" t="inlineStr">
        <is>
          <t>Подопечные фонда «Дети Марии» (общая группа детей и подростков)</t>
        </is>
      </c>
      <c r="G734" s="31" t="inlineStr">
        <is>
          <t>Студия фонда / выездная площадка</t>
        </is>
      </c>
      <c r="H734" s="31" t="inlineStr">
        <is>
          <t>Художественно-прикладные и ремесленные навыки; Организационные, ивент- и ярмарочные навыки</t>
        </is>
      </c>
      <c r="I734" s="32" t="inlineStr">
        <is>
          <t>По формату занятия</t>
        </is>
      </c>
      <c r="J734" s="31" t="inlineStr">
        <is>
          <t>Именно сотрудничество благотворительных организаций приводит к максимальному результату. Наши художники участвуют в проекте БФ «Абсолют-Помощь» в Институте педиатрии https://les.media/articles/744662-daydzhest-novosteyza-avgust-2019?editor=1 Вчера ребята из отделения генетических...</t>
        </is>
      </c>
    </row>
    <row r="735" ht="30" customHeight="1">
      <c r="A735" s="23" t="n">
        <v>4965</v>
      </c>
      <c r="B735" s="24" t="inlineStr">
        <is>
          <t>2019-09-11</t>
        </is>
      </c>
      <c r="C735" s="25">
        <f>HYPERLINK("https://vk.com/wall-1825701_4965", "Открыть пост")</f>
        <v/>
      </c>
      <c r="D735" s="26" t="inlineStr">
        <is>
          <t>Творческие мастер-классы и художественные студии</t>
        </is>
      </c>
      <c r="E735" s="26" t="inlineStr">
        <is>
          <t>Творческие мастер-классы и художественные студии</t>
        </is>
      </c>
      <c r="F735" s="26" t="inlineStr">
        <is>
          <t>Подростки и взрослые с ментальными особенностями и ОВЗ (ПНИ / Социальные дома)</t>
        </is>
      </c>
      <c r="G735" s="26" t="inlineStr">
        <is>
          <t>ПНИ №16</t>
        </is>
      </c>
      <c r="H735" s="26" t="inlineStr">
        <is>
          <t>Художественно-прикладные и ремесленные навыки</t>
        </is>
      </c>
      <c r="I735" s="27" t="inlineStr">
        <is>
          <t>По формату занятия</t>
        </is>
      </c>
      <c r="J735" s="26" t="inlineStr">
        <is>
          <t>Во вторник в студии на Новинском — занятие с ПНИ №16. Лёша и Дима снова начали вязать носки с Марией Ивановной после месячного перерыва. Очень ждали этих занятий, и пока Мария Ивановна была в отпуске, звонили каждый день и спрашивали о её возвращении. Педагог Вера придумала необы...</t>
        </is>
      </c>
    </row>
    <row r="736" ht="30" customHeight="1">
      <c r="A736" s="28" t="n">
        <v>4962</v>
      </c>
      <c r="B736" s="29" t="inlineStr">
        <is>
          <t>2019-09-11</t>
        </is>
      </c>
      <c r="C736" s="30">
        <f>HYPERLINK("https://vk.com/wall-1825701_4962", "Открыть пост")</f>
        <v/>
      </c>
      <c r="D736" s="31" t="inlineStr">
        <is>
          <t>Творческие мастер-классы и художественные студии</t>
        </is>
      </c>
      <c r="E736" s="31" t="inlineStr">
        <is>
          <t>Творческие мастер-классы и художественные студии</t>
        </is>
      </c>
      <c r="F736" s="31" t="inlineStr">
        <is>
          <t>Подопечные фонда «Дети Марии» (общая группа детей и подростков)</t>
        </is>
      </c>
      <c r="G736" s="31" t="inlineStr">
        <is>
          <t>Студия фонда / выездная площадка</t>
        </is>
      </c>
      <c r="H736" s="31" t="inlineStr">
        <is>
          <t>Коммуникативные навыки, эмпатия и тьюторское сопровождение; Мобильность, выездное сопровождение и автоволонтёрство</t>
        </is>
      </c>
      <c r="I736" s="32" t="inlineStr">
        <is>
          <t>По формату занятия</t>
        </is>
      </c>
      <c r="J736" s="31" t="inlineStr">
        <is>
          <t>Бросив всё, отказавшись даже от прогулки, девочки из отделения кардиологии прибежали на первое занятие с Нюсей. Анна Митина и Анастасия Фриева снова будут проводить арт-терапию в Институте Педиатрии на Талдомской улице, благодаря поддержке БФ «Абсолют-Помощь».</t>
        </is>
      </c>
    </row>
    <row r="737" ht="30" customHeight="1">
      <c r="A737" s="23" t="n">
        <v>4957</v>
      </c>
      <c r="B737" s="24" t="inlineStr">
        <is>
          <t>2019-09-10</t>
        </is>
      </c>
      <c r="C737" s="25">
        <f>HYPERLINK("https://vk.com/wall-1825701_4957", "Открыть пост")</f>
        <v/>
      </c>
      <c r="D737" s="26" t="inlineStr">
        <is>
          <t>Творческие мастер-классы и художественные студии</t>
        </is>
      </c>
      <c r="E737" s="26" t="inlineStr">
        <is>
          <t>Творческие мастер-классы и художественные студии</t>
        </is>
      </c>
      <c r="F737" s="26" t="inlineStr">
        <is>
          <t>Подопечные фонда «Дети Марии» (общая группа детей и подростков)</t>
        </is>
      </c>
      <c r="G737" s="26" t="inlineStr">
        <is>
          <t>Студия фонда / выездная площадка</t>
        </is>
      </c>
      <c r="H737" s="26" t="inlineStr">
        <is>
          <t>Художественно-прикладные и ремесленные навыки</t>
        </is>
      </c>
      <c r="I737" s="27" t="inlineStr">
        <is>
          <t>По формату занятия</t>
        </is>
      </c>
      <c r="J737" s="26" t="inlineStr">
        <is>
          <t>Вчера в студии на Дмитровке стартовала керамика для взрослых. Начали новые работы и доделывали те, что остались с прошлых занятий. Наташа угощала всех душистыми яблоками из своего сада. Приходите к нам лепить! По понедельникам в 18:30 🤗</t>
        </is>
      </c>
    </row>
    <row r="738" ht="30" customHeight="1">
      <c r="A738" s="28" t="n">
        <v>4956</v>
      </c>
      <c r="B738" s="29" t="inlineStr">
        <is>
          <t>2019-09-10</t>
        </is>
      </c>
      <c r="C738" s="30">
        <f>HYPERLINK("https://vk.com/wall-1825701_4956", "Открыть пост")</f>
        <v/>
      </c>
      <c r="D738" s="31" t="inlineStr">
        <is>
          <t>Творческие мастер-классы и художественные студии</t>
        </is>
      </c>
      <c r="E738" s="31" t="inlineStr">
        <is>
          <t>Творческие мастер-классы и художественные студии</t>
        </is>
      </c>
      <c r="F738" s="31" t="inlineStr">
        <is>
          <t>Подростки и взрослые с ментальными особенностями и ОВЗ (ПНИ / Социальные дома)</t>
        </is>
      </c>
      <c r="G738" s="31" t="inlineStr">
        <is>
          <t>ПНИ № 11</t>
        </is>
      </c>
      <c r="H738" s="31" t="inlineStr">
        <is>
          <t>Художественно-прикладные и ремесленные навыки</t>
        </is>
      </c>
      <c r="I738" s="32" t="inlineStr">
        <is>
          <t>По формату занятия</t>
        </is>
      </c>
      <c r="J738" s="31" t="inlineStr">
        <is>
          <t>В понедельник в студии впервые после летнего перерыва занимались ребята из ПНИ № 11 и молодые люди с особенностями из семей. Занятия нашлись на любой вкус: рисование акварелью, карандашами, пастелью, плетение гобелена, лепка из глины и роспись керамики. Желаем ребятам вдохновения...</t>
        </is>
      </c>
    </row>
    <row r="739" ht="30" customHeight="1">
      <c r="A739" s="23" t="n">
        <v>4954</v>
      </c>
      <c r="B739" s="24" t="inlineStr">
        <is>
          <t>2019-09-09</t>
        </is>
      </c>
      <c r="C739" s="25">
        <f>HYPERLINK("https://vk.com/wall-1825701_4954", "Открыть пост")</f>
        <v/>
      </c>
      <c r="D739" s="26" t="inlineStr">
        <is>
          <t>Творческие мастер-классы и художественные студии</t>
        </is>
      </c>
      <c r="E739" s="26" t="inlineStr">
        <is>
          <t>Творческие мастер-классы и художественные студии</t>
        </is>
      </c>
      <c r="F739" s="26" t="inlineStr">
        <is>
          <t>Подопечные фонда «Дети Марии» (общая группа детей и подростков)</t>
        </is>
      </c>
      <c r="G739" s="26" t="inlineStr">
        <is>
          <t>Студия фонда / выездная площадка</t>
        </is>
      </c>
      <c r="H739" s="26" t="inlineStr">
        <is>
          <t>Художественно-прикладные и ремесленные навыки</t>
        </is>
      </c>
      <c r="I739" s="27" t="inlineStr">
        <is>
          <t>Да (в тексте)</t>
        </is>
      </c>
      <c r="J739" s="26" t="inlineStr">
        <is>
          <t>В воскресенье в Москве прошёл #Экофестиваль, в котором мы приняли участие: провели мастер-класс по валянию и аквагрим, надували и дарили воздушные шарики и забавные фигурки из них, сделанные в технике твистинга 🎈 Рассказали жителям об акции «Добрые крышечки», о важности специальн...</t>
        </is>
      </c>
    </row>
    <row r="740" ht="30" customHeight="1">
      <c r="A740" s="28" t="n">
        <v>4953</v>
      </c>
      <c r="B740" s="29" t="inlineStr">
        <is>
          <t>2019-09-09</t>
        </is>
      </c>
      <c r="C740" s="30">
        <f>HYPERLINK("https://vk.com/wall-1825701_4953", "Открыть пост")</f>
        <v/>
      </c>
      <c r="D740" s="31" t="inlineStr">
        <is>
          <t>Творческие мастер-классы и художественные студии</t>
        </is>
      </c>
      <c r="E740" s="31" t="inlineStr">
        <is>
          <t>Творческие мастер-классы и художественные студии</t>
        </is>
      </c>
      <c r="F740" s="31" t="inlineStr">
        <is>
          <t>Подопечные фонда «Дети Марии» (общая группа детей и подростков)</t>
        </is>
      </c>
      <c r="G740" s="31" t="inlineStr">
        <is>
          <t>Студия фонда / выездная площадка</t>
        </is>
      </c>
      <c r="H740" s="31" t="inlineStr">
        <is>
          <t>Художественно-прикладные и ремесленные навыки</t>
        </is>
      </c>
      <c r="I740" s="32" t="inlineStr">
        <is>
          <t>Да (в тексте)</t>
        </is>
      </c>
      <c r="J740" s="31" t="inlineStr">
        <is>
          <t>Вчера наши сотрудники и волонтеры провели для детей мастер-класс по валянию во дворе Дома творчества в Вадковском переулке. Сваляли целый отряд мышей 🐭</t>
        </is>
      </c>
    </row>
    <row r="741" ht="30" customHeight="1">
      <c r="A741" s="23" t="n">
        <v>4950</v>
      </c>
      <c r="B741" s="24" t="inlineStr">
        <is>
          <t>2019-09-08</t>
        </is>
      </c>
      <c r="C741" s="25">
        <f>HYPERLINK("https://vk.com/wall-1825701_4950", "Открыть пост")</f>
        <v/>
      </c>
      <c r="D741" s="26" t="inlineStr">
        <is>
          <t>Кулинарные, образовательные и социально-бытовые занятия</t>
        </is>
      </c>
      <c r="E741" s="26" t="inlineStr">
        <is>
          <t>Кулинарные, образовательные и социально-бытовые занятия</t>
        </is>
      </c>
      <c r="F741" s="26" t="inlineStr">
        <is>
          <t>Подростки и взрослые с ментальными особенностями и ОВЗ (ПНИ / Социальные дома)</t>
        </is>
      </c>
      <c r="G741" s="26" t="inlineStr">
        <is>
          <t>Студия фонда / выездная площадка</t>
        </is>
      </c>
      <c r="H741" s="26" t="inlineStr">
        <is>
          <t>Артистические, музыкальные и спортивно-игровые навыки; Педагогические и наставнические навыки (кулинария, быт, учёба)</t>
        </is>
      </c>
      <c r="I741" s="27" t="inlineStr">
        <is>
          <t>Да (в тексте)</t>
        </is>
      </c>
      <c r="J741" s="26" t="inlineStr">
        <is>
          <t>В студии на Дмитровке — ПНИ 16. Все соскучились по субботним занятиям: и ребята, и волонтеры, и педагоги. За занятие успели много дел сделать. Вова Маркин закончил картину с морской батальной сценой — Посейдон спасает корабль от морского чудовища. Андрей слепил зайца. А Ваня и Ле...</t>
        </is>
      </c>
    </row>
    <row r="742" ht="30" customHeight="1">
      <c r="A742" s="28" t="n">
        <v>4946</v>
      </c>
      <c r="B742" s="29" t="inlineStr">
        <is>
          <t>2019-09-07</t>
        </is>
      </c>
      <c r="C742" s="30">
        <f>HYPERLINK("https://vk.com/wall-1825701_4946", "Открыть пост")</f>
        <v/>
      </c>
      <c r="D742" s="31" t="inlineStr">
        <is>
          <t>Творческие мастер-классы и художественные студии</t>
        </is>
      </c>
      <c r="E742" s="31" t="inlineStr">
        <is>
          <t>Творческие мастер-классы и художественные студии</t>
        </is>
      </c>
      <c r="F742" s="31" t="inlineStr">
        <is>
          <t>Подростки и взрослые с ментальными особенностями и ОВЗ (ПНИ / Социальные дома)</t>
        </is>
      </c>
      <c r="G742" s="31" t="inlineStr">
        <is>
          <t>Студия фонда / выездная площадка</t>
        </is>
      </c>
      <c r="H742" s="31" t="inlineStr">
        <is>
          <t>Художественно-прикладные и ремесленные навыки</t>
        </is>
      </c>
      <c r="I742" s="32" t="inlineStr">
        <is>
          <t>Да (в тексте)</t>
        </is>
      </c>
      <c r="J742" s="31" t="inlineStr">
        <is>
          <t>Продолжаем вливаться в учебный процесс :) Вчера приезжал на занятия ПНИ 16. Ребята с педагогами и волонтерами рисовали картины акварелью, плели гобелен, лепили и расписывали обожженные керамические изделия.</t>
        </is>
      </c>
    </row>
    <row r="743" ht="30" customHeight="1">
      <c r="A743" s="23" t="n">
        <v>4944</v>
      </c>
      <c r="B743" s="24" t="inlineStr">
        <is>
          <t>2019-09-06</t>
        </is>
      </c>
      <c r="C743" s="25">
        <f>HYPERLINK("https://vk.com/wall-1825701_4944", "Открыть пост")</f>
        <v/>
      </c>
      <c r="D743" s="26" t="inlineStr">
        <is>
          <t>Выставки, экскурсии и культурные выходы</t>
        </is>
      </c>
      <c r="E743" s="26" t="inlineStr">
        <is>
          <t>Выставки, экскурсии и культурные выходы</t>
        </is>
      </c>
      <c r="F743" s="26" t="inlineStr">
        <is>
          <t>Подростки и взрослые с ментальными особенностями и ОВЗ (ПНИ / Социальные дома)</t>
        </is>
      </c>
      <c r="G743" s="26" t="inlineStr">
        <is>
          <t>Студия фонда / выездная площадка</t>
        </is>
      </c>
      <c r="H743" s="26" t="inlineStr">
        <is>
          <t>Коммуникативные навыки, эмпатия и тьюторское сопровождение</t>
        </is>
      </c>
      <c r="I743" s="27" t="inlineStr">
        <is>
          <t>Да (в тексте)</t>
        </is>
      </c>
      <c r="J743" s="26" t="inlineStr">
        <is>
          <t>Первые дни осени выдались тёплыми, и ребята из ПНИ 16 с педагогами и волонтерами отправились в зоопарк. Гуляли, изучали разные виды животных и птиц. Больше всего ребят впечатлили мангусты. Мы узнали: несмотря на то, что мангусты — хищники, их любимое лакомство — арбуз 🍉</t>
        </is>
      </c>
    </row>
    <row r="744" ht="30" customHeight="1">
      <c r="A744" s="28" t="n">
        <v>4943</v>
      </c>
      <c r="B744" s="29" t="inlineStr">
        <is>
          <t>2019-09-06</t>
        </is>
      </c>
      <c r="C744" s="30">
        <f>HYPERLINK("https://vk.com/wall-1825701_4943", "Открыть пост")</f>
        <v/>
      </c>
      <c r="D744" s="31" t="inlineStr">
        <is>
          <t>Творческие мастер-классы и художественные студии</t>
        </is>
      </c>
      <c r="E744" s="31" t="inlineStr">
        <is>
          <t>Творческие мастер-классы и художественные студии</t>
        </is>
      </c>
      <c r="F744" s="31" t="inlineStr">
        <is>
          <t>Воспитанники ЦССВ, ДДИ и детских домов-интернатов</t>
        </is>
      </c>
      <c r="G744" s="31" t="inlineStr">
        <is>
          <t>интернатом №31</t>
        </is>
      </c>
      <c r="H744" s="31" t="inlineStr">
        <is>
          <t>Художественно-прикладные и ремесленные навыки</t>
        </is>
      </c>
      <c r="I744" s="32" t="inlineStr">
        <is>
          <t>По формату занятия</t>
        </is>
      </c>
      <c r="J744" s="31" t="inlineStr">
        <is>
          <t>Вчера прошло первое занятие в новом учебном году с интернатом №31 для детей с нарушениями опорно-двигательного аппарата. Под руководством Марии Ивановны ребята валяли мышей, а Соня и Ксюша сделали коврики. На занятии керамикой Тимур слепил медведя. А в соседней комнате можно было...</t>
        </is>
      </c>
    </row>
    <row r="745" ht="30" customHeight="1">
      <c r="A745" s="23" t="n">
        <v>4942</v>
      </c>
      <c r="B745" s="24" t="inlineStr">
        <is>
          <t>2019-09-06</t>
        </is>
      </c>
      <c r="C745" s="25">
        <f>HYPERLINK("https://vk.com/wall-1825701_4942", "Открыть пост")</f>
        <v/>
      </c>
      <c r="D745" s="26" t="inlineStr">
        <is>
          <t>Творческие мастер-классы и художественные студии</t>
        </is>
      </c>
      <c r="E745" s="26" t="inlineStr">
        <is>
          <t>Творческие мастер-классы и художественные студии</t>
        </is>
      </c>
      <c r="F745" s="26" t="inlineStr">
        <is>
          <t>Подопечные фонда «Дети Марии» (общая группа детей и подростков)</t>
        </is>
      </c>
      <c r="G745" s="26" t="inlineStr">
        <is>
          <t>Студия фонда / выездная площадка</t>
        </is>
      </c>
      <c r="H745" s="26" t="inlineStr">
        <is>
          <t>Художественно-прикладные и ремесленные навыки; Педагогические и наставнические навыки (кулинария, быт, учёба)</t>
        </is>
      </c>
      <c r="I745" s="27" t="inlineStr">
        <is>
          <t>По формату занятия</t>
        </is>
      </c>
      <c r="J745" s="26" t="inlineStr">
        <is>
          <t>В студии на Дмитровке возобновляются после лета занятия рисованием для взрослых. В среду преподаватель Нюся Митина предложила начать новый эко-зоологический арт-проект. Это будет большое панно с изображением представителей микромира и других животных. Заботясь об окружающей среде...</t>
        </is>
      </c>
    </row>
    <row r="746" ht="30" customHeight="1">
      <c r="A746" s="28" t="n">
        <v>4941</v>
      </c>
      <c r="B746" s="29" t="inlineStr">
        <is>
          <t>2019-09-06</t>
        </is>
      </c>
      <c r="C746" s="30">
        <f>HYPERLINK("https://vk.com/wall-1825701_4941", "Открыть пост")</f>
        <v/>
      </c>
      <c r="D746" s="31" t="inlineStr">
        <is>
          <t>Творческие мастер-классы и художественные студии</t>
        </is>
      </c>
      <c r="E746" s="31" t="inlineStr">
        <is>
          <t>Творческие мастер-классы и художественные студии; Выставки, экскурсии и культурные выходы</t>
        </is>
      </c>
      <c r="F746" s="31" t="inlineStr">
        <is>
          <t>Подопечные фонда «Дети Марии» (общая группа детей и подростков)</t>
        </is>
      </c>
      <c r="G746" s="31" t="inlineStr">
        <is>
          <t>Студия фонда / выездная площадка</t>
        </is>
      </c>
      <c r="H746" s="31"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t>
        </is>
      </c>
      <c r="I746" s="32" t="inlineStr">
        <is>
          <t>По формату занятия</t>
        </is>
      </c>
      <c r="J746" s="31" t="inlineStr">
        <is>
          <t>Поздравляем дорогую Марию Ивановну Пименову — преподавателя шитья и рукоделия с Юбилеем! ♥• Мария Ивановна с нами почти столько лет, сколько и существует студия, сотни детей и взрослых учились с ней шить, вышивать, вязать и валять, наслаждались её блинчиками и пирожками, чувствов...</t>
        </is>
      </c>
    </row>
    <row r="747" ht="30" customHeight="1">
      <c r="A747" s="23" t="n">
        <v>4940</v>
      </c>
      <c r="B747" s="24" t="inlineStr">
        <is>
          <t>2019-09-06</t>
        </is>
      </c>
      <c r="C747" s="25">
        <f>HYPERLINK("https://vk.com/wall-1825701_4940", "Открыть пост")</f>
        <v/>
      </c>
      <c r="D747" s="26" t="inlineStr">
        <is>
          <t>Творческие мастер-классы и художественные студии</t>
        </is>
      </c>
      <c r="E747" s="26" t="inlineStr">
        <is>
          <t>Творческие мастер-классы и художественные студии</t>
        </is>
      </c>
      <c r="F747" s="26" t="inlineStr">
        <is>
          <t>Воспитанники ЦССВ, ДДИ и детских домов-интернатов</t>
        </is>
      </c>
      <c r="G747" s="26" t="inlineStr">
        <is>
          <t>ЦССВ «Юнона»</t>
        </is>
      </c>
      <c r="H747" s="26" t="inlineStr">
        <is>
          <t>Художественно-прикладные и ремесленные навыки</t>
        </is>
      </c>
      <c r="I747" s="27" t="inlineStr">
        <is>
          <t>По формату занятия</t>
        </is>
      </c>
      <c r="J747" s="26" t="inlineStr">
        <is>
          <t>Начался сентябрь, а значит начались занятия! В среду ребята из ЦССВ «Юнона» были в студии на Дмитровке. Валяли мышей из шерсти, рисовали акварелью животных, начали керамические изделия.</t>
        </is>
      </c>
    </row>
    <row r="748" ht="30" customHeight="1">
      <c r="A748" s="28" t="n">
        <v>4939</v>
      </c>
      <c r="B748" s="29" t="inlineStr">
        <is>
          <t>2019-09-06</t>
        </is>
      </c>
      <c r="C748" s="30">
        <f>HYPERLINK("https://vk.com/wall-1825701_4939", "Открыть пост")</f>
        <v/>
      </c>
      <c r="D748" s="31" t="inlineStr">
        <is>
          <t>Творческие мастер-классы и художественные студии</t>
        </is>
      </c>
      <c r="E748" s="31" t="inlineStr">
        <is>
          <t>Творческие мастер-классы и художественные студии; Выездные лагеря, дача и сезонные программы</t>
        </is>
      </c>
      <c r="F748" s="31" t="inlineStr">
        <is>
          <t>Подростки и взрослые с ментальными особенностями и ОВЗ (ПНИ / Социальные дома)</t>
        </is>
      </c>
      <c r="G748" s="31" t="inlineStr">
        <is>
          <t>Студия фонда / выездная площадка</t>
        </is>
      </c>
      <c r="H748" s="31" t="inlineStr">
        <is>
          <t>Художественно-прикладные и ремесленные навыки</t>
        </is>
      </c>
      <c r="I748" s="32" t="inlineStr">
        <is>
          <t>По формату занятия</t>
        </is>
      </c>
      <c r="J748" s="31" t="inlineStr">
        <is>
          <t>В среду впервые после лета в загородные мастерское приезжали Филимонки. Педагог Ирина провела занятие керамикой. Леша, Вова и Кирилл лепили жирафов, а Антон и Аня делали тарелки с отпечатками растений 🦒🌿</t>
        </is>
      </c>
    </row>
    <row r="749" ht="30" customHeight="1">
      <c r="A749" s="23" t="n">
        <v>4932</v>
      </c>
      <c r="B749" s="24" t="inlineStr">
        <is>
          <t>2019-09-03</t>
        </is>
      </c>
      <c r="C749" s="25">
        <f>HYPERLINK("https://vk.com/wall-1825701_4932", "Открыть пост")</f>
        <v/>
      </c>
      <c r="D749" s="26" t="inlineStr">
        <is>
          <t>Творческие мастер-классы и художественные студии</t>
        </is>
      </c>
      <c r="E749" s="26" t="inlineStr">
        <is>
          <t>Творческие мастер-классы и художественные студии</t>
        </is>
      </c>
      <c r="F749" s="26" t="inlineStr">
        <is>
          <t>Подопечные фонда «Дети Марии» (общая группа детей и подростков)</t>
        </is>
      </c>
      <c r="G749" s="26" t="inlineStr">
        <is>
          <t>Студия фонда / выездная площадка</t>
        </is>
      </c>
      <c r="H749" s="26" t="inlineStr">
        <is>
          <t>Коммуникативные навыки, эмпатия и тьюторское сопровождение</t>
        </is>
      </c>
      <c r="I749" s="27" t="inlineStr">
        <is>
          <t>По формату занятия</t>
        </is>
      </c>
      <c r="J749" s="26" t="inlineStr">
        <is>
          <t>Сходили в субботу на мастер-класс по изготовлению карельских пирожков. Спасибо посольству Финдяднии за такой вкусный бранч)))</t>
        </is>
      </c>
    </row>
    <row r="750" ht="30" customHeight="1">
      <c r="A750" s="28" t="n">
        <v>4929</v>
      </c>
      <c r="B750" s="29" t="inlineStr">
        <is>
          <t>2019-09-03</t>
        </is>
      </c>
      <c r="C750" s="30">
        <f>HYPERLINK("https://vk.com/wall-1825701_4929", "Открыть пост")</f>
        <v/>
      </c>
      <c r="D750" s="31" t="inlineStr">
        <is>
          <t>Творческие мастер-классы и художественные студии</t>
        </is>
      </c>
      <c r="E750" s="31" t="inlineStr">
        <is>
          <t>Творческие мастер-классы и художественные студии</t>
        </is>
      </c>
      <c r="F750" s="31" t="inlineStr">
        <is>
          <t>Подростки и взрослые с ментальными особенностями и ОВЗ (ПНИ / Социальные дома)</t>
        </is>
      </c>
      <c r="G750" s="31" t="inlineStr">
        <is>
          <t>Студия фонда / выездная площадка</t>
        </is>
      </c>
      <c r="H750" s="31" t="inlineStr">
        <is>
          <t>Художественно-прикладные и ремесленные навыки</t>
        </is>
      </c>
      <c r="I750" s="32" t="inlineStr">
        <is>
          <t>По формату занятия</t>
        </is>
      </c>
      <c r="J750" s="31" t="inlineStr">
        <is>
          <t>Учебный год начался и в студии: сегодня на занятия приезжал ПНИ 16. Ребята плели гобелены, валяли заготовки для будущих мышек 🐭 Рисовали портреты людей и котов 👦🏼🐱</t>
        </is>
      </c>
    </row>
    <row r="751" ht="30" customHeight="1">
      <c r="A751" s="23" t="n">
        <v>4925</v>
      </c>
      <c r="B751" s="24" t="inlineStr">
        <is>
          <t>2019-09-01</t>
        </is>
      </c>
      <c r="C751" s="25">
        <f>HYPERLINK("https://vk.com/wall-1825701_4925", "Открыть пост")</f>
        <v/>
      </c>
      <c r="D751" s="26" t="inlineStr">
        <is>
          <t>Творческие мастер-классы и художественные студии</t>
        </is>
      </c>
      <c r="E751" s="26" t="inlineStr">
        <is>
          <t>Творческие мастер-классы и художественные студии; Ярмарки, фестивали и благотворительные базары; Выставки, экскурсии и культурные выходы; Спектакли, концерты и музыкально-театральные занятия</t>
        </is>
      </c>
      <c r="F751" s="26" t="inlineStr">
        <is>
          <t>Подопечные фонда «Дети Марии» (общая группа детей и подростков)</t>
        </is>
      </c>
      <c r="G751" s="26" t="inlineStr">
        <is>
          <t>Студия фонда / выездная площадка</t>
        </is>
      </c>
      <c r="H751" s="26" t="inlineStr">
        <is>
          <t>Художественно-прикладные и ремесленные навыки; Артистические, музыкальные и спортивно-игровые навыки; Педагогические и наставнические навыки (кулинария, быт, учёба)</t>
        </is>
      </c>
      <c r="I751" s="27" t="inlineStr">
        <is>
          <t>По формату занятия</t>
        </is>
      </c>
      <c r="J751" s="26" t="inlineStr">
        <is>
          <t>Прекрасная погода была в последний день этого лета! Как по заказу, чтобы фестиваль #ЗдороваяМосква, который прошел в парке «Усадьба Трубецких», запомнился москвичам яркими красками мастер-классов и концертных номеров. Художественный центр «Дети Марии» показал на фестивале мини-вы...</t>
        </is>
      </c>
    </row>
    <row r="752" ht="30" customHeight="1">
      <c r="A752" s="28" t="n">
        <v>4920</v>
      </c>
      <c r="B752" s="29" t="inlineStr">
        <is>
          <t>2019-08-29</t>
        </is>
      </c>
      <c r="C752" s="30">
        <f>HYPERLINK("https://vk.com/wall-1825701_4920", "Открыть пост")</f>
        <v/>
      </c>
      <c r="D752" s="31" t="inlineStr">
        <is>
          <t>Выставки, экскурсии и культурные выходы</t>
        </is>
      </c>
      <c r="E752" s="31" t="inlineStr">
        <is>
          <t>Выставки, экскурсии и культурные выходы</t>
        </is>
      </c>
      <c r="F752" s="31" t="inlineStr">
        <is>
          <t>Подопечные фонда «Дети Марии» (общая группа детей и подростков)</t>
        </is>
      </c>
      <c r="G752" s="31" t="inlineStr">
        <is>
          <t>Студия фонда / выездная площадка</t>
        </is>
      </c>
      <c r="H752" s="31" t="inlineStr">
        <is>
          <t>Мобильность, выездное сопровождение и автоволонтёрство</t>
        </is>
      </c>
      <c r="I752" s="32" t="inlineStr">
        <is>
          <t>По формату занятия</t>
        </is>
      </c>
      <c r="J752" s="31" t="inlineStr">
        <is>
          <t>Вчера посетили ядерное бомбоубежище — «Бункер 42» на глубине -18 этажей. Это сооружение было актуально с 1956 по 1986 год. Теперь там музей. Спасибо руководству музея за возможность бесплатного посещения и интересную экскурсию.</t>
        </is>
      </c>
    </row>
    <row r="753" ht="30" customHeight="1">
      <c r="A753" s="23" t="n">
        <v>4911</v>
      </c>
      <c r="B753" s="24" t="inlineStr">
        <is>
          <t>2019-08-28</t>
        </is>
      </c>
      <c r="C753" s="25">
        <f>HYPERLINK("https://vk.com/wall-1825701_4911", "Открыть пост")</f>
        <v/>
      </c>
      <c r="D753" s="26" t="inlineStr">
        <is>
          <t>Спектакли, концерты и музыкально-театральные занятия</t>
        </is>
      </c>
      <c r="E753" s="26" t="inlineStr">
        <is>
          <t>Спектакли, концерты и музыкально-театральные занятия; Праздники, дни рождения и клубные встречи; Творческие мастер-классы и художественные студии</t>
        </is>
      </c>
      <c r="F753" s="26" t="inlineStr">
        <is>
          <t>Подопечные фонда «Дети Марии» (общая группа детей и подростков)</t>
        </is>
      </c>
      <c r="G753" s="26" t="inlineStr">
        <is>
          <t>Студия фонда / выездная площадка</t>
        </is>
      </c>
      <c r="H753" s="26" t="inlineStr">
        <is>
          <t>Художественно-прикладные и ремесленные навыки; Артистические, музыкальные и спортивно-игровые навыки; Педагогические и наставнические навыки (кулинария, быт, учёба)</t>
        </is>
      </c>
      <c r="I753" s="27" t="inlineStr">
        <is>
          <t>По формату занятия</t>
        </is>
      </c>
      <c r="J753" s="26" t="inlineStr">
        <is>
          <t>Концертом и мастерклассами отпраздновали завершение благоустройства площадки в Антроповском сквере (2-й Щемиловский пер.) в Тверском районе. Преподаватель Художественного центра "Дети Марии" рисовала с маленькими москвичами цветы и деревья. С 27 августа ещё одним уютным местом дл...</t>
        </is>
      </c>
    </row>
    <row r="754" ht="30" customHeight="1">
      <c r="A754" s="28" t="n">
        <v>4900</v>
      </c>
      <c r="B754" s="29" t="inlineStr">
        <is>
          <t>2019-08-21</t>
        </is>
      </c>
      <c r="C754" s="30">
        <f>HYPERLINK("https://vk.com/wall-1825701_4900", "Открыть пост")</f>
        <v/>
      </c>
      <c r="D754" s="31" t="inlineStr">
        <is>
          <t>Творческие мастер-классы и художественные студии</t>
        </is>
      </c>
      <c r="E754" s="31" t="inlineStr">
        <is>
          <t>Творческие мастер-классы и художественные студии</t>
        </is>
      </c>
      <c r="F754" s="31" t="inlineStr">
        <is>
          <t>Подростки и взрослые с ментальными особенностями и ОВЗ (ПНИ / Социальные дома)</t>
        </is>
      </c>
      <c r="G754" s="31" t="inlineStr">
        <is>
          <t>Студия фонда / выездная площадка</t>
        </is>
      </c>
      <c r="H754" s="31" t="inlineStr">
        <is>
          <t>Художественно-прикладные и ремесленные навыки</t>
        </is>
      </c>
      <c r="I754" s="32" t="inlineStr">
        <is>
          <t>По формату занятия</t>
        </is>
      </c>
      <c r="J754" s="31" t="inlineStr">
        <is>
          <t>Вчера в студии на Новинском было занятие с ребятами из ПНИ 16. Мы рисовали птицу Киви! :))</t>
        </is>
      </c>
    </row>
    <row r="755" ht="30" customHeight="1">
      <c r="A755" s="23" t="n">
        <v>4898</v>
      </c>
      <c r="B755" s="24" t="inlineStr">
        <is>
          <t>2019-08-21</t>
        </is>
      </c>
      <c r="C755" s="25">
        <f>HYPERLINK("https://vk.com/wall-1825701_4898", "Открыть пост")</f>
        <v/>
      </c>
      <c r="D755" s="26" t="inlineStr">
        <is>
          <t>Творческие мастер-классы и художественные студии</t>
        </is>
      </c>
      <c r="E755" s="26" t="inlineStr">
        <is>
          <t>Творческие мастер-классы и художественные студии</t>
        </is>
      </c>
      <c r="F755" s="26" t="inlineStr">
        <is>
          <t>Подопечные фонда «Дети Марии» (общая группа детей и подростков)</t>
        </is>
      </c>
      <c r="G755" s="26" t="inlineStr">
        <is>
          <t>Студия фонда / выездная площадка</t>
        </is>
      </c>
      <c r="H755" s="26"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t>
        </is>
      </c>
      <c r="I755" s="27" t="inlineStr">
        <is>
          <t>По формату занятия</t>
        </is>
      </c>
      <c r="J755" s="26" t="inlineStr">
        <is>
          <t>В студии в пятницу было рисование для взрослых. Занимались индивидуальными проектами. А Ясин учился рисовать замки, чтобы делать живописные детали на стенах, которые расписывает команда художников.</t>
        </is>
      </c>
    </row>
    <row r="756" ht="30" customHeight="1">
      <c r="A756" s="28" t="n">
        <v>4897</v>
      </c>
      <c r="B756" s="29" t="inlineStr">
        <is>
          <t>2019-08-18</t>
        </is>
      </c>
      <c r="C756" s="30">
        <f>HYPERLINK("https://vk.com/wall-1825701_4897", "Открыть пост")</f>
        <v/>
      </c>
      <c r="D756" s="31" t="inlineStr">
        <is>
          <t>Спортивные и активные мероприятия</t>
        </is>
      </c>
      <c r="E756" s="31" t="inlineStr">
        <is>
          <t>Спортивные и активные мероприятия</t>
        </is>
      </c>
      <c r="F756" s="31" t="inlineStr">
        <is>
          <t>Подопечные фонда «Дети Марии» (общая группа детей и подростков)</t>
        </is>
      </c>
      <c r="G756" s="31" t="inlineStr">
        <is>
          <t>Студия фонда / выездная площадка</t>
        </is>
      </c>
      <c r="H756" s="31" t="inlineStr">
        <is>
          <t>Коммуникативные навыки, эмпатия и тьюторское сопровождение</t>
        </is>
      </c>
      <c r="I756" s="32" t="inlineStr">
        <is>
          <t>По формату занятия</t>
        </is>
      </c>
      <c r="J756" s="31" t="inlineStr">
        <is>
          <t>Господа шахматисты, Алексей Ждамиров, говорит, что в студии на Дмитровке скоро начнётся новый турнир по шахматам. Готовьтесь!</t>
        </is>
      </c>
    </row>
    <row r="757" ht="30" customHeight="1">
      <c r="A757" s="23" t="n">
        <v>4893</v>
      </c>
      <c r="B757" s="24" t="inlineStr">
        <is>
          <t>2019-08-15</t>
        </is>
      </c>
      <c r="C757" s="25">
        <f>HYPERLINK("https://vk.com/wall-1825701_4893", "Открыть пост")</f>
        <v/>
      </c>
      <c r="D757" s="26" t="inlineStr">
        <is>
          <t>Спортивные и активные мероприятия</t>
        </is>
      </c>
      <c r="E757" s="26" t="inlineStr">
        <is>
          <t>Спортивные и активные мероприятия; Творческие мастер-классы и художественные студии; Кулинарные, образовательные и социально-бытовые занятия</t>
        </is>
      </c>
      <c r="F757" s="26" t="inlineStr">
        <is>
          <t>Подростки и взрослые с ментальными особенностями и ОВЗ (ПНИ / Социальные дома); Воспитанники ЦССВ, ДДИ и детских домов-интернатов</t>
        </is>
      </c>
      <c r="G757" s="26" t="inlineStr">
        <is>
          <t>Студия фонда / выездная площадка</t>
        </is>
      </c>
      <c r="H757" s="26" t="inlineStr">
        <is>
          <t>Артистические, музыкальные и спортивно-игровые навыки; Организационные, ивент- и ярмарочные навыки</t>
        </is>
      </c>
      <c r="I757" s="27" t="inlineStr">
        <is>
          <t>Да (в тексте)</t>
        </is>
      </c>
      <c r="J757" s="26" t="inlineStr">
        <is>
          <t>Сотрудники и волонтеры Maria's Children ArtCenter Moscow и БФ «Пеликан» Ирина Рокотнина, Наташа Хасанова и Ясин Омар стали участниками невероятно интересного события — Конференции Центра лечебной педагогики. Обсуждались вопросы, касающиеся ПНИ, ДДИ, волонтерства, выгорания, инклю...</t>
        </is>
      </c>
    </row>
    <row r="758" ht="30" customHeight="1">
      <c r="A758" s="28" t="n">
        <v>4890</v>
      </c>
      <c r="B758" s="29" t="inlineStr">
        <is>
          <t>2019-08-13</t>
        </is>
      </c>
      <c r="C758" s="30">
        <f>HYPERLINK("https://vk.com/wall-1825701_4890", "Открыть пост")</f>
        <v/>
      </c>
      <c r="D758" s="31" t="inlineStr">
        <is>
          <t>Творческие мастер-классы и художественные студии</t>
        </is>
      </c>
      <c r="E758" s="31" t="inlineStr">
        <is>
          <t>Творческие мастер-классы и художественные студии</t>
        </is>
      </c>
      <c r="F758" s="31" t="inlineStr">
        <is>
          <t>Подростки и взрослые с ментальными особенностями и ОВЗ (ПНИ / Социальные дома)</t>
        </is>
      </c>
      <c r="G758" s="31" t="inlineStr">
        <is>
          <t>Студия фонда / выездная площадка</t>
        </is>
      </c>
      <c r="H758" s="31" t="inlineStr">
        <is>
          <t>Художественно-прикладные и ремесленные навыки</t>
        </is>
      </c>
      <c r="I758" s="32" t="inlineStr">
        <is>
          <t>По формату занятия</t>
        </is>
      </c>
      <c r="J758" s="31" t="inlineStr">
        <is>
          <t>Занятие на Пресне с ребятами из 16-го ПНИ сегодня проходило в парке! Светило солнце, фонтан журчал рядом, рисовать — одно удовольствие ☀•🌿</t>
        </is>
      </c>
    </row>
    <row r="759" ht="30" customHeight="1">
      <c r="A759" s="23" t="n">
        <v>4883</v>
      </c>
      <c r="B759" s="24" t="inlineStr">
        <is>
          <t>2019-08-09</t>
        </is>
      </c>
      <c r="C759" s="25">
        <f>HYPERLINK("https://vk.com/wall-1825701_4883", "Открыть пост")</f>
        <v/>
      </c>
      <c r="D759" s="26" t="inlineStr">
        <is>
          <t>Творческие мастер-классы и художественные студии</t>
        </is>
      </c>
      <c r="E759" s="26" t="inlineStr">
        <is>
          <t>Творческие мастер-классы и художественные студии</t>
        </is>
      </c>
      <c r="F759" s="26" t="inlineStr">
        <is>
          <t>Подростки и взрослые с ментальными особенностями и ОВЗ (ПНИ / Социальные дома)</t>
        </is>
      </c>
      <c r="G759" s="26" t="inlineStr">
        <is>
          <t>ПНИ №16</t>
        </is>
      </c>
      <c r="H759" s="26" t="inlineStr">
        <is>
          <t>Художественно-прикладные и ремесленные навыки</t>
        </is>
      </c>
      <c r="I759" s="27" t="inlineStr">
        <is>
          <t>Да (в тексте)</t>
        </is>
      </c>
      <c r="J759" s="26" t="inlineStr">
        <is>
          <t>Педагоги и волонтер Аля ездили вчера в ПНИ №16 на занятие к ребятам. Рисовали на свободную тему акварелью и карандашами 😊</t>
        </is>
      </c>
    </row>
    <row r="760" ht="30" customHeight="1">
      <c r="A760" s="28" t="n">
        <v>4882</v>
      </c>
      <c r="B760" s="29" t="inlineStr">
        <is>
          <t>2019-08-09</t>
        </is>
      </c>
      <c r="C760" s="30">
        <f>HYPERLINK("https://vk.com/wall-1825701_4882", "Открыть пост")</f>
        <v/>
      </c>
      <c r="D760" s="31" t="inlineStr">
        <is>
          <t>Кулинарные, образовательные и социально-бытовые занятия</t>
        </is>
      </c>
      <c r="E760" s="31" t="inlineStr">
        <is>
          <t>Кулинарные, образовательные и социально-бытовые занятия; Творческие мастер-классы и художественные студии</t>
        </is>
      </c>
      <c r="F760" s="31" t="inlineStr">
        <is>
          <t>Подопечные фонда «Дети Марии» (общая группа детей и подростков)</t>
        </is>
      </c>
      <c r="G760" s="31" t="inlineStr">
        <is>
          <t>Студия фонда / выездная площадка</t>
        </is>
      </c>
      <c r="H760" s="31" t="inlineStr">
        <is>
          <t>Педагогические и наставнические навыки (кулинария, быт, учёба)</t>
        </is>
      </c>
      <c r="I760" s="32" t="inlineStr">
        <is>
          <t>По формату занятия</t>
        </is>
      </c>
      <c r="J760" s="31" t="inlineStr">
        <is>
          <t>Кулинарный мастер-класс вчера был посвящён дню рождения Машель — два греческих салата с разными сырами и разными соусами. И все в этот день для именинницы ❤•🎂🌹 Поздравляем!</t>
        </is>
      </c>
    </row>
    <row r="761" ht="30" customHeight="1">
      <c r="A761" s="23" t="n">
        <v>4862</v>
      </c>
      <c r="B761" s="24" t="inlineStr">
        <is>
          <t>2019-08-02</t>
        </is>
      </c>
      <c r="C761" s="25">
        <f>HYPERLINK("https://vk.com/wall-1825701_4862", "Открыть пост")</f>
        <v/>
      </c>
      <c r="D761" s="26" t="inlineStr">
        <is>
          <t>Творческие мастер-классы и художественные студии</t>
        </is>
      </c>
      <c r="E761" s="26" t="inlineStr">
        <is>
          <t>Творческие мастер-классы и художественные студии; Спектакли, концерты и музыкально-театральные занятия</t>
        </is>
      </c>
      <c r="F761" s="26" t="inlineStr">
        <is>
          <t>Подростки и взрослые с ментальными особенностями и ОВЗ (ПНИ / Социальные дома); Воспитанники ЦССВ, ДДИ и детских домов-интернатов</t>
        </is>
      </c>
      <c r="G761" s="26" t="inlineStr">
        <is>
          <t>ПНИ №16</t>
        </is>
      </c>
      <c r="H761"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t>
        </is>
      </c>
      <c r="I761" s="27" t="inlineStr">
        <is>
          <t>По формату занятия</t>
        </is>
      </c>
      <c r="J761" s="26" t="inlineStr">
        <is>
          <t>На этой неделе дважды в студии на Новинском были ребята из ПНИ №16. Несмотря на холодную погоду за окнами, пели песни про лето и алые паруса. Валяние, арт-терапия, совместный обед — занятие прошло в тёплой и дружественной атмосфере :)</t>
        </is>
      </c>
    </row>
    <row r="762" ht="30" customHeight="1">
      <c r="A762" s="28" t="n">
        <v>4856</v>
      </c>
      <c r="B762" s="29" t="inlineStr">
        <is>
          <t>2019-07-27</t>
        </is>
      </c>
      <c r="C762" s="30">
        <f>HYPERLINK("https://vk.com/wall-1825701_4856", "Открыть пост")</f>
        <v/>
      </c>
      <c r="D762" s="31" t="inlineStr">
        <is>
          <t>Творческие мастер-классы и художественные студии</t>
        </is>
      </c>
      <c r="E762" s="31" t="inlineStr">
        <is>
          <t>Творческие мастер-классы и художественные студии</t>
        </is>
      </c>
      <c r="F762" s="31" t="inlineStr">
        <is>
          <t>Подростки и взрослые с ментальными особенностями и ОВЗ (ПНИ / Социальные дома)</t>
        </is>
      </c>
      <c r="G762" s="31" t="inlineStr">
        <is>
          <t>ПНИ №16</t>
        </is>
      </c>
      <c r="H762" s="31" t="inlineStr">
        <is>
          <t>Художественно-прикладные и ремесленные навыки; Артистические, музыкальные и спортивно-игровые навыки</t>
        </is>
      </c>
      <c r="I762" s="32" t="inlineStr">
        <is>
          <t>По формату занятия</t>
        </is>
      </c>
      <c r="J762" s="31" t="inlineStr">
        <is>
          <t>Продолжается освоение рабочего пространства в новом помещении на Пресне. Ребята из ПНИ №16 приезжали в четверг: рисовали, чертили и пели. Занятие прошло плодотворно!)</t>
        </is>
      </c>
    </row>
    <row r="763" ht="30" customHeight="1">
      <c r="A763" s="23" t="n">
        <v>4853</v>
      </c>
      <c r="B763" s="24" t="inlineStr">
        <is>
          <t>2019-07-25</t>
        </is>
      </c>
      <c r="C763" s="25">
        <f>HYPERLINK("https://vk.com/wall-1825701_4853", "Открыть пост")</f>
        <v/>
      </c>
      <c r="D763" s="26" t="inlineStr">
        <is>
          <t>Творческие мастер-классы и художественные студии</t>
        </is>
      </c>
      <c r="E763" s="26" t="inlineStr">
        <is>
          <t>Творческие мастер-классы и художественные студии; Спектакли, концерты и музыкально-театральные занятия</t>
        </is>
      </c>
      <c r="F763" s="26" t="inlineStr">
        <is>
          <t>Подростки и взрослые с ментальными особенностями и ОВЗ (ПНИ / Социальные дома)</t>
        </is>
      </c>
      <c r="G763" s="26" t="inlineStr">
        <is>
          <t>Студия фонда / выездная площадка</t>
        </is>
      </c>
      <c r="H763" s="26" t="inlineStr">
        <is>
          <t>Художественно-прикладные и ремесленные навыки; Артистические, музыкальные и спортивно-игровые навыки</t>
        </is>
      </c>
      <c r="I763" s="27" t="inlineStr">
        <is>
          <t>По формату занятия</t>
        </is>
      </c>
      <c r="J763" s="26" t="inlineStr">
        <is>
          <t>Во вторник в новом помещении студии на Пресне было занятие у ребят из ПНИ 16: рисовали, валяли, вязали, играли на музыкальных инструментах и пели песни 🎼</t>
        </is>
      </c>
    </row>
    <row r="764" ht="30" customHeight="1">
      <c r="A764" s="28" t="n">
        <v>4848</v>
      </c>
      <c r="B764" s="29" t="inlineStr">
        <is>
          <t>2019-07-22</t>
        </is>
      </c>
      <c r="C764" s="30">
        <f>HYPERLINK("https://vk.com/wall-1825701_4848", "Открыть пост")</f>
        <v/>
      </c>
      <c r="D764" s="31" t="inlineStr">
        <is>
          <t>Творческие мастер-классы и художественные студии</t>
        </is>
      </c>
      <c r="E764" s="31" t="inlineStr">
        <is>
          <t>Творческие мастер-классы и художественные студии</t>
        </is>
      </c>
      <c r="F764" s="31" t="inlineStr">
        <is>
          <t>Подростки и взрослые с ментальными особенностями и ОВЗ (ПНИ / Социальные дома)</t>
        </is>
      </c>
      <c r="G764" s="31" t="inlineStr">
        <is>
          <t>Студия фонда / выездная площадка</t>
        </is>
      </c>
      <c r="H764" s="31" t="inlineStr">
        <is>
          <t>Художественно-прикладные и ремесленные навыки</t>
        </is>
      </c>
      <c r="I764" s="32" t="inlineStr">
        <is>
          <t>По формату занятия</t>
        </is>
      </c>
      <c r="J764" s="31" t="inlineStr">
        <is>
          <t>Всё-таки как удивительно тесен мир! Наша педагог Анна Андреева рассказывает: «Вчера в Суздале я случайно встретила девочек из ПНИ 11 с сестрой милосердия Натальей. А сегодня они приехали ко мне в гости в деревню Иваньково, познакомились с домом, с котами, и с живописными окрестно...</t>
        </is>
      </c>
    </row>
    <row r="765" ht="30" customHeight="1">
      <c r="A765" s="23" t="n">
        <v>4844</v>
      </c>
      <c r="B765" s="24" t="inlineStr">
        <is>
          <t>2019-07-22</t>
        </is>
      </c>
      <c r="C765" s="25">
        <f>HYPERLINK("https://vk.com/wall-1825701_4844", "Открыть пост")</f>
        <v/>
      </c>
      <c r="D765" s="26" t="inlineStr">
        <is>
          <t>Творческие мастер-классы и художественные студии</t>
        </is>
      </c>
      <c r="E765" s="26" t="inlineStr">
        <is>
          <t>Творческие мастер-классы и художественные студии; Спектакли, концерты и музыкально-театральные занятия</t>
        </is>
      </c>
      <c r="F765" s="26" t="inlineStr">
        <is>
          <t>Подростки и взрослые с ментальными особенностями и ОВЗ (ПНИ / Социальные дома)</t>
        </is>
      </c>
      <c r="G765" s="26" t="inlineStr">
        <is>
          <t>Студия фонда / выездная площадка</t>
        </is>
      </c>
      <c r="H765" s="26" t="inlineStr">
        <is>
          <t>Художественно-прикладные и ремесленные навыки; Артистические, музыкальные и спортивно-игровые навыки; Педагогические и наставнические навыки (кулинария, быт, учёба)</t>
        </is>
      </c>
      <c r="I765" s="27" t="inlineStr">
        <is>
          <t>Да (в тексте)</t>
        </is>
      </c>
      <c r="J765" s="26" t="inlineStr">
        <is>
          <t>В субботу на занятие в студию приезжали ребята из ПНИ 16. Рисовали рыб. Любовь Ивановна аккомпанировала пению и учила играть на барабане. Детали для коллективной морской картины придумали не склеить, как обычно, а сшить. И даже обед был на рыбную тему — суп-уха. Спасибо волонтера...</t>
        </is>
      </c>
    </row>
    <row r="766" ht="30" customHeight="1">
      <c r="A766" s="28" t="n">
        <v>4842</v>
      </c>
      <c r="B766" s="29" t="inlineStr">
        <is>
          <t>2019-07-20</t>
        </is>
      </c>
      <c r="C766" s="30">
        <f>HYPERLINK("https://vk.com/wall-1825701_4842", "Открыть пост")</f>
        <v/>
      </c>
      <c r="D766" s="31" t="inlineStr">
        <is>
          <t>Ярмарки, фестивали и благотворительные базары</t>
        </is>
      </c>
      <c r="E766" s="31" t="inlineStr">
        <is>
          <t>Ярмарки, фестивали и благотворительные базары; Творческие мастер-классы и художественные студии</t>
        </is>
      </c>
      <c r="F766" s="31" t="inlineStr">
        <is>
          <t>Широкая аудитория, гости и благотворители (открытые события)</t>
        </is>
      </c>
      <c r="G766" s="31" t="inlineStr">
        <is>
          <t>Студия фонда / выездная площадка</t>
        </is>
      </c>
      <c r="H766" s="31" t="inlineStr">
        <is>
          <t>Артистические, музыкальные и спортивно-игровые навыки</t>
        </is>
      </c>
      <c r="I766" s="32" t="inlineStr">
        <is>
          <t>По формату занятия</t>
        </is>
      </c>
      <c r="J766" s="31" t="inlineStr">
        <is>
          <t>Погода и Тайский фестиваль в Сокольниках разгулялись! Тут и экзотическая еда, и мастер-классы, и танцы, и много всего другого — целая фестивальная площадь! Компания Peppermint Field предлагает ингаляторы — маленькие удобные, размером с губную помаду, приятно пахнущие мятой или ап...</t>
        </is>
      </c>
    </row>
    <row r="767" ht="30" customHeight="1">
      <c r="A767" s="23" t="n">
        <v>4841</v>
      </c>
      <c r="B767" s="24" t="inlineStr">
        <is>
          <t>2019-07-19</t>
        </is>
      </c>
      <c r="C767" s="25">
        <f>HYPERLINK("https://vk.com/wall-1825701_4841", "Открыть пост")</f>
        <v/>
      </c>
      <c r="D767" s="26" t="inlineStr">
        <is>
          <t>Ярмарки, фестивали и благотворительные базары</t>
        </is>
      </c>
      <c r="E767" s="26" t="inlineStr">
        <is>
          <t>Ярмарки, фестивали и благотворительные базары</t>
        </is>
      </c>
      <c r="F767" s="26" t="inlineStr">
        <is>
          <t>Подопечные фонда «Дети Марии» (общая группа детей и подростков)</t>
        </is>
      </c>
      <c r="G767" s="26" t="inlineStr">
        <is>
          <t>Студия фонда / выездная площадка</t>
        </is>
      </c>
      <c r="H767" s="26" t="inlineStr">
        <is>
          <t>Коммуникативные навыки, эмпатия и тьюторское сопровождение</t>
        </is>
      </c>
      <c r="I767" s="27" t="inlineStr">
        <is>
          <t>По формату занятия</t>
        </is>
      </c>
      <c r="J767" s="26" t="inlineStr">
        <is>
          <t>Друзья, завтра и послезавтра в парке Сокольники проходит фестиваль культуры Тайланда в Москве. Наша дружба с тайским Посольством началась этой зимой. И продолжается самым неожиданным для нас образом - нас пригласили принять участие в фестивале! Приходите с выходные в Сокольники, ...</t>
        </is>
      </c>
    </row>
    <row r="768" ht="30" customHeight="1">
      <c r="A768" s="28" t="n">
        <v>4839</v>
      </c>
      <c r="B768" s="29" t="inlineStr">
        <is>
          <t>2019-07-18</t>
        </is>
      </c>
      <c r="C768" s="30">
        <f>HYPERLINK("https://vk.com/wall-1825701_4839", "Открыть пост")</f>
        <v/>
      </c>
      <c r="D768" s="31" t="inlineStr">
        <is>
          <t>Творческие мастер-классы и художественные студии</t>
        </is>
      </c>
      <c r="E768" s="31" t="inlineStr">
        <is>
          <t>Творческие мастер-классы и художественные студии</t>
        </is>
      </c>
      <c r="F768" s="31" t="inlineStr">
        <is>
          <t>Подростки и взрослые с ментальными особенностями и ОВЗ (ПНИ / Социальные дома)</t>
        </is>
      </c>
      <c r="G768" s="31" t="inlineStr">
        <is>
          <t>Студия фонда / выездная площадка</t>
        </is>
      </c>
      <c r="H768" s="31" t="inlineStr">
        <is>
          <t>Коммуникативные навыки, эмпатия и тьюторское сопровождение; Артистические, музыкальные и спортивно-игровые навыки</t>
        </is>
      </c>
      <c r="I768" s="32" t="inlineStr">
        <is>
          <t>По формату занятия</t>
        </is>
      </c>
      <c r="J768" s="31" t="inlineStr">
        <is>
          <t>Сегодня открыла двери новая студия на Пресне! Первые занятия прошли дружно и плодотворно. Спасибо Вере, которую не остановил дождь: она привезла группу ребят из ПНИ 16 и провела занятие по арт-терапии. Приехали наши вязальщики Лёша и Дима, довязывали носки с Марией Ивановной. Люб...</t>
        </is>
      </c>
    </row>
    <row r="769" ht="30" customHeight="1">
      <c r="A769" s="23" t="n">
        <v>4838</v>
      </c>
      <c r="B769" s="24" t="inlineStr">
        <is>
          <t>2019-07-18</t>
        </is>
      </c>
      <c r="C769" s="25">
        <f>HYPERLINK("https://vk.com/wall-1825701_4838", "Открыть пост")</f>
        <v/>
      </c>
      <c r="D769" s="26" t="inlineStr">
        <is>
          <t>Творческие мастер-классы и художественные студии</t>
        </is>
      </c>
      <c r="E769" s="26" t="inlineStr">
        <is>
          <t>Творческие мастер-классы и художественные студии</t>
        </is>
      </c>
      <c r="F769" s="26" t="inlineStr">
        <is>
          <t>Подростки и взрослые с ментальными особенностями и ОВЗ (ПНИ / Социальные дома)</t>
        </is>
      </c>
      <c r="G769" s="26" t="inlineStr">
        <is>
          <t>ПНИ №16</t>
        </is>
      </c>
      <c r="H769" s="26" t="inlineStr">
        <is>
          <t>Художественно-прикладные и ремесленные навыки</t>
        </is>
      </c>
      <c r="I769" s="27" t="inlineStr">
        <is>
          <t>Да (в тексте)</t>
        </is>
      </c>
      <c r="J769" s="26" t="inlineStr">
        <is>
          <t>В ПНИ №16 было занятие: рисовали уютные домашние растения, кактусы, фиалки и суккуленты 🌵 Любимая всеми волонтер Аля сделала фотопортреты ребят. С характером получились портреты :)</t>
        </is>
      </c>
    </row>
    <row r="770" ht="30" customHeight="1">
      <c r="A770" s="28" t="n">
        <v>4832</v>
      </c>
      <c r="B770" s="29" t="inlineStr">
        <is>
          <t>2019-07-17</t>
        </is>
      </c>
      <c r="C770" s="30">
        <f>HYPERLINK("https://vk.com/wall-1825701_4832", "Открыть пост")</f>
        <v/>
      </c>
      <c r="D770" s="31" t="inlineStr">
        <is>
          <t>Творческие мастер-классы и художественные студии</t>
        </is>
      </c>
      <c r="E770" s="31" t="inlineStr">
        <is>
          <t>Творческие мастер-классы и художественные студии</t>
        </is>
      </c>
      <c r="F770" s="31" t="inlineStr">
        <is>
          <t>Подростки и взрослые с ментальными особенностями и ОВЗ (ПНИ / Социальные дома)</t>
        </is>
      </c>
      <c r="G770" s="31" t="inlineStr">
        <is>
          <t>Студия фонда / выездная площадка</t>
        </is>
      </c>
      <c r="H770" s="31" t="inlineStr">
        <is>
          <t>Художественно-прикладные и ремесленные навыки; Артистические, музыкальные и спортивно-игровые навыки; Педагогические и наставнические навыки (кулинария, быт, учёба)</t>
        </is>
      </c>
      <c r="I770" s="32" t="inlineStr">
        <is>
          <t>По формату занятия</t>
        </is>
      </c>
      <c r="J770" s="31" t="inlineStr">
        <is>
          <t>В понедельник в студии были ребята из ПНИ 11. Валяли. Рисовали элементы для коллективной картины. Занимались музыкой с Любовью Ивановной, учили ноты с Ханной. Лепили, расписывали керамику: глиняные листья, которые достали из печки, в руках ребят позеленели 🌿</t>
        </is>
      </c>
    </row>
    <row r="771" ht="30" customHeight="1">
      <c r="A771" s="23" t="n">
        <v>4825</v>
      </c>
      <c r="B771" s="24" t="inlineStr">
        <is>
          <t>2019-07-11</t>
        </is>
      </c>
      <c r="C771" s="25">
        <f>HYPERLINK("https://vk.com/wall-1825701_4825", "Открыть пост")</f>
        <v/>
      </c>
      <c r="D771" s="26" t="inlineStr">
        <is>
          <t>Творческие мастер-классы и художественные студии</t>
        </is>
      </c>
      <c r="E771" s="26" t="inlineStr">
        <is>
          <t>Творческие мастер-классы и художественные студии</t>
        </is>
      </c>
      <c r="F771" s="26" t="inlineStr">
        <is>
          <t>Подростки и взрослые с ментальными особенностями и ОВЗ (ПНИ / Социальные дома)</t>
        </is>
      </c>
      <c r="G771" s="26" t="inlineStr">
        <is>
          <t>Студия фонда / выездная площадка</t>
        </is>
      </c>
      <c r="H771" s="26" t="inlineStr">
        <is>
          <t>Художественно-прикладные и ремесленные навыки; Мобильность, выездное сопровождение и автоволонтёрство</t>
        </is>
      </c>
      <c r="I771" s="27" t="inlineStr">
        <is>
          <t>Да (в тексте)</t>
        </is>
      </c>
      <c r="J771" s="26" t="inlineStr">
        <is>
          <t>Выездное занятие в ПНИ 16 было в среду. Ребята с педагогами рисовали цветы, создавали детали к коллективной картине. Помогала волонтёр Аля. А ещё к нам пришла новая ученица — Аня Шалунова</t>
        </is>
      </c>
    </row>
    <row r="772" ht="30" customHeight="1">
      <c r="A772" s="28" t="n">
        <v>4823</v>
      </c>
      <c r="B772" s="29" t="inlineStr">
        <is>
          <t>2019-07-11</t>
        </is>
      </c>
      <c r="C772" s="30">
        <f>HYPERLINK("https://vk.com/wall-1825701_4823", "Открыть пост")</f>
        <v/>
      </c>
      <c r="D772" s="31" t="inlineStr">
        <is>
          <t>Творческие мастер-классы и художественные студии</t>
        </is>
      </c>
      <c r="E772" s="31" t="inlineStr">
        <is>
          <t>Творческие мастер-классы и художественные студии</t>
        </is>
      </c>
      <c r="F772" s="31" t="inlineStr">
        <is>
          <t>Подопечные фонда «Дети Марии» (общая группа детей и подростков)</t>
        </is>
      </c>
      <c r="G772" s="31" t="inlineStr">
        <is>
          <t>Студия фонда / выездная площадка</t>
        </is>
      </c>
      <c r="H772" s="31" t="inlineStr">
        <is>
          <t>Художественно-прикладные и ремесленные навыки</t>
        </is>
      </c>
      <c r="I772" s="32" t="inlineStr">
        <is>
          <t>По формату занятия</t>
        </is>
      </c>
      <c r="J772" s="31" t="inlineStr">
        <is>
          <t>Если этот ураган не занять чём-то интересным, он разрушит всё на своём пути) Мастер-класс по лепке из пластилина для наших самых маленьких студийцев провела Вика Косякова.</t>
        </is>
      </c>
    </row>
    <row r="773" ht="30" customHeight="1">
      <c r="A773" s="23" t="n">
        <v>4821</v>
      </c>
      <c r="B773" s="24" t="inlineStr">
        <is>
          <t>2019-07-09</t>
        </is>
      </c>
      <c r="C773" s="25">
        <f>HYPERLINK("https://vk.com/wall-1825701_4821", "Открыть пост")</f>
        <v/>
      </c>
      <c r="D773" s="26" t="inlineStr">
        <is>
          <t>Творческие мастер-классы и художественные студии</t>
        </is>
      </c>
      <c r="E773" s="26" t="inlineStr">
        <is>
          <t>Творческие мастер-классы и художественные студии</t>
        </is>
      </c>
      <c r="F773" s="26" t="inlineStr">
        <is>
          <t>Подопечные фонда «Дети Марии» (общая группа детей и подростков)</t>
        </is>
      </c>
      <c r="G773" s="26" t="inlineStr">
        <is>
          <t>Студия фонда / выездная площадка</t>
        </is>
      </c>
      <c r="H773" s="26" t="inlineStr">
        <is>
          <t>Художественно-прикладные и ремесленные навыки; Коммуникативные навыки, эмпатия и тьюторское сопровождение</t>
        </is>
      </c>
      <c r="I773" s="27" t="inlineStr">
        <is>
          <t>По формату занятия</t>
        </is>
      </c>
      <c r="J773" s="26" t="inlineStr">
        <is>
          <t>Занятия керамикой для взрослых продолжаются! Вчера много внимания уделили росписи. И уже видны плоды стараний — смотрите, какие сочные гранаты и маки получились! 🌺</t>
        </is>
      </c>
    </row>
    <row r="774" ht="30" customHeight="1">
      <c r="A774" s="28" t="n">
        <v>4817</v>
      </c>
      <c r="B774" s="29" t="inlineStr">
        <is>
          <t>2019-07-09</t>
        </is>
      </c>
      <c r="C774" s="30">
        <f>HYPERLINK("https://vk.com/wall-1825701_4817", "Открыть пост")</f>
        <v/>
      </c>
      <c r="D774" s="31" t="inlineStr">
        <is>
          <t>Творческие мастер-классы и художественные студии</t>
        </is>
      </c>
      <c r="E774" s="31" t="inlineStr">
        <is>
          <t>Творческие мастер-классы и художественные студии</t>
        </is>
      </c>
      <c r="F774" s="31" t="inlineStr">
        <is>
          <t>Подростки и взрослые с ментальными особенностями и ОВЗ (ПНИ / Социальные дома)</t>
        </is>
      </c>
      <c r="G774" s="31" t="inlineStr">
        <is>
          <t>Студия фонда / выездная площадка</t>
        </is>
      </c>
      <c r="H774" s="31" t="inlineStr">
        <is>
          <t>Художественно-прикладные и ремесленные навыки; Педагогические и наставнические навыки (кулинария, быт, учёба)</t>
        </is>
      </c>
      <c r="I774" s="32" t="inlineStr">
        <is>
          <t>По формату занятия</t>
        </is>
      </c>
      <c r="J774" s="31" t="inlineStr">
        <is>
          <t>Сегодня в студию приезжали Лёша и Дима из ПНИ 16, Лёша давно и хорошо умеет вязать на спицах носки, а захотел научиться ещё и вязанию крючком. Результат сегодняшнего занятия — целые тапочки! Дима тоже решил учиться вязать, хотя раньше никогда не пробовал. С таким запросом и приех...</t>
        </is>
      </c>
    </row>
    <row r="775" ht="30" customHeight="1">
      <c r="A775" s="23" t="n">
        <v>4815</v>
      </c>
      <c r="B775" s="24" t="inlineStr">
        <is>
          <t>2019-07-09</t>
        </is>
      </c>
      <c r="C775" s="25">
        <f>HYPERLINK("https://vk.com/wall-1825701_4815", "Открыть пост")</f>
        <v/>
      </c>
      <c r="D775" s="26" t="inlineStr">
        <is>
          <t>Творческие мастер-классы и художественные студии</t>
        </is>
      </c>
      <c r="E775" s="26" t="inlineStr">
        <is>
          <t>Творческие мастер-классы и художественные студии</t>
        </is>
      </c>
      <c r="F775" s="26" t="inlineStr">
        <is>
          <t>Подростки и взрослые с ментальными особенностями и ОВЗ (ПНИ / Социальные дома)</t>
        </is>
      </c>
      <c r="G775" s="26" t="inlineStr">
        <is>
          <t>ПНИ №11</t>
        </is>
      </c>
      <c r="H775" s="26" t="inlineStr">
        <is>
          <t>Художественно-прикладные и ремесленные навыки; Артистические, музыкальные и спортивно-игровые навыки</t>
        </is>
      </c>
      <c r="I775" s="27" t="inlineStr">
        <is>
          <t>По формату занятия</t>
        </is>
      </c>
      <c r="J775" s="26" t="inlineStr">
        <is>
          <t>По понедельникам в студии ПНИ №11. Ребята рисовали акварелью фрагменты для коллективной картины — любые предметы, существ или персонажей, которых подскажет фантазия. Потом их вырезают и компонуют вместе на общем фоне. А в соседней комнате проходили занятия керамикой, валянием и м...</t>
        </is>
      </c>
    </row>
    <row r="776" ht="30" customHeight="1">
      <c r="A776" s="28" t="n">
        <v>4813</v>
      </c>
      <c r="B776" s="29" t="inlineStr">
        <is>
          <t>2019-07-08</t>
        </is>
      </c>
      <c r="C776" s="30">
        <f>HYPERLINK("https://vk.com/wall-1825701_4813", "Открыть пост")</f>
        <v/>
      </c>
      <c r="D776" s="31" t="inlineStr">
        <is>
          <t>Творческие мастер-классы и художественные студии</t>
        </is>
      </c>
      <c r="E776" s="31" t="inlineStr">
        <is>
          <t>Творческие мастер-классы и художественные студии</t>
        </is>
      </c>
      <c r="F776" s="31" t="inlineStr">
        <is>
          <t>Подопечные фонда «Дети Марии» (общая группа детей и подростков)</t>
        </is>
      </c>
      <c r="G776" s="31" t="inlineStr">
        <is>
          <t>Студия фонда / выездная площадка</t>
        </is>
      </c>
      <c r="H776" s="31" t="inlineStr">
        <is>
          <t>Художественно-прикладные и ремесленные навыки</t>
        </is>
      </c>
      <c r="I776" s="32" t="inlineStr">
        <is>
          <t>По формату занятия</t>
        </is>
      </c>
      <c r="J776" s="31" t="inlineStr">
        <is>
          <t>В любом возрасте, в любую погоду, на любую тему можно и нужно рисовать в студии на Дмитровке. Если вы соскучились по краскам и по нам, приходите! Очень ждём)</t>
        </is>
      </c>
    </row>
    <row r="777" ht="30" customHeight="1">
      <c r="A777" s="23" t="n">
        <v>4809</v>
      </c>
      <c r="B777" s="24" t="inlineStr">
        <is>
          <t>2019-07-08</t>
        </is>
      </c>
      <c r="C777" s="25">
        <f>HYPERLINK("https://vk.com/wall-1825701_4809", "Открыть пост")</f>
        <v/>
      </c>
      <c r="D777" s="26" t="inlineStr">
        <is>
          <t>Выставки, экскурсии и культурные выходы</t>
        </is>
      </c>
      <c r="E777" s="26" t="inlineStr">
        <is>
          <t>Выставки, экскурсии и культурные выходы</t>
        </is>
      </c>
      <c r="F777" s="26" t="inlineStr">
        <is>
          <t>Широкая аудитория, гости и благотворители (открытые события)</t>
        </is>
      </c>
      <c r="G777" s="26" t="inlineStr">
        <is>
          <t>Студия фонда / выездная площадка</t>
        </is>
      </c>
      <c r="H777" s="26" t="inlineStr">
        <is>
          <t>Коммуникативные навыки, эмпатия и тьюторское сопровождение</t>
        </is>
      </c>
      <c r="I777" s="27" t="inlineStr">
        <is>
          <t>По формату занятия</t>
        </is>
      </c>
      <c r="J777" s="26" t="inlineStr">
        <is>
          <t>09 ИЮЛЯ 2019 в 15:00 (ВТОРНИК) ОТКРЫВАЕТ ДВЕРИ НАША СТУДИЯ НА ПРЕСНЕ. Будет выставка творческих работ, чай, сладости, море радости и улыбок! Мы расскажем о себе, запишем в мастерские, которые начнут работу в новом учебном году. Занятия в центре для жителей района Пресня будут бес...</t>
        </is>
      </c>
    </row>
    <row r="778" ht="30" customHeight="1">
      <c r="A778" s="28" t="n">
        <v>4807</v>
      </c>
      <c r="B778" s="29" t="inlineStr">
        <is>
          <t>2019-07-07</t>
        </is>
      </c>
      <c r="C778" s="30">
        <f>HYPERLINK("https://vk.com/wall-1825701_4807", "Открыть пост")</f>
        <v/>
      </c>
      <c r="D778" s="31" t="inlineStr">
        <is>
          <t>Творческие мастер-классы и художественные студии</t>
        </is>
      </c>
      <c r="E778" s="31" t="inlineStr">
        <is>
          <t>Творческие мастер-классы и художественные студии</t>
        </is>
      </c>
      <c r="F778" s="31" t="inlineStr">
        <is>
          <t>Подростки и взрослые с ментальными особенностями и ОВЗ (ПНИ / Социальные дома)</t>
        </is>
      </c>
      <c r="G778" s="31" t="inlineStr">
        <is>
          <t>ПНИ №16</t>
        </is>
      </c>
      <c r="H778" s="31" t="inlineStr">
        <is>
          <t>Художественно-прикладные и ремесленные навыки; Артистические, музыкальные и спортивно-игровые навыки; Педагогические и наставнические навыки (кулинария, быт, учёба)</t>
        </is>
      </c>
      <c r="I778" s="32" t="inlineStr">
        <is>
          <t>Да (в тексте)</t>
        </is>
      </c>
      <c r="J778" s="31" t="inlineStr">
        <is>
          <t>ПНИ №16 в студии! Готовим тефтели, лепим дом-подсвечник, рисуем цветочные детали для коллективной картины, поем песни. Нам помогают любимые волонтеры Катя и Лиза. Прекрасное получилось занятие, ещё и потому, что ребята угощались пиццей! 🍕 Благодарим за это Генерального директора ...</t>
        </is>
      </c>
    </row>
    <row r="779" ht="30" customHeight="1">
      <c r="A779" s="23" t="n">
        <v>4806</v>
      </c>
      <c r="B779" s="24" t="inlineStr">
        <is>
          <t>2019-07-07</t>
        </is>
      </c>
      <c r="C779" s="25">
        <f>HYPERLINK("https://vk.com/wall-1825701_4806", "Открыть пост")</f>
        <v/>
      </c>
      <c r="D779" s="26" t="inlineStr">
        <is>
          <t>Творческие мастер-классы и художественные студии</t>
        </is>
      </c>
      <c r="E779" s="26" t="inlineStr">
        <is>
          <t>Творческие мастер-классы и художественные студии</t>
        </is>
      </c>
      <c r="F779" s="26" t="inlineStr">
        <is>
          <t>Подопечные фонда «Дети Марии» (общая группа детей и подростков)</t>
        </is>
      </c>
      <c r="G779" s="26" t="inlineStr">
        <is>
          <t>Студия фонда / выездная площадка</t>
        </is>
      </c>
      <c r="H779" s="26" t="inlineStr">
        <is>
          <t>Художественно-прикладные и ремесленные навыки</t>
        </is>
      </c>
      <c r="I779" s="27" t="inlineStr">
        <is>
          <t>По формату занятия</t>
        </is>
      </c>
      <c r="J779" s="26" t="inlineStr">
        <is>
          <t>Занятие керамикой в четверг для не очень взрослых получилось)) Впрочем, и взрослые тоже позанимались. Следующее занятие в понедельник, в 18:00</t>
        </is>
      </c>
    </row>
    <row r="780" ht="30" customHeight="1">
      <c r="A780" s="28" t="n">
        <v>4805</v>
      </c>
      <c r="B780" s="29" t="inlineStr">
        <is>
          <t>2019-07-07</t>
        </is>
      </c>
      <c r="C780" s="30">
        <f>HYPERLINK("https://vk.com/wall-1825701_4805", "Открыть пост")</f>
        <v/>
      </c>
      <c r="D780" s="31" t="inlineStr">
        <is>
          <t>Творческие мастер-классы и художественные студии</t>
        </is>
      </c>
      <c r="E780" s="31" t="inlineStr">
        <is>
          <t>Творческие мастер-классы и художественные студии</t>
        </is>
      </c>
      <c r="F780" s="31" t="inlineStr">
        <is>
          <t>Подростки и взрослые с ментальными особенностями и ОВЗ (ПНИ / Социальные дома)</t>
        </is>
      </c>
      <c r="G780" s="31" t="inlineStr">
        <is>
          <t>Студия фонда / выездная площадка</t>
        </is>
      </c>
      <c r="H780" s="31" t="inlineStr">
        <is>
          <t>Художественно-прикладные и ремесленные навыки</t>
        </is>
      </c>
      <c r="I780" s="32" t="inlineStr">
        <is>
          <t>По формату занятия</t>
        </is>
      </c>
      <c r="J780" s="31" t="inlineStr">
        <is>
          <t>Domino's Pizza опять с нами 😊 В пятницу вечером в студию «Дети Марии» привезли 6 вкуснейших пицц. И очень кстати — старшие вернулись с росписи стен 9 детской больницы, где провели целый день. Подкрепились сами и оставили угощение для группы из 16 ПНИ. В субботу любимую пиццу съел...</t>
        </is>
      </c>
    </row>
    <row r="781" ht="30" customHeight="1">
      <c r="A781" s="23" t="n">
        <v>4803</v>
      </c>
      <c r="B781" s="24" t="inlineStr">
        <is>
          <t>2019-07-06</t>
        </is>
      </c>
      <c r="C781" s="25">
        <f>HYPERLINK("https://vk.com/wall-1825701_4803", "Открыть пост")</f>
        <v/>
      </c>
      <c r="D781" s="26" t="inlineStr">
        <is>
          <t>Творческие мастер-классы и художественные студии</t>
        </is>
      </c>
      <c r="E781" s="26" t="inlineStr">
        <is>
          <t>Творческие мастер-классы и художественные студии</t>
        </is>
      </c>
      <c r="F781" s="26" t="inlineStr">
        <is>
          <t>Подростки и взрослые с ментальными особенностями и ОВЗ (ПНИ / Социальные дома)</t>
        </is>
      </c>
      <c r="G781" s="26" t="inlineStr">
        <is>
          <t>ПНИ № 16</t>
        </is>
      </c>
      <c r="H781" s="26" t="inlineStr">
        <is>
          <t>Художественно-прикладные и ремесленные навыки; Артистические, музыкальные и спортивно-игровые навыки</t>
        </is>
      </c>
      <c r="I781" s="27" t="inlineStr">
        <is>
          <t>Да (в тексте)</t>
        </is>
      </c>
      <c r="J781" s="26" t="inlineStr">
        <is>
          <t>Вчера было занятия в ПНИ № 16. Аншлаг, все скучают по студии. В этот раз рисовали акварелью. Наташа сделала рисунок карандашом. Музыка с Любой и волонтером Ханной тоже была, всем на радость :)</t>
        </is>
      </c>
    </row>
    <row r="782" ht="30" customHeight="1">
      <c r="A782" s="28" t="n">
        <v>4800</v>
      </c>
      <c r="B782" s="29" t="inlineStr">
        <is>
          <t>2019-07-04</t>
        </is>
      </c>
      <c r="C782" s="30">
        <f>HYPERLINK("https://vk.com/wall-1825701_4800", "Открыть пост")</f>
        <v/>
      </c>
      <c r="D782" s="31" t="inlineStr">
        <is>
          <t>Творческие мастер-классы и художественные студии</t>
        </is>
      </c>
      <c r="E782" s="31" t="inlineStr">
        <is>
          <t>Творческие мастер-классы и художественные студии</t>
        </is>
      </c>
      <c r="F782" s="31" t="inlineStr">
        <is>
          <t>Подростки и взрослые с ментальными особенностями и ОВЗ (ПНИ / Социальные дома)</t>
        </is>
      </c>
      <c r="G782" s="31" t="inlineStr">
        <is>
          <t>ПНИ № 16</t>
        </is>
      </c>
      <c r="H782" s="31" t="inlineStr">
        <is>
          <t>Художественно-прикладные и ремесленные навыки; Педагогические и наставнические навыки (кулинария, быт, учёба)</t>
        </is>
      </c>
      <c r="I782" s="32" t="inlineStr">
        <is>
          <t>Да (в тексте)</t>
        </is>
      </c>
      <c r="J782" s="31" t="inlineStr">
        <is>
          <t>Занятия в ПНИ № 16 продолжаются. В среду преподаватели Анна, Нюся и волонтер Аля ездили в интернат. Занимались с удовольствием. Ребята рисовали карандашами, акварелью и фломастерами, лепили из пластилина. Миша нарисовал Иоанна Предтечу. А Валя Ляховская порадовала своей новой уди...</t>
        </is>
      </c>
    </row>
    <row r="783" ht="30" customHeight="1">
      <c r="A783" s="23" t="n">
        <v>4798</v>
      </c>
      <c r="B783" s="24" t="inlineStr">
        <is>
          <t>2019-07-04</t>
        </is>
      </c>
      <c r="C783" s="25">
        <f>HYPERLINK("https://vk.com/wall-1825701_4798", "Открыть пост")</f>
        <v/>
      </c>
      <c r="D783" s="26" t="inlineStr">
        <is>
          <t>Творческие мастер-классы и художественные студии</t>
        </is>
      </c>
      <c r="E783" s="26" t="inlineStr">
        <is>
          <t>Творческие мастер-классы и художественные студии</t>
        </is>
      </c>
      <c r="F783" s="26" t="inlineStr">
        <is>
          <t>Подопечные фонда «Дети Марии» (общая группа детей и подростков)</t>
        </is>
      </c>
      <c r="G783" s="26" t="inlineStr">
        <is>
          <t>Студия фонда / выездная площадка</t>
        </is>
      </c>
      <c r="H783" s="26" t="inlineStr">
        <is>
          <t>Художественно-прикладные и ремесленные навыки</t>
        </is>
      </c>
      <c r="I783" s="27" t="inlineStr">
        <is>
          <t>По формату занятия</t>
        </is>
      </c>
      <c r="J783" s="26" t="inlineStr">
        <is>
          <t>На занятиях рисованием для взрослых вспоминали правила композиции. И вообще про композицию в изобразительном искусстве. А также немного про композицию в рекламе, кино и логотипах.</t>
        </is>
      </c>
    </row>
    <row r="784" ht="30" customHeight="1">
      <c r="A784" s="28" t="n">
        <v>4796</v>
      </c>
      <c r="B784" s="29" t="inlineStr">
        <is>
          <t>2019-07-03</t>
        </is>
      </c>
      <c r="C784" s="30">
        <f>HYPERLINK("https://vk.com/wall-1825701_4796", "Открыть пост")</f>
        <v/>
      </c>
      <c r="D784" s="31" t="inlineStr">
        <is>
          <t>Творческие мастер-классы и художественные студии</t>
        </is>
      </c>
      <c r="E784" s="31" t="inlineStr">
        <is>
          <t>Творческие мастер-классы и художественные студии</t>
        </is>
      </c>
      <c r="F784" s="31" t="inlineStr">
        <is>
          <t>Подростки и взрослые с ментальными особенностями и ОВЗ (ПНИ / Социальные дома)</t>
        </is>
      </c>
      <c r="G784" s="31" t="inlineStr">
        <is>
          <t>ПНИ №16</t>
        </is>
      </c>
      <c r="H784" s="31" t="inlineStr">
        <is>
          <t>Художественно-прикладные и ремесленные навыки; Артистические, музыкальные и спортивно-игровые навыки; Педагогические и наставнические навыки (кулинария, быт, учёба)</t>
        </is>
      </c>
      <c r="I784" s="32" t="inlineStr">
        <is>
          <t>Да (в тексте)</t>
        </is>
      </c>
      <c r="J784" s="31" t="inlineStr">
        <is>
          <t>Студийному автобусу пришло время проходить техосмотр и ребят из ПНИ №16 в студию везти было не на чем. К счастью, получилось по пословице : «Если гора не идёт...» Преподаватели и волонтеры сами поехали в интернат. Занимались и рисованием, и пением, и музыкой. Волонтер Ханна, кото...</t>
        </is>
      </c>
    </row>
    <row r="785" ht="30" customHeight="1">
      <c r="A785" s="23" t="n">
        <v>4795</v>
      </c>
      <c r="B785" s="24" t="inlineStr">
        <is>
          <t>2019-07-02</t>
        </is>
      </c>
      <c r="C785" s="25">
        <f>HYPERLINK("https://vk.com/wall-1825701_4795", "Открыть пост")</f>
        <v/>
      </c>
      <c r="D785" s="26" t="inlineStr">
        <is>
          <t>Творческие мастер-классы и художественные студии</t>
        </is>
      </c>
      <c r="E785" s="26" t="inlineStr">
        <is>
          <t>Творческие мастер-классы и художественные студии</t>
        </is>
      </c>
      <c r="F785" s="26" t="inlineStr">
        <is>
          <t>Подопечные фонда «Дети Марии» (общая группа детей и подростков)</t>
        </is>
      </c>
      <c r="G785" s="26" t="inlineStr">
        <is>
          <t>Студия фонда / выездная площадка</t>
        </is>
      </c>
      <c r="H785" s="26" t="inlineStr">
        <is>
          <t>Художественно-прикладные и ремесленные навыки</t>
        </is>
      </c>
      <c r="I785" s="27" t="inlineStr">
        <is>
          <t>По формату занятия</t>
        </is>
      </c>
      <c r="J785" s="26" t="inlineStr">
        <is>
          <t>В понедельник в студии прошло занятие керамикой. Перешли к следующему этапу — к росписи. Творцов уже ждали их творения, обожженные в печи. Выбирали цвета, подбирали узоры, расписывали и лакировали. Дорогие керамисты! В четверг занятие будет, начало в 18:00.</t>
        </is>
      </c>
    </row>
    <row r="786" ht="30" customHeight="1">
      <c r="A786" s="28" t="n">
        <v>4794</v>
      </c>
      <c r="B786" s="29" t="inlineStr">
        <is>
          <t>2019-07-01</t>
        </is>
      </c>
      <c r="C786" s="30">
        <f>HYPERLINK("https://vk.com/wall-1825701_4794", "Открыть пост")</f>
        <v/>
      </c>
      <c r="D786" s="31" t="inlineStr">
        <is>
          <t>Творческие мастер-классы и художественные студии</t>
        </is>
      </c>
      <c r="E786" s="31" t="inlineStr">
        <is>
          <t>Творческие мастер-классы и художественные студии</t>
        </is>
      </c>
      <c r="F786" s="31" t="inlineStr">
        <is>
          <t>Подростки и взрослые с ментальными особенностями и ОВЗ (ПНИ / Социальные дома)</t>
        </is>
      </c>
      <c r="G786" s="31" t="inlineStr">
        <is>
          <t>ПНИ №11</t>
        </is>
      </c>
      <c r="H786" s="31" t="inlineStr">
        <is>
          <t>Художественно-прикладные и ремесленные навыки; Артистические, музыкальные и спортивно-игровые навыки</t>
        </is>
      </c>
      <c r="I786" s="32" t="inlineStr">
        <is>
          <t>По формату занятия</t>
        </is>
      </c>
      <c r="J786" s="31" t="inlineStr">
        <is>
          <t>В студию приезжали заниматься ребята из ПНИ №11. Занятие было насыщенное, дел много: расписать керамику, начать новую картину и закончить старую, продолжать ткать гобелен, научится вязать крючком и спеть любимые песни. Всё успели!)</t>
        </is>
      </c>
    </row>
    <row r="787" ht="30" customHeight="1">
      <c r="A787" s="23" t="n">
        <v>4792</v>
      </c>
      <c r="B787" s="24" t="inlineStr">
        <is>
          <t>2019-07-01</t>
        </is>
      </c>
      <c r="C787" s="25">
        <f>HYPERLINK("https://vk.com/wall-1825701_4792", "Открыть пост")</f>
        <v/>
      </c>
      <c r="D787" s="26" t="inlineStr">
        <is>
          <t>Творческие мастер-классы и художественные студии</t>
        </is>
      </c>
      <c r="E787" s="26" t="inlineStr">
        <is>
          <t>Творческие мастер-классы и художественные студии</t>
        </is>
      </c>
      <c r="F787" s="26" t="inlineStr">
        <is>
          <t>Выпускники интернатов и детских домов (молодые взрослые)</t>
        </is>
      </c>
      <c r="G787" s="26" t="inlineStr">
        <is>
          <t>Тверская 15</t>
        </is>
      </c>
      <c r="H787" s="26" t="inlineStr">
        <is>
          <t>Коммуникативные навыки, эмпатия и тьюторское сопровождение</t>
        </is>
      </c>
      <c r="I787" s="27" t="inlineStr">
        <is>
          <t>По формату занятия</t>
        </is>
      </c>
      <c r="J787" s="26" t="inlineStr">
        <is>
          <t>«Зажигали» в Пространстве творчества и развития «Тверская 15» https://tverskaya15.ru/ Мастер-класс по необычным физическим опытам провела для выпускников команда сотрудников и студентов «Физическая гостиная» из МПГУ. Спасибо! http://mpgu.su/…/fa…/institut-fiziki/fizicheskaya-gost...</t>
        </is>
      </c>
    </row>
    <row r="788" ht="30" customHeight="1">
      <c r="A788" s="28" t="n">
        <v>4787</v>
      </c>
      <c r="B788" s="29" t="inlineStr">
        <is>
          <t>2019-06-29</t>
        </is>
      </c>
      <c r="C788" s="30">
        <f>HYPERLINK("https://vk.com/wall-1825701_4787", "Открыть пост")</f>
        <v/>
      </c>
      <c r="D788" s="31" t="inlineStr">
        <is>
          <t>Творческие мастер-классы и художественные студии</t>
        </is>
      </c>
      <c r="E788" s="31" t="inlineStr">
        <is>
          <t>Творческие мастер-классы и художественные студии</t>
        </is>
      </c>
      <c r="F788" s="31" t="inlineStr">
        <is>
          <t>Подростки и взрослые с ментальными особенностями и ОВЗ (ПНИ / Социальные дома)</t>
        </is>
      </c>
      <c r="G788" s="31" t="inlineStr">
        <is>
          <t>ПНИ №16</t>
        </is>
      </c>
      <c r="H788" s="31" t="inlineStr">
        <is>
          <t>Художественно-прикладные и ремесленные навыки; Педагогические и наставнические навыки (кулинария, быт, учёба); Организационные, ивент- и ярмарочные навыки</t>
        </is>
      </c>
      <c r="I788" s="32" t="inlineStr">
        <is>
          <t>Да (в тексте)</t>
        </is>
      </c>
      <c r="J788" s="31" t="inlineStr">
        <is>
          <t>Насыщенный выдался сегодня денёк в студии. Пришли наши волонтёры Ханна, Джейк и Морган — они приехали в Москву учить русский язык. Сегодня они помогали нам расписывать потолок. По приглашению Ханны к ребятам присоединились сестры Трент и Нельсон. Девушки хотят помогать в добрых д...</t>
        </is>
      </c>
    </row>
    <row r="789" ht="30" customHeight="1">
      <c r="A789" s="23" t="n">
        <v>4784</v>
      </c>
      <c r="B789" s="24" t="inlineStr">
        <is>
          <t>2019-06-28</t>
        </is>
      </c>
      <c r="C789" s="25">
        <f>HYPERLINK("https://vk.com/wall-1825701_4784", "Открыть пост")</f>
        <v/>
      </c>
      <c r="D789" s="26" t="inlineStr">
        <is>
          <t>Творческие мастер-классы и художественные студии</t>
        </is>
      </c>
      <c r="E789" s="26" t="inlineStr">
        <is>
          <t>Творческие мастер-классы и художественные студии</t>
        </is>
      </c>
      <c r="F789" s="26" t="inlineStr">
        <is>
          <t>Подопечные фонда «Дети Марии» (общая группа детей и подростков)</t>
        </is>
      </c>
      <c r="G789" s="26" t="inlineStr">
        <is>
          <t>Студия фонда / выездная площадка</t>
        </is>
      </c>
      <c r="H789" s="26" t="inlineStr">
        <is>
          <t>Художественно-прикладные и ремесленные навыки; Коммуникативные навыки, эмпатия и тьюторское сопровождение</t>
        </is>
      </c>
      <c r="I789" s="27" t="inlineStr">
        <is>
          <t>По формату занятия</t>
        </is>
      </c>
      <c r="J789" s="26" t="inlineStr">
        <is>
          <t>Вчера в студии, несмотря на дождь и непогоду, собрались любители керамики. Лепили баклажаны и цукини. А потом расписывали обожженные в печи керамические изделия. Внимание! Следующее занятие в понедельник будет последним в этом «учебном году», всех ждём! :)</t>
        </is>
      </c>
    </row>
    <row r="790" ht="30" customHeight="1">
      <c r="A790" s="28" t="n">
        <v>4780</v>
      </c>
      <c r="B790" s="29" t="inlineStr">
        <is>
          <t>2019-06-27</t>
        </is>
      </c>
      <c r="C790" s="30">
        <f>HYPERLINK("https://vk.com/wall-1825701_4780", "Открыть пост")</f>
        <v/>
      </c>
      <c r="D790" s="31" t="inlineStr">
        <is>
          <t>Творческие мастер-классы и художественные студии</t>
        </is>
      </c>
      <c r="E790" s="31" t="inlineStr">
        <is>
          <t>Творческие мастер-классы и художественные студии</t>
        </is>
      </c>
      <c r="F790" s="31" t="inlineStr">
        <is>
          <t>Подростки и взрослые с ментальными особенностями и ОВЗ (ПНИ / Социальные дома)</t>
        </is>
      </c>
      <c r="G790" s="31" t="inlineStr">
        <is>
          <t>ПНИ №16</t>
        </is>
      </c>
      <c r="H790" s="31" t="inlineStr">
        <is>
          <t>Коммуникативные навыки, эмпатия и тьюторское сопровождение</t>
        </is>
      </c>
      <c r="I790" s="32" t="inlineStr">
        <is>
          <t>По формату занятия</t>
        </is>
      </c>
      <c r="J790" s="31" t="inlineStr">
        <is>
          <t>После занятия в студии художник Нюся поехала в ПНИ №16 и провела второе занятие с ребятами. Долгожданное. Аншлаг после того, как класс для творчества надолго закрывался на ремонт.</t>
        </is>
      </c>
    </row>
    <row r="791" ht="30" customHeight="1">
      <c r="A791" s="23" t="n">
        <v>4779</v>
      </c>
      <c r="B791" s="24" t="inlineStr">
        <is>
          <t>2019-06-25</t>
        </is>
      </c>
      <c r="C791" s="25">
        <f>HYPERLINK("https://vk.com/wall-1825701_4779", "Открыть пост")</f>
        <v/>
      </c>
      <c r="D791" s="26" t="inlineStr">
        <is>
          <t>Творческие мастер-классы и художественные студии</t>
        </is>
      </c>
      <c r="E791" s="26" t="inlineStr">
        <is>
          <t>Творческие мастер-классы и художественные студии</t>
        </is>
      </c>
      <c r="F791" s="26" t="inlineStr">
        <is>
          <t>Подростки и взрослые с ментальными особенностями и ОВЗ (ПНИ / Социальные дома)</t>
        </is>
      </c>
      <c r="G791" s="26" t="inlineStr">
        <is>
          <t>ПНИ №16</t>
        </is>
      </c>
      <c r="H791"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t>
        </is>
      </c>
      <c r="I791" s="27" t="inlineStr">
        <is>
          <t>Да (в тексте)</t>
        </is>
      </c>
      <c r="J791" s="26" t="inlineStr">
        <is>
          <t>Сегодня в студию приезжали на занятия ребята из ПНИ №16. Чего только не делали: вязали, валяли, лепили и расписывали керамику, рисовали портреты и цветы, учили стихи, читали книги. Успели и музыке уделить внимание. Много пели и учились играть на музыкальных инструментах. А волонт...</t>
        </is>
      </c>
    </row>
    <row r="792" ht="30" customHeight="1">
      <c r="A792" s="28" t="n">
        <v>4778</v>
      </c>
      <c r="B792" s="29" t="inlineStr">
        <is>
          <t>2019-06-25</t>
        </is>
      </c>
      <c r="C792" s="30">
        <f>HYPERLINK("https://vk.com/wall-1825701_4778", "Открыть пост")</f>
        <v/>
      </c>
      <c r="D792" s="31" t="inlineStr">
        <is>
          <t>Творческие мастер-классы и художественные студии</t>
        </is>
      </c>
      <c r="E792" s="31" t="inlineStr">
        <is>
          <t>Творческие мастер-классы и художественные студии</t>
        </is>
      </c>
      <c r="F792" s="31" t="inlineStr">
        <is>
          <t>Подопечные фонда «Дети Марии» (общая группа детей и подростков)</t>
        </is>
      </c>
      <c r="G792" s="31" t="inlineStr">
        <is>
          <t>Студия фонда / выездная площадка</t>
        </is>
      </c>
      <c r="H792" s="31" t="inlineStr">
        <is>
          <t>Художественно-прикладные и ремесленные навыки</t>
        </is>
      </c>
      <c r="I792" s="32" t="inlineStr">
        <is>
          <t>По формату занятия</t>
        </is>
      </c>
      <c r="J792" s="31" t="inlineStr">
        <is>
          <t>По понедельникам в студии продолжаются занятия керамикой для взрослых. В этот раз узнали много нового о стилях росписи керамики — арт-деко и нью-комб. Применили знания в деле ;) И лепили пиалы. Дорогие любители керамики! В этот четверг в 18:00 будет занятие. Если вас не пугает шу...</t>
        </is>
      </c>
    </row>
    <row r="793" ht="30" customHeight="1">
      <c r="A793" s="23" t="n">
        <v>4776</v>
      </c>
      <c r="B793" s="24" t="inlineStr">
        <is>
          <t>2019-06-25</t>
        </is>
      </c>
      <c r="C793" s="25">
        <f>HYPERLINK("https://vk.com/wall-1825701_4776", "Открыть пост")</f>
        <v/>
      </c>
      <c r="D793" s="26" t="inlineStr">
        <is>
          <t>Творческие мастер-классы и художественные студии</t>
        </is>
      </c>
      <c r="E793" s="26" t="inlineStr">
        <is>
          <t>Творческие мастер-классы и художественные студии; Спектакли, концерты и музыкально-театральные занятия</t>
        </is>
      </c>
      <c r="F793" s="26" t="inlineStr">
        <is>
          <t>Подростки и взрослые с ментальными особенностями и ОВЗ (ПНИ / Социальные дома)</t>
        </is>
      </c>
      <c r="G793" s="26" t="inlineStr">
        <is>
          <t>ПНИ №11</t>
        </is>
      </c>
      <c r="H793" s="26" t="inlineStr">
        <is>
          <t>Художественно-прикладные и ремесленные навыки; Артистические, музыкальные и спортивно-игровые навыки</t>
        </is>
      </c>
      <c r="I793" s="27" t="inlineStr">
        <is>
          <t>По формату занятия</t>
        </is>
      </c>
      <c r="J793" s="26" t="inlineStr">
        <is>
          <t>Неделя в студии начинается с занятия у ПНИ №11. Ребята образовали группы по интересам: керамика, валяние, живопись. За одно занятие сложно закончить целую работу, будь то керамическое изделие или картина. Поэтому занимаемся поэтапно. А ещё есть музыка — песни с Ханной и Любовью И...</t>
        </is>
      </c>
    </row>
    <row r="794" ht="30" customHeight="1">
      <c r="A794" s="28" t="n">
        <v>4773</v>
      </c>
      <c r="B794" s="29" t="inlineStr">
        <is>
          <t>2019-06-23</t>
        </is>
      </c>
      <c r="C794" s="30">
        <f>HYPERLINK("https://vk.com/wall-1825701_4773", "Открыть пост")</f>
        <v/>
      </c>
      <c r="D794" s="31" t="inlineStr">
        <is>
          <t>Спектакли, концерты и музыкально-театральные занятия</t>
        </is>
      </c>
      <c r="E794" s="31" t="inlineStr">
        <is>
          <t>Спектакли, концерты и музыкально-театральные занятия</t>
        </is>
      </c>
      <c r="F794" s="31" t="inlineStr">
        <is>
          <t>Широкая аудитория, гости и благотворители (открытые события)</t>
        </is>
      </c>
      <c r="G794" s="31" t="inlineStr">
        <is>
          <t>Студия фонда / выездная площадка</t>
        </is>
      </c>
      <c r="H794" s="31" t="inlineStr">
        <is>
          <t>Артистические, музыкальные и спортивно-игровые навыки</t>
        </is>
      </c>
      <c r="I794" s="32" t="inlineStr">
        <is>
          <t>Да (в тексте)</t>
        </is>
      </c>
      <c r="J794" s="31" t="inlineStr">
        <is>
          <t>Сотрудники и волонтёры студии приняли участие в ежегодной окружной акции «Вахта памяти». Для нас стало традицией в ночь на 22 июня собраться вместе с жителями Тверского района и почтить память погибших в Великой Отечественной войне. В этом году «Вахта памяти» началась у памятника...</t>
        </is>
      </c>
    </row>
    <row r="795" ht="30" customHeight="1">
      <c r="A795" s="23" t="n">
        <v>4772</v>
      </c>
      <c r="B795" s="24" t="inlineStr">
        <is>
          <t>2019-06-23</t>
        </is>
      </c>
      <c r="C795" s="25">
        <f>HYPERLINK("https://vk.com/wall-1825701_4772", "Открыть пост")</f>
        <v/>
      </c>
      <c r="D795" s="26" t="inlineStr">
        <is>
          <t>Кулинарные, образовательные и социально-бытовые занятия</t>
        </is>
      </c>
      <c r="E795" s="26" t="inlineStr">
        <is>
          <t>Кулинарные, образовательные и социально-бытовые занятия; Творческие мастер-классы и художественные студии</t>
        </is>
      </c>
      <c r="F795" s="26" t="inlineStr">
        <is>
          <t>Подростки и взрослые с ментальными особенностями и ОВЗ (ПНИ / Социальные дома)</t>
        </is>
      </c>
      <c r="G795" s="26" t="inlineStr">
        <is>
          <t>ПНИ №16</t>
        </is>
      </c>
      <c r="H795" s="26" t="inlineStr">
        <is>
          <t>Художественно-прикладные и ремесленные навыки; Артистические, музыкальные и спортивно-игровые навыки; Педагогические и наставнические навыки (кулинария, быт, учёба)</t>
        </is>
      </c>
      <c r="I795" s="27" t="inlineStr">
        <is>
          <t>Да (в тексте)</t>
        </is>
      </c>
      <c r="J795" s="26" t="inlineStr">
        <is>
          <t>В субботу в студии занимались ребята из ПНИ №16. Сначала все рисовали, Ваня расписывал керамические мыльницы, а Андрюха профессионально точил карандаши. Ещё пели, а Любовь Ивановна аккомпанировала на фортепиано. Потом наступило время обеда — ребята приготовили макароны с сыром. И...</t>
        </is>
      </c>
    </row>
    <row r="796" ht="30" customHeight="1">
      <c r="A796" s="28" t="n">
        <v>4771</v>
      </c>
      <c r="B796" s="29" t="inlineStr">
        <is>
          <t>2019-06-22</t>
        </is>
      </c>
      <c r="C796" s="30">
        <f>HYPERLINK("https://vk.com/wall-1825701_4771", "Открыть пост")</f>
        <v/>
      </c>
      <c r="D796" s="31" t="inlineStr">
        <is>
          <t>Творческие мастер-классы и художественные студии</t>
        </is>
      </c>
      <c r="E796" s="31" t="inlineStr">
        <is>
          <t>Творческие мастер-классы и художественные студии</t>
        </is>
      </c>
      <c r="F796" s="31" t="inlineStr">
        <is>
          <t>Подростки и взрослые с ментальными особенностями и ОВЗ (ПНИ / Социальные дома)</t>
        </is>
      </c>
      <c r="G796" s="31" t="inlineStr">
        <is>
          <t>ПНИ №16, Тверская 15</t>
        </is>
      </c>
      <c r="H796" s="31" t="inlineStr">
        <is>
          <t>Художественно-прикладные и ремесленные навыки; Артистические, музыкальные и спортивно-игровые навыки</t>
        </is>
      </c>
      <c r="I796" s="32" t="inlineStr">
        <is>
          <t>По формату занятия</t>
        </is>
      </c>
      <c r="J796" s="31" t="inlineStr">
        <is>
          <t>Занятие ПНИ №16 на Тверской 15 Пространство творчества и развития «Тверская 15» в пятницу всё-таки состоялось! И хотя танцев с Мариной не было, приехала керамистка Даша и провела для всех мастер-класс по керамике. А ещё можно было валять из шерсти и рисовать акварелью 🎨...</t>
        </is>
      </c>
    </row>
    <row r="797" ht="30" customHeight="1">
      <c r="A797" s="23" t="n">
        <v>4761</v>
      </c>
      <c r="B797" s="24" t="inlineStr">
        <is>
          <t>2019-06-19</t>
        </is>
      </c>
      <c r="C797" s="25">
        <f>HYPERLINK("https://vk.com/wall-1825701_4761", "Открыть пост")</f>
        <v/>
      </c>
      <c r="D797" s="26" t="inlineStr">
        <is>
          <t>Творческие мастер-классы и художественные студии</t>
        </is>
      </c>
      <c r="E797" s="26" t="inlineStr">
        <is>
          <t>Творческие мастер-классы и художественные студии; Праздники, дни рождения и клубные встречи</t>
        </is>
      </c>
      <c r="F797" s="26" t="inlineStr">
        <is>
          <t>Подростки и взрослые с ментальными особенностями и ОВЗ (ПНИ / Социальные дома)</t>
        </is>
      </c>
      <c r="G797" s="26" t="inlineStr">
        <is>
          <t>ПНИ №16</t>
        </is>
      </c>
      <c r="H797" s="26" t="inlineStr">
        <is>
          <t>Художественно-прикладные и ремесленные навыки; 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t>
        </is>
      </c>
      <c r="I797" s="27" t="inlineStr">
        <is>
          <t>Да (в тексте)</t>
        </is>
      </c>
      <c r="J797" s="26" t="inlineStr">
        <is>
          <t>Занятие у ребят из ПНИ №16 во вторник прошло насыщенно. Живопись, валяние из шерсти, керамика, музыка. С преподавателем Ирой и волонтером Димой лепили из глины, Юра слепил мыльницу. Любовь Ивановна и волонтер Ханна помогли ребятам разучить новые песни. На занятии живописью у худо...</t>
        </is>
      </c>
    </row>
    <row r="798" ht="30" customHeight="1">
      <c r="A798" s="28" t="n">
        <v>4760</v>
      </c>
      <c r="B798" s="29" t="inlineStr">
        <is>
          <t>2019-06-17</t>
        </is>
      </c>
      <c r="C798" s="30">
        <f>HYPERLINK("https://vk.com/wall-1825701_4760", "Открыть пост")</f>
        <v/>
      </c>
      <c r="D798" s="31" t="inlineStr">
        <is>
          <t>Творческие мастер-классы и художественные студии</t>
        </is>
      </c>
      <c r="E798" s="31" t="inlineStr">
        <is>
          <t>Творческие мастер-классы и художественные студии</t>
        </is>
      </c>
      <c r="F798" s="31" t="inlineStr">
        <is>
          <t>Подопечные фонда «Дети Марии» (общая группа детей и подростков)</t>
        </is>
      </c>
      <c r="G798" s="31" t="inlineStr">
        <is>
          <t>Студия фонда / выездная площадка</t>
        </is>
      </c>
      <c r="H798" s="31" t="inlineStr">
        <is>
          <t>Художественно-прикладные и ремесленные навыки</t>
        </is>
      </c>
      <c r="I798" s="32" t="inlineStr">
        <is>
          <t>По формату занятия</t>
        </is>
      </c>
      <c r="J798" s="31" t="inlineStr">
        <is>
          <t>Летние занятия керамикой для взрослых продолжаются. Сегодня лепили шар и раскатывали пласт, а потом из этих заготовок сделали гранаты и тарелку. Наши изделия сохнут и ждут обжиг :)</t>
        </is>
      </c>
    </row>
    <row r="799" ht="30" customHeight="1">
      <c r="A799" s="23" t="n">
        <v>4759</v>
      </c>
      <c r="B799" s="24" t="inlineStr">
        <is>
          <t>2019-06-17</t>
        </is>
      </c>
      <c r="C799" s="25">
        <f>HYPERLINK("https://vk.com/wall-1825701_4759", "Открыть пост")</f>
        <v/>
      </c>
      <c r="D799" s="26" t="inlineStr">
        <is>
          <t>Творческие мастер-классы и художественные студии</t>
        </is>
      </c>
      <c r="E799" s="26" t="inlineStr">
        <is>
          <t>Творческие мастер-классы и художественные студии; Спектакли, концерты и музыкально-театральные занятия</t>
        </is>
      </c>
      <c r="F799" s="26" t="inlineStr">
        <is>
          <t>Подростки и взрослые с ментальными особенностями и ОВЗ (ПНИ / Социальные дома)</t>
        </is>
      </c>
      <c r="G799" s="26" t="inlineStr">
        <is>
          <t>ПНИ №11</t>
        </is>
      </c>
      <c r="H799" s="26" t="inlineStr">
        <is>
          <t>Художественно-прикладные и ремесленные навыки; Артистические, музыкальные и спортивно-игровые навыки</t>
        </is>
      </c>
      <c r="I799" s="27" t="inlineStr">
        <is>
          <t>По формату занятия</t>
        </is>
      </c>
      <c r="J799" s="26" t="inlineStr">
        <is>
          <t>В понедельник в студию приезжают ребята из ПНИ №11. Сегодняшнее занятие прошло очень душевно: рукоделие, керамика, валяние, роспись, а ещё — музыка. Хором пели песни под аккомпанемент Любови Ивановны.</t>
        </is>
      </c>
    </row>
    <row r="800" ht="30" customHeight="1">
      <c r="A800" s="28" t="n">
        <v>4749</v>
      </c>
      <c r="B800" s="29" t="inlineStr">
        <is>
          <t>2019-06-14</t>
        </is>
      </c>
      <c r="C800" s="30">
        <f>HYPERLINK("https://vk.com/wall-1825701_4749", "Открыть пост")</f>
        <v/>
      </c>
      <c r="D800" s="31" t="inlineStr">
        <is>
          <t>Творческие мастер-классы и художественные студии</t>
        </is>
      </c>
      <c r="E800" s="31" t="inlineStr">
        <is>
          <t>Творческие мастер-классы и художественные студии; Спортивные и активные мероприятия</t>
        </is>
      </c>
      <c r="F800" s="31" t="inlineStr">
        <is>
          <t>Подростки и взрослые с ментальными особенностями и ОВЗ (ПНИ / Социальные дома)</t>
        </is>
      </c>
      <c r="G800" s="31" t="inlineStr">
        <is>
          <t>ПНИ №16</t>
        </is>
      </c>
      <c r="H800"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t>
        </is>
      </c>
      <c r="I800" s="32" t="inlineStr">
        <is>
          <t>Да (в тексте)</t>
        </is>
      </c>
      <c r="J800" s="31" t="inlineStr">
        <is>
          <t>Каждую пятницу наши занятия с ребятами из ПНИ №16 проходят в пространстве творчества и развития @tverskaya15. На занятиях взрослые с особенностями развивают свои творческие таланты. Сегодня наваляли из шерсти много по-летнему ярких цветов и бабочек. Читали вслух. Продолжали рисов...</t>
        </is>
      </c>
    </row>
    <row r="801" ht="30" customHeight="1">
      <c r="A801" s="23" t="n">
        <v>4747</v>
      </c>
      <c r="B801" s="24" t="inlineStr">
        <is>
          <t>2019-06-14</t>
        </is>
      </c>
      <c r="C801" s="25">
        <f>HYPERLINK("https://vk.com/wall-1825701_4747", "Открыть пост")</f>
        <v/>
      </c>
      <c r="D801" s="26" t="inlineStr">
        <is>
          <t>Творческие мастер-классы и художественные студии</t>
        </is>
      </c>
      <c r="E801" s="26" t="inlineStr">
        <is>
          <t>Творческие мастер-классы и художественные студии</t>
        </is>
      </c>
      <c r="F801" s="26" t="inlineStr">
        <is>
          <t>Подопечные фонда «Дети Марии» (общая группа детей и подростков)</t>
        </is>
      </c>
      <c r="G801" s="26" t="inlineStr">
        <is>
          <t>Студия фонда / выездная площадка</t>
        </is>
      </c>
      <c r="H801" s="26" t="inlineStr">
        <is>
          <t>Коммуникативные навыки, эмпатия и тьюторское сопровождение; Педагогические и наставнические навыки (кулинария, быт, учёба)</t>
        </is>
      </c>
      <c r="I801" s="27" t="inlineStr">
        <is>
          <t>По формату занятия</t>
        </is>
      </c>
      <c r="J801" s="26" t="inlineStr">
        <is>
          <t>Индивидуальные занятия в студии на Дмитровке продолжаются, несмотря на окончание учебного года и отличную погоду. Желающих учится так много, что к Ясину и Жене надо просто записываться)</t>
        </is>
      </c>
    </row>
    <row r="802" ht="30" customHeight="1">
      <c r="A802" s="28" t="n">
        <v>4738</v>
      </c>
      <c r="B802" s="29" t="inlineStr">
        <is>
          <t>2019-06-12</t>
        </is>
      </c>
      <c r="C802" s="30">
        <f>HYPERLINK("https://vk.com/wall-1825701_4738", "Открыть пост")</f>
        <v/>
      </c>
      <c r="D802" s="31" t="inlineStr">
        <is>
          <t>Выездные лагеря, дача и сезонные программы</t>
        </is>
      </c>
      <c r="E802" s="31" t="inlineStr">
        <is>
          <t>Выездные лагеря, дача и сезонные программы</t>
        </is>
      </c>
      <c r="F802" s="31" t="inlineStr">
        <is>
          <t>Подопечные фонда «Дети Марии» (общая группа детей и подростков)</t>
        </is>
      </c>
      <c r="G802" s="31" t="inlineStr">
        <is>
          <t>Студия фонда / выездная площадка</t>
        </is>
      </c>
      <c r="H802" s="31" t="inlineStr">
        <is>
          <t>Мобильность, выездное сопровождение и автоволонтёрство</t>
        </is>
      </c>
      <c r="I802" s="32" t="inlineStr">
        <is>
          <t>По формату занятия</t>
        </is>
      </c>
      <c r="J802" s="31" t="inlineStr">
        <is>
          <t>Спасибо всем, кто пришёл сегодня в «Лавку радостей» на Цветном, благодаря вашему участию мы собрали 44150 рублей! Собранные средства пойдут на программу летнего лагеря. Спасибо «Лавке радостей» и её очаровательной хозяюшка Татьяне.</t>
        </is>
      </c>
    </row>
    <row r="803" ht="30" customHeight="1">
      <c r="A803" s="23" t="n">
        <v>4734</v>
      </c>
      <c r="B803" s="24" t="inlineStr">
        <is>
          <t>2019-06-11</t>
        </is>
      </c>
      <c r="C803" s="25">
        <f>HYPERLINK("https://vk.com/wall-1825701_4734", "Открыть пост")</f>
        <v/>
      </c>
      <c r="D803" s="26" t="inlineStr">
        <is>
          <t>Кулинарные, образовательные и социально-бытовые занятия</t>
        </is>
      </c>
      <c r="E803" s="26" t="inlineStr">
        <is>
          <t>Кулинарные, образовательные и социально-бытовые занятия; Творческие мастер-классы и художественные студии</t>
        </is>
      </c>
      <c r="F803" s="26" t="inlineStr">
        <is>
          <t>Подростки и взрослые с ментальными особенностями и ОВЗ (ПНИ / Социальные дома)</t>
        </is>
      </c>
      <c r="G803" s="26" t="inlineStr">
        <is>
          <t>Студия фонда / выездная площадка</t>
        </is>
      </c>
      <c r="H803" s="26" t="inlineStr">
        <is>
          <t>Коммуникативные навыки, эмпатия и тьюторское сопровождение; Педагогические и наставнические навыки (кулинария, быт, учёба)</t>
        </is>
      </c>
      <c r="I803" s="27" t="inlineStr">
        <is>
          <t>Да (в тексте)</t>
        </is>
      </c>
      <c r="J803" s="26" t="inlineStr">
        <is>
          <t>Сегодня ребят из ПНИ 16 в студии ожидал приятный сюрприз — волонтёры из международной фармацевтической компании «Эббви», которые приготовили для них кулинарный мастер-класс. В жару хочется чего-нибудь освежающего, так что главными блюдами были разные фруктовые салаты и домашний л...</t>
        </is>
      </c>
    </row>
    <row r="804" ht="30" customHeight="1">
      <c r="A804" s="28" t="n">
        <v>4733</v>
      </c>
      <c r="B804" s="29" t="inlineStr">
        <is>
          <t>2019-06-11</t>
        </is>
      </c>
      <c r="C804" s="30">
        <f>HYPERLINK("https://vk.com/wall-1825701_4733", "Открыть пост")</f>
        <v/>
      </c>
      <c r="D804" s="31" t="inlineStr">
        <is>
          <t>Спектакли, концерты и музыкально-театральные занятия</t>
        </is>
      </c>
      <c r="E804" s="31" t="inlineStr">
        <is>
          <t>Спектакли, концерты и музыкально-театральные занятия</t>
        </is>
      </c>
      <c r="F804" s="31" t="inlineStr">
        <is>
          <t>Широкая аудитория, гости и благотворители (открытые события)</t>
        </is>
      </c>
      <c r="G804" s="31" t="inlineStr">
        <is>
          <t>Студия фонда / выездная площадка</t>
        </is>
      </c>
      <c r="H804" s="31" t="inlineStr">
        <is>
          <t>Артистические, музыкальные и спортивно-игровые навыки</t>
        </is>
      </c>
      <c r="I804" s="32" t="inlineStr">
        <is>
          <t>По формату занятия</t>
        </is>
      </c>
      <c r="J804" s="31" t="inlineStr">
        <is>
          <t>Музыкант Александр Шишов продолжает цикл вечеров по истории авторской песни. В пятницу 14 июня в 19:00 приглашаем всех желающих на интерактивный концерт, в этот вечер в исполнении Александра прозвучат песни Алексея Иващенко и Георгия Васильева, известных в народе как дуэт «Иваси»...</t>
        </is>
      </c>
    </row>
    <row r="805" ht="30" customHeight="1">
      <c r="A805" s="23" t="n">
        <v>4731</v>
      </c>
      <c r="B805" s="24" t="inlineStr">
        <is>
          <t>2019-06-10</t>
        </is>
      </c>
      <c r="C805" s="25">
        <f>HYPERLINK("https://vk.com/wall-1825701_4731", "Открыть пост")</f>
        <v/>
      </c>
      <c r="D805" s="26" t="inlineStr">
        <is>
          <t>Творческие мастер-классы и художественные студии</t>
        </is>
      </c>
      <c r="E805" s="26" t="inlineStr">
        <is>
          <t>Творческие мастер-классы и художественные студии</t>
        </is>
      </c>
      <c r="F805" s="26" t="inlineStr">
        <is>
          <t>Подопечные фонда «Дети Марии» (общая группа детей и подростков)</t>
        </is>
      </c>
      <c r="G805" s="26" t="inlineStr">
        <is>
          <t>Студия фонда / выездная площадка</t>
        </is>
      </c>
      <c r="H805" s="26" t="inlineStr">
        <is>
          <t>Художественно-прикладные и ремесленные навыки; Педагогические и наставнические навыки (кулинария, быт, учёба)</t>
        </is>
      </c>
      <c r="I805" s="27" t="inlineStr">
        <is>
          <t>По формату занятия</t>
        </is>
      </c>
      <c r="J805" s="26" t="inlineStr">
        <is>
          <t>По вечерам в понедельник в студии продолжаются занятия керамикой для взрослых. Сегодня с преподавателем Анной расписывали тарелки с отпечатками растений. И начали новые работы в технике лепки из жгутов. Приходите к нам лепить!)</t>
        </is>
      </c>
    </row>
    <row r="806" ht="30" customHeight="1">
      <c r="A806" s="28" t="n">
        <v>4728</v>
      </c>
      <c r="B806" s="29" t="inlineStr">
        <is>
          <t>2019-06-09</t>
        </is>
      </c>
      <c r="C806" s="30">
        <f>HYPERLINK("https://vk.com/wall-1825701_4728", "Открыть пост")</f>
        <v/>
      </c>
      <c r="D806" s="31" t="inlineStr">
        <is>
          <t>Творческие мастер-классы и художественные студии</t>
        </is>
      </c>
      <c r="E806" s="31" t="inlineStr">
        <is>
          <t>Творческие мастер-классы и художественные студии</t>
        </is>
      </c>
      <c r="F806" s="31" t="inlineStr">
        <is>
          <t>Подростки и взрослые с ментальными особенностями и ОВЗ (ПНИ / Социальные дома)</t>
        </is>
      </c>
      <c r="G806" s="31" t="inlineStr">
        <is>
          <t>ПНИ №16, ПНИ №12</t>
        </is>
      </c>
      <c r="H806" s="31" t="inlineStr">
        <is>
          <t>Художественно-прикладные и ремесленные навыки; Мобильность, выездное сопровождение и автоволонтёрство</t>
        </is>
      </c>
      <c r="I806" s="32" t="inlineStr">
        <is>
          <t>Да (в тексте)</t>
        </is>
      </c>
      <c r="J806" s="31" t="inlineStr">
        <is>
          <t>Сегодня в студии занимались ребята из ПНИ №16: лепили мыльницы, рисовали детали для коллективной картины «Город будущего» и доделывали фон. Наш волонтёр Сергей привез Катю и Дашу из ПНИ №12. Даша на коляске, поэтому сильные сопровождающие руки оказались очень кстати! :)</t>
        </is>
      </c>
    </row>
    <row r="807" ht="30" customHeight="1">
      <c r="A807" s="23" t="n">
        <v>4726</v>
      </c>
      <c r="B807" s="24" t="inlineStr">
        <is>
          <t>2019-06-08</t>
        </is>
      </c>
      <c r="C807" s="25">
        <f>HYPERLINK("https://vk.com/wall-1825701_4726", "Открыть пост")</f>
        <v/>
      </c>
      <c r="D807" s="26" t="inlineStr">
        <is>
          <t>Творческие мастер-классы и художественные студии</t>
        </is>
      </c>
      <c r="E807" s="26" t="inlineStr">
        <is>
          <t>Творческие мастер-классы и художественные студии</t>
        </is>
      </c>
      <c r="F807" s="26" t="inlineStr">
        <is>
          <t>Подростки и взрослые с ментальными особенностями и ОВЗ (ПНИ / Социальные дома)</t>
        </is>
      </c>
      <c r="G807" s="26" t="inlineStr">
        <is>
          <t>ПНИ №16</t>
        </is>
      </c>
      <c r="H807" s="26" t="inlineStr">
        <is>
          <t>Художественно-прикладные и ремесленные навыки; Артистические, музыкальные и спортивно-игровые навыки</t>
        </is>
      </c>
      <c r="I807" s="27" t="inlineStr">
        <is>
          <t>Да (в тексте)</t>
        </is>
      </c>
      <c r="J807" s="26" t="inlineStr">
        <is>
          <t>В пространстве творчества и развития @tverskaya15 в пятницу были занятия у ПНИ №16. Сначала — разминка и веселые танцы с Мариной, а потом — творческий процесс. Продолжали создавать коллективную картину про русалок, начали лепить новые керамические изделия, валяли с Марией Ивановн...</t>
        </is>
      </c>
    </row>
    <row r="808" ht="30" customHeight="1">
      <c r="A808" s="28" t="n">
        <v>4725</v>
      </c>
      <c r="B808" s="29" t="inlineStr">
        <is>
          <t>2019-06-08</t>
        </is>
      </c>
      <c r="C808" s="30">
        <f>HYPERLINK("https://vk.com/wall-1825701_4725", "Открыть пост")</f>
        <v/>
      </c>
      <c r="D808" s="31" t="inlineStr">
        <is>
          <t>Выездные лагеря, дача и сезонные программы</t>
        </is>
      </c>
      <c r="E808" s="31" t="inlineStr">
        <is>
          <t>Выездные лагеря, дача и сезонные программы</t>
        </is>
      </c>
      <c r="F808" s="31" t="inlineStr">
        <is>
          <t>Подопечные фонда «Дети Марии» (общая группа детей и подростков)</t>
        </is>
      </c>
      <c r="G808" s="31" t="inlineStr">
        <is>
          <t>Студия фонда / выездная площадка</t>
        </is>
      </c>
      <c r="H808" s="31" t="inlineStr">
        <is>
          <t>Мобильность, выездное сопровождение и автоволонтёрство</t>
        </is>
      </c>
      <c r="I808" s="32" t="inlineStr">
        <is>
          <t>По формату занятия</t>
        </is>
      </c>
      <c r="J808" s="31" t="inlineStr">
        <is>
          <t>12 июня — не только День России, но и наш день в «Лавке радостей» на Цветном, Малый Сухаревский пер., дом 7, с 11 до 21 часа. Это значит, что мы в этот день мы привезём много интересного, а все средства, собранные в среду в Лавке, пойдут на нашу программу летнего лагеря. Приезжай...</t>
        </is>
      </c>
    </row>
    <row r="809" ht="30" customHeight="1">
      <c r="A809" s="23" t="n">
        <v>4724</v>
      </c>
      <c r="B809" s="24" t="inlineStr">
        <is>
          <t>2019-06-07</t>
        </is>
      </c>
      <c r="C809" s="25">
        <f>HYPERLINK("https://vk.com/wall-1825701_4724", "Открыть пост")</f>
        <v/>
      </c>
      <c r="D809" s="26" t="inlineStr">
        <is>
          <t>Спортивные и активные мероприятия</t>
        </is>
      </c>
      <c r="E809" s="26" t="inlineStr">
        <is>
          <t>Спортивные и активные мероприятия</t>
        </is>
      </c>
      <c r="F809" s="26" t="inlineStr">
        <is>
          <t>Подопечные фонда «Дети Марии» (общая группа детей и подростков)</t>
        </is>
      </c>
      <c r="G809" s="26" t="inlineStr">
        <is>
          <t>Студия фонда / выездная площадка</t>
        </is>
      </c>
      <c r="H809" s="26" t="inlineStr">
        <is>
          <t>Коммуникативные навыки, эмпатия и тьюторское сопровождение</t>
        </is>
      </c>
      <c r="I809" s="27" t="inlineStr">
        <is>
          <t>По формату занятия</t>
        </is>
      </c>
      <c r="J809" s="26" t="inlineStr">
        <is>
          <t>Почему человеку важно во что-то верить. Религия, ее происхождение и зачем она нужна современному обществу. Это было темой нашего занятия по философии с Катей Островой. Вы знали, что слова «религия» и «йога» обозначают одно и тоже — «воссоединение»? А про пари философа Паскаля? Мы...</t>
        </is>
      </c>
    </row>
    <row r="810" ht="30" customHeight="1">
      <c r="A810" s="28" t="n">
        <v>4723</v>
      </c>
      <c r="B810" s="29" t="inlineStr">
        <is>
          <t>2019-06-06</t>
        </is>
      </c>
      <c r="C810" s="30">
        <f>HYPERLINK("https://vk.com/wall-1825701_4723", "Открыть пост")</f>
        <v/>
      </c>
      <c r="D810" s="31" t="inlineStr">
        <is>
          <t>Творческие мастер-классы и художественные студии</t>
        </is>
      </c>
      <c r="E810" s="31" t="inlineStr">
        <is>
          <t>Творческие мастер-классы и художественные студии; Кулинарные, образовательные и социально-бытовые занятия</t>
        </is>
      </c>
      <c r="F810" s="31" t="inlineStr">
        <is>
          <t>Подопечные фонда «Дети Марии» (общая группа детей и подростков)</t>
        </is>
      </c>
      <c r="G810" s="31" t="inlineStr">
        <is>
          <t>Студия фонда / выездная площадка</t>
        </is>
      </c>
      <c r="H810" s="31" t="inlineStr">
        <is>
          <t>Художественно-прикладные и ремесленные навыки; Педагогические и наставнические навыки (кулинария, быт, учёба)</t>
        </is>
      </c>
      <c r="I810" s="32" t="inlineStr">
        <is>
          <t>По формату занятия</t>
        </is>
      </c>
      <c r="J810" s="31" t="inlineStr">
        <is>
          <t>На занятиях рисованием для взрослых воспользовались остатками от кулинарного мастер-класса и поставили натюрморт с виноградом. Вспоминали построение формы, «лепку мазками» и другие хитрости, которым учит нас Нюся Митина. Самое трудное, знаете что? Уберечь виноград в натюрморте от...</t>
        </is>
      </c>
    </row>
    <row r="811" ht="30" customHeight="1">
      <c r="A811" s="23" t="n">
        <v>4722</v>
      </c>
      <c r="B811" s="24" t="inlineStr">
        <is>
          <t>2019-06-06</t>
        </is>
      </c>
      <c r="C811" s="25">
        <f>HYPERLINK("https://vk.com/wall-1825701_4722", "Открыть пост")</f>
        <v/>
      </c>
      <c r="D811" s="26" t="inlineStr">
        <is>
          <t>Выездные лагеря, дача и сезонные программы</t>
        </is>
      </c>
      <c r="E811" s="26" t="inlineStr">
        <is>
          <t>Выездные лагеря, дача и сезонные программы</t>
        </is>
      </c>
      <c r="F811" s="26" t="inlineStr">
        <is>
          <t>Воспитанники ЦССВ, ДДИ и детских домов-интернатов</t>
        </is>
      </c>
      <c r="G811" s="26" t="inlineStr">
        <is>
          <t>ЦССВ «Юнона»</t>
        </is>
      </c>
      <c r="H811" s="26" t="inlineStr">
        <is>
          <t>Коммуникативные навыки, эмпатия и тьюторское сопровождение; Педагогические и наставнические навыки (кулинария, быт, учёба); Мобильность, выездное сопровождение и автоволонтёрство</t>
        </is>
      </c>
      <c r="I811" s="27" t="inlineStr">
        <is>
          <t>По формату занятия</t>
        </is>
      </c>
      <c r="J811" s="26" t="inlineStr">
        <is>
          <t>В ЦССВ «Юнона» Аля и Ясин провели занятие с теми ребятами, которые не поехали в летний лагерь и остались в интернате. Учились клеить, резать и чертить. И все это на улице, под теплым солнышком.</t>
        </is>
      </c>
    </row>
    <row r="812" ht="30" customHeight="1">
      <c r="A812" s="28" t="n">
        <v>4721</v>
      </c>
      <c r="B812" s="29" t="inlineStr">
        <is>
          <t>2019-06-06</t>
        </is>
      </c>
      <c r="C812" s="30">
        <f>HYPERLINK("https://vk.com/wall-1825701_4721", "Открыть пост")</f>
        <v/>
      </c>
      <c r="D812" s="31" t="inlineStr">
        <is>
          <t>Спортивные и активные мероприятия</t>
        </is>
      </c>
      <c r="E812" s="31" t="inlineStr">
        <is>
          <t>Спортивные и активные мероприятия; Творческие мастер-классы и художественные студии; Выездные лагеря, дача и сезонные программы</t>
        </is>
      </c>
      <c r="F812" s="31" t="inlineStr">
        <is>
          <t>Подростки и взрослые с ментальными особенностями и ОВЗ (ПНИ / Социальные дома); Воспитанники ЦССВ, ДДИ и детских домов-интернатов; Выпускники интернатов и детских домов (молодые взрослые)</t>
        </is>
      </c>
      <c r="G812" s="31" t="inlineStr">
        <is>
          <t>Студия фонда / выездная площадка</t>
        </is>
      </c>
      <c r="H812"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t>
        </is>
      </c>
      <c r="I812" s="32" t="inlineStr">
        <is>
          <t>Да (в тексте)</t>
        </is>
      </c>
      <c r="J812" s="31" t="inlineStr">
        <is>
          <t>Бывало, что и три, но даже два интерната одновременно в загородных мастерских — это праздник! Ребята из Филимонковского детского дома занимались по средам весь год. Калачевский ПНИ начал ездить с весны, не смотря на 5(!!!)-часовую дорогу в один конец, занятия не пропускают и рады...</t>
        </is>
      </c>
    </row>
    <row r="813" ht="30" customHeight="1">
      <c r="A813" s="23" t="n">
        <v>4720</v>
      </c>
      <c r="B813" s="24" t="inlineStr">
        <is>
          <t>2019-06-05</t>
        </is>
      </c>
      <c r="C813" s="25">
        <f>HYPERLINK("https://vk.com/wall-1825701_4720", "Открыть пост")</f>
        <v/>
      </c>
      <c r="D813" s="26" t="inlineStr">
        <is>
          <t>Кулинарные, образовательные и социально-бытовые занятия</t>
        </is>
      </c>
      <c r="E813" s="26" t="inlineStr">
        <is>
          <t>Кулинарные, образовательные и социально-бытовые занятия; Творческие мастер-классы и художественные студии</t>
        </is>
      </c>
      <c r="F813" s="26" t="inlineStr">
        <is>
          <t>Подростки и взрослые с ментальными особенностями и ОВЗ (ПНИ / Социальные дома)</t>
        </is>
      </c>
      <c r="G813" s="26" t="inlineStr">
        <is>
          <t>Студия фонда / выездная площадка</t>
        </is>
      </c>
      <c r="H813" s="26" t="inlineStr">
        <is>
          <t>Коммуникативные навыки, эмпатия и тьюторское сопровождение; Педагогические и наставнические навыки (кулинария, быт, учёба)</t>
        </is>
      </c>
      <c r="I813" s="27" t="inlineStr">
        <is>
          <t>Да (в тексте)</t>
        </is>
      </c>
      <c r="J813" s="26" t="inlineStr">
        <is>
          <t>Раз в году в международной фармацевтической компании Эббви проходит волонтёрская неделя, и вот уже четвёртый год её замечательные сотрудники выбирают наш центр и проводят кулинарный мастер-класс. Сегодня повезло ребятам из ПНИ 11. Вместе с гостями они дружно готовили торт с клубн...</t>
        </is>
      </c>
    </row>
    <row r="814" ht="30" customHeight="1">
      <c r="A814" s="28" t="n">
        <v>4718</v>
      </c>
      <c r="B814" s="29" t="inlineStr">
        <is>
          <t>2019-06-04</t>
        </is>
      </c>
      <c r="C814" s="30">
        <f>HYPERLINK("https://vk.com/wall-1825701_4718", "Открыть пост")</f>
        <v/>
      </c>
      <c r="D814" s="31" t="inlineStr">
        <is>
          <t>Творческие мастер-классы и художественные студии</t>
        </is>
      </c>
      <c r="E814" s="31" t="inlineStr">
        <is>
          <t>Творческие мастер-классы и художественные студии; Спектакли, концерты и музыкально-театральные занятия</t>
        </is>
      </c>
      <c r="F814" s="31" t="inlineStr">
        <is>
          <t>Подростки и взрослые с ментальными особенностями и ОВЗ (ПНИ / Социальные дома)</t>
        </is>
      </c>
      <c r="G814" s="31" t="inlineStr">
        <is>
          <t>ПНИ №16</t>
        </is>
      </c>
      <c r="H814"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t>
        </is>
      </c>
      <c r="I814" s="32" t="inlineStr">
        <is>
          <t>Да (в тексте)</t>
        </is>
      </c>
      <c r="J814" s="31" t="inlineStr">
        <is>
          <t>Занятие у ПНИ №16 прошло весело: к ребятам приехали волонтеры, пели с ними песни, играли на укулеле и гитаре, общались. Все увлечённо воплощали свои задумки — рисовали на архитектурные темы, ткали гобелен, валяли и лепили.</t>
        </is>
      </c>
    </row>
    <row r="815" ht="30" customHeight="1">
      <c r="A815" s="23" t="n">
        <v>4717</v>
      </c>
      <c r="B815" s="24" t="inlineStr">
        <is>
          <t>2019-06-04</t>
        </is>
      </c>
      <c r="C815" s="25">
        <f>HYPERLINK("https://vk.com/wall-1825701_4717", "Открыть пост")</f>
        <v/>
      </c>
      <c r="D815" s="26" t="inlineStr">
        <is>
          <t>Кулинарные, образовательные и социально-бытовые занятия</t>
        </is>
      </c>
      <c r="E815" s="26" t="inlineStr">
        <is>
          <t>Кулинарные, образовательные и социально-бытовые занятия; Спортивные и активные мероприятия</t>
        </is>
      </c>
      <c r="F815" s="26" t="inlineStr">
        <is>
          <t>Подопечные фонда «Дети Марии» (общая группа детей и подростков)</t>
        </is>
      </c>
      <c r="G815" s="26" t="inlineStr">
        <is>
          <t>Студия фонда / выездная площадка</t>
        </is>
      </c>
      <c r="H815" s="26" t="inlineStr">
        <is>
          <t>Коммуникативные навыки, эмпатия и тьюторское сопровождение; Педагогические и наставнические навыки (кулинария, быт, учёба)</t>
        </is>
      </c>
      <c r="I815" s="27" t="inlineStr">
        <is>
          <t>По формату занятия</t>
        </is>
      </c>
      <c r="J815" s="26" t="inlineStr">
        <is>
          <t>Рецептура отзывается на имя «Репа», Бирюза — просто «Жу», лошадь со сложным именем Проба Алабая, в народе — «Пробик», и только красавицу класс-пони Амелию всегда уважительно называют полным именем. Урок верховой езды состоялся благодаря финансовой поддержке нашего давнего друга и...</t>
        </is>
      </c>
    </row>
    <row r="816" ht="30" customHeight="1">
      <c r="A816" s="28" t="n">
        <v>4716</v>
      </c>
      <c r="B816" s="29" t="inlineStr">
        <is>
          <t>2019-06-04</t>
        </is>
      </c>
      <c r="C816" s="30">
        <f>HYPERLINK("https://vk.com/wall-1825701_4716", "Открыть пост")</f>
        <v/>
      </c>
      <c r="D816" s="31" t="inlineStr">
        <is>
          <t>Творческие мастер-классы и художественные студии</t>
        </is>
      </c>
      <c r="E816" s="31" t="inlineStr">
        <is>
          <t>Творческие мастер-классы и художественные студии</t>
        </is>
      </c>
      <c r="F816" s="31" t="inlineStr">
        <is>
          <t>Воспитанники ЦССВ, ДДИ и детских домов-интернатов</t>
        </is>
      </c>
      <c r="G816" s="31" t="inlineStr">
        <is>
          <t>ЦССВ «Юнона»</t>
        </is>
      </c>
      <c r="H816"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t>
        </is>
      </c>
      <c r="I816" s="32" t="inlineStr">
        <is>
          <t>Да (в тексте)</t>
        </is>
      </c>
      <c r="J816" s="31" t="inlineStr">
        <is>
          <t>Из ЦССВ «Юнона» в понедельник в студию приехали заниматься пять мальчиков разного возраста. Занятия получились практически индивидуальные: ребята лепили, играли в развивающие игры на тренировку ориентации в пространстве, рисовали фрагменты для коллективной картины и музицировали ...</t>
        </is>
      </c>
    </row>
    <row r="817" ht="30" customHeight="1">
      <c r="A817" s="23" t="n">
        <v>4715</v>
      </c>
      <c r="B817" s="24" t="inlineStr">
        <is>
          <t>2019-06-04</t>
        </is>
      </c>
      <c r="C817" s="25">
        <f>HYPERLINK("https://vk.com/wall-1825701_4715", "Открыть пост")</f>
        <v/>
      </c>
      <c r="D817" s="26" t="inlineStr">
        <is>
          <t>Творческие мастер-классы и художественные студии</t>
        </is>
      </c>
      <c r="E817" s="26" t="inlineStr">
        <is>
          <t>Творческие мастер-классы и художественные студии</t>
        </is>
      </c>
      <c r="F817" s="26" t="inlineStr">
        <is>
          <t>Подопечные фонда «Дети Марии» (общая группа детей и подростков)</t>
        </is>
      </c>
      <c r="G817" s="26" t="inlineStr">
        <is>
          <t>Студия фонда / выездная площадка</t>
        </is>
      </c>
      <c r="H817" s="26" t="inlineStr">
        <is>
          <t>Художественно-прикладные и ремесленные навыки</t>
        </is>
      </c>
      <c r="I817" s="27" t="inlineStr">
        <is>
          <t>По формату занятия</t>
        </is>
      </c>
      <c r="J817" s="26" t="inlineStr">
        <is>
          <t>Вчера было первое летнее занятие в мастерской керамики для взрослых. Художник Анна Андреева показала технику отпечатывания листьев на пласте. Потом из пласта с отпечатком делали тарелки 🌿</t>
        </is>
      </c>
    </row>
    <row r="818" ht="30" customHeight="1">
      <c r="A818" s="28" t="n">
        <v>4714</v>
      </c>
      <c r="B818" s="29" t="inlineStr">
        <is>
          <t>2019-06-03</t>
        </is>
      </c>
      <c r="C818" s="30">
        <f>HYPERLINK("https://vk.com/wall-1825701_4714", "Открыть пост")</f>
        <v/>
      </c>
      <c r="D818" s="31" t="inlineStr">
        <is>
          <t>Ярмарки, фестивали и благотворительные базары</t>
        </is>
      </c>
      <c r="E818" s="31" t="inlineStr">
        <is>
          <t>Ярмарки, фестивали и благотворительные базары</t>
        </is>
      </c>
      <c r="F818" s="31" t="inlineStr">
        <is>
          <t>Подопечные фонда «Дети Марии» (общая группа детей и подростков)</t>
        </is>
      </c>
      <c r="G818" s="31" t="inlineStr">
        <is>
          <t>Студия фонда / выездная площадка</t>
        </is>
      </c>
      <c r="H818" s="31" t="inlineStr">
        <is>
          <t>Коммуникативные навыки, эмпатия и тьюторское сопровождение; Организационные, ивент- и ярмарочные навыки</t>
        </is>
      </c>
      <c r="I818" s="32" t="inlineStr">
        <is>
          <t>По формату занятия</t>
        </is>
      </c>
      <c r="J818" s="31" t="inlineStr">
        <is>
          <t>У нас появились новые друзья — компания «БАТ» пригласила нас на благотворительную ярмарку в честь Дня защиты детей в свой офис в БЦ «Крылатские холмы». Нас принимали очень тепло и заботливо, сотрудники компании пожертвовали нам 37200 рублей! Спасибо, надеемся это начало долгой др...</t>
        </is>
      </c>
    </row>
    <row r="819" ht="30" customHeight="1">
      <c r="A819" s="23" t="n">
        <v>4699</v>
      </c>
      <c r="B819" s="24" t="inlineStr">
        <is>
          <t>2019-05-31</t>
        </is>
      </c>
      <c r="C819" s="25">
        <f>HYPERLINK("https://vk.com/wall-1825701_4699", "Открыть пост")</f>
        <v/>
      </c>
      <c r="D819" s="26" t="inlineStr">
        <is>
          <t>Творческие мастер-классы и художественные студии</t>
        </is>
      </c>
      <c r="E819" s="26" t="inlineStr">
        <is>
          <t>Творческие мастер-классы и художественные студии</t>
        </is>
      </c>
      <c r="F819" s="26" t="inlineStr">
        <is>
          <t>Подростки и взрослые с ментальными особенностями и ОВЗ (ПНИ / Социальные дома)</t>
        </is>
      </c>
      <c r="G819" s="26" t="inlineStr">
        <is>
          <t>ПНИ №16</t>
        </is>
      </c>
      <c r="H819" s="26" t="inlineStr">
        <is>
          <t>Художественно-прикладные и ремесленные навыки; Артистические, музыкальные и спортивно-игровые навыки; Медиа, фото/видеосъёмка и культурная медиация</t>
        </is>
      </c>
      <c r="I819" s="27" t="inlineStr">
        <is>
          <t>По формату занятия</t>
        </is>
      </c>
      <c r="J819" s="26" t="inlineStr">
        <is>
          <t>В Пространстве творчества и развития @tverskaya15 занимались сегодня ПНИ №16. Начинается всё с танцев. А потом ребята что только не делали: рисовали большую картину про русалок, создавали иллюстрации сказок с Нюсей, лепили из глины с Ирой Рокотниной, валяли детали для коллективно...</t>
        </is>
      </c>
    </row>
    <row r="820" ht="30" customHeight="1">
      <c r="A820" s="28" t="n">
        <v>4698</v>
      </c>
      <c r="B820" s="29" t="inlineStr">
        <is>
          <t>2019-05-31</t>
        </is>
      </c>
      <c r="C820" s="30">
        <f>HYPERLINK("https://vk.com/wall-1825701_4698", "Открыть пост")</f>
        <v/>
      </c>
      <c r="D820" s="31" t="inlineStr">
        <is>
          <t>Творческие мастер-классы и художественные студии</t>
        </is>
      </c>
      <c r="E820" s="31" t="inlineStr">
        <is>
          <t>Творческие мастер-классы и художественные студии</t>
        </is>
      </c>
      <c r="F820" s="31" t="inlineStr">
        <is>
          <t>Подростки и взрослые с ментальными особенностями и ОВЗ (ПНИ / Социальные дома)</t>
        </is>
      </c>
      <c r="G820" s="31" t="inlineStr">
        <is>
          <t>Студия фонда / выездная площадка</t>
        </is>
      </c>
      <c r="H820" s="31" t="inlineStr">
        <is>
          <t>Коммуникативные навыки, эмпатия и тьюторское сопровождение</t>
        </is>
      </c>
      <c r="I820" s="32" t="inlineStr">
        <is>
          <t>По формату занятия</t>
        </is>
      </c>
      <c r="J820" s="31" t="inlineStr">
        <is>
          <t>Как давно об этом мечтали, и не зря! Вчера ребята из 16 ПНИ съездили в Доминос пиццу на Серпуховской вал, 14. Всё было просто потрясающе. Какой доброжелательный коллектив, сколько всего интересного узнали. А пицца, приготовленная своими руками, такая вкуснющая, что даже невозможн...</t>
        </is>
      </c>
    </row>
    <row r="821" ht="30" customHeight="1">
      <c r="A821" s="23" t="n">
        <v>4697</v>
      </c>
      <c r="B821" s="24" t="inlineStr">
        <is>
          <t>2019-05-31</t>
        </is>
      </c>
      <c r="C821" s="25">
        <f>HYPERLINK("https://vk.com/wall-1825701_4697", "Открыть пост")</f>
        <v/>
      </c>
      <c r="D821" s="26" t="inlineStr">
        <is>
          <t>Творческие мастер-классы и художественные студии</t>
        </is>
      </c>
      <c r="E821" s="26" t="inlineStr">
        <is>
          <t>Творческие мастер-классы и художественные студии</t>
        </is>
      </c>
      <c r="F821" s="26" t="inlineStr">
        <is>
          <t>Подопечные фонда «Дети Марии» (общая группа детей и подростков)</t>
        </is>
      </c>
      <c r="G821" s="26" t="inlineStr">
        <is>
          <t>Студия фонда / выездная площадка</t>
        </is>
      </c>
      <c r="H821" s="26" t="inlineStr">
        <is>
          <t>Художественно-прикладные и ремесленные навыки; Педагогические и наставнические навыки (кулинария, быт, учёба)</t>
        </is>
      </c>
      <c r="I821" s="27" t="inlineStr">
        <is>
          <t>По формату занятия</t>
        </is>
      </c>
      <c r="J821" s="26" t="inlineStr">
        <is>
          <t>Есть у художников термин «боязнь белого листа» — свойственная многим людям осторожность при начале работы, которая иногда мешает свободе творчества. Для развития творческой смелости и раскрепощённости на занятия рисованием для взрослых в среду преподаватель Нюся Митина принесла с...</t>
        </is>
      </c>
    </row>
    <row r="822" ht="30" customHeight="1">
      <c r="A822" s="28" t="n">
        <v>4694</v>
      </c>
      <c r="B822" s="29" t="inlineStr">
        <is>
          <t>2019-05-31</t>
        </is>
      </c>
      <c r="C822" s="30">
        <f>HYPERLINK("https://vk.com/wall-1825701_4694", "Открыть пост")</f>
        <v/>
      </c>
      <c r="D822" s="31" t="inlineStr">
        <is>
          <t>Ярмарки, фестивали и благотворительные базары</t>
        </is>
      </c>
      <c r="E822" s="31" t="inlineStr">
        <is>
          <t>Ярмарки, фестивали и благотворительные базары</t>
        </is>
      </c>
      <c r="F822" s="31" t="inlineStr">
        <is>
          <t>Подопечные фонда «Дети Марии» (общая группа детей и подростков)</t>
        </is>
      </c>
      <c r="G822" s="31" t="inlineStr">
        <is>
          <t>Студия фонда / выездная площадка</t>
        </is>
      </c>
      <c r="H822" s="31" t="inlineStr">
        <is>
          <t>Коммуникативные навыки, эмпатия и тьюторское сопровождение; Организационные, ивент- и ярмарочные навыки</t>
        </is>
      </c>
      <c r="I822" s="32" t="inlineStr">
        <is>
          <t>По формату занятия</t>
        </is>
      </c>
      <c r="J822" s="31" t="inlineStr">
        <is>
          <t>Сегодня в офисе компании ПепсиКо на Солянке тоже прошла благотворительная ярмарка, и здесь нас тоже тепло и гостеприимно принимали сотрудники компании. И пожертвовали на наши программы 18650 рублей. Спасибо!</t>
        </is>
      </c>
    </row>
    <row r="823" ht="30" customHeight="1">
      <c r="A823" s="23" t="n">
        <v>4693</v>
      </c>
      <c r="B823" s="24" t="inlineStr">
        <is>
          <t>2019-05-30</t>
        </is>
      </c>
      <c r="C823" s="25">
        <f>HYPERLINK("https://vk.com/wall-1825701_4693", "Открыть пост")</f>
        <v/>
      </c>
      <c r="D823" s="26" t="inlineStr">
        <is>
          <t>Спектакли, концерты и музыкально-театральные занятия</t>
        </is>
      </c>
      <c r="E823" s="26" t="inlineStr">
        <is>
          <t>Спектакли, концерты и музыкально-театральные занятия</t>
        </is>
      </c>
      <c r="F823" s="26" t="inlineStr">
        <is>
          <t>Подопечные фонда «Дети Марии» (общая группа детей и подростков)</t>
        </is>
      </c>
      <c r="G823" s="26" t="inlineStr">
        <is>
          <t>Студия фонда / выездная площадка</t>
        </is>
      </c>
      <c r="H823" s="26" t="inlineStr">
        <is>
          <t>Артистические, музыкальные и спортивно-игровые навыки</t>
        </is>
      </c>
      <c r="I823" s="27" t="inlineStr">
        <is>
          <t>Да (в тексте)</t>
        </is>
      </c>
      <c r="J823" s="26" t="inlineStr">
        <is>
          <t>Вчера наши сотрудники и волонтёры посетили концерт в сквере «На Миуссах», посвящённый Дню. Слушали песни, смотрели на танцующих и радовались по-летнему жаркой погоде ☀•</t>
        </is>
      </c>
    </row>
    <row r="824" ht="30" customHeight="1">
      <c r="A824" s="28" t="n">
        <v>4692</v>
      </c>
      <c r="B824" s="29" t="inlineStr">
        <is>
          <t>2019-05-29</t>
        </is>
      </c>
      <c r="C824" s="30">
        <f>HYPERLINK("https://vk.com/wall-1825701_4692", "Открыть пост")</f>
        <v/>
      </c>
      <c r="D824" s="31" t="inlineStr">
        <is>
          <t>Ярмарки, фестивали и благотворительные базары</t>
        </is>
      </c>
      <c r="E824" s="31" t="inlineStr">
        <is>
          <t>Ярмарки, фестивали и благотворительные базары</t>
        </is>
      </c>
      <c r="F824" s="31" t="inlineStr">
        <is>
          <t>Подопечные фонда «Дети Марии» (общая группа детей и подростков)</t>
        </is>
      </c>
      <c r="G824" s="31" t="inlineStr">
        <is>
          <t>Студия фонда / выездная площадка</t>
        </is>
      </c>
      <c r="H824" s="31" t="inlineStr">
        <is>
          <t>Организационные, ивент- и ярмарочные навыки</t>
        </is>
      </c>
      <c r="I824" s="32" t="inlineStr">
        <is>
          <t>По формату занятия</t>
        </is>
      </c>
      <c r="J824" s="31" t="inlineStr">
        <is>
          <t>Сегодня на благотворительной ярмарке в честь Дня защиты детей в офисе компании ПепсиКо на Соколе нам пожертвовали 22400 рублей. Спасибо активным и доброжелательным сотрудникам компании, мы рады были снова побывать в вашем гостеприимном офисе! Все собранные средства пойдут на прод...</t>
        </is>
      </c>
    </row>
    <row r="825" ht="30" customHeight="1">
      <c r="A825" s="23" t="n">
        <v>4691</v>
      </c>
      <c r="B825" s="24" t="inlineStr">
        <is>
          <t>2019-05-29</t>
        </is>
      </c>
      <c r="C825" s="25">
        <f>HYPERLINK("https://vk.com/wall-1825701_4691", "Открыть пост")</f>
        <v/>
      </c>
      <c r="D825" s="26" t="inlineStr">
        <is>
          <t>Творческие мастер-классы и художественные студии</t>
        </is>
      </c>
      <c r="E825" s="26" t="inlineStr">
        <is>
          <t>Творческие мастер-классы и художественные студии; Выездные лагеря, дача и сезонные программы; Спортивные и активные мероприятия</t>
        </is>
      </c>
      <c r="F825" s="26" t="inlineStr">
        <is>
          <t>Подростки и взрослые с ментальными особенностями и ОВЗ (ПНИ / Социальные дома)</t>
        </is>
      </c>
      <c r="G825" s="26" t="inlineStr">
        <is>
          <t>Студия фонда / выездная площадка</t>
        </is>
      </c>
      <c r="H825" s="26" t="inlineStr">
        <is>
          <t>Художественно-прикладные и ремесленные навыки; Артистические, музыкальные и спортивно-игровые навыки</t>
        </is>
      </c>
      <c r="I825" s="27" t="inlineStr">
        <is>
          <t>По формату занятия</t>
        </is>
      </c>
      <c r="J825" s="26" t="inlineStr">
        <is>
          <t>Сегодня в загородных мастерских были занятия у трёх групп сразу: у «Филимонок», Егорьевского ПНИ и Колычёвского ПНИ. Все ребята друг с другом знакомы, у Марии таким составом собираются уже не первый раз, а ещё вместе плавали на кораблике в этом году. День у ребят получился насыще...</t>
        </is>
      </c>
    </row>
    <row r="826" ht="30" customHeight="1">
      <c r="A826" s="28" t="n">
        <v>4688</v>
      </c>
      <c r="B826" s="29" t="inlineStr">
        <is>
          <t>2019-05-29</t>
        </is>
      </c>
      <c r="C826" s="30">
        <f>HYPERLINK("https://vk.com/wall-1825701_4688", "Открыть пост")</f>
        <v/>
      </c>
      <c r="D826" s="31" t="inlineStr">
        <is>
          <t>Спортивные и активные мероприятия</t>
        </is>
      </c>
      <c r="E826" s="31" t="inlineStr">
        <is>
          <t>Спортивные и активные мероприятия</t>
        </is>
      </c>
      <c r="F826" s="31" t="inlineStr">
        <is>
          <t>Подопечные фонда «Дети Марии» (общая группа детей и подростков)</t>
        </is>
      </c>
      <c r="G826" s="31" t="inlineStr">
        <is>
          <t>Студия фонда / выездная площадка</t>
        </is>
      </c>
      <c r="H826" s="31" t="inlineStr">
        <is>
          <t>Артистические, музыкальные и спортивно-игровые навыки</t>
        </is>
      </c>
      <c r="I826" s="32" t="inlineStr">
        <is>
          <t>По формату занятия</t>
        </is>
      </c>
      <c r="J826" s="31" t="inlineStr">
        <is>
          <t>Наш Андрей Понарин занял второе место в шахматном турнире среди любителей, который прошёл в Лужниках! 🥈 Андрюша, поздравляем с медалью, гордимся! А приз — желтая футболка — очень тебе идёт 👍</t>
        </is>
      </c>
    </row>
    <row r="827" ht="30" customHeight="1">
      <c r="A827" s="23" t="n">
        <v>4684</v>
      </c>
      <c r="B827" s="24" t="inlineStr">
        <is>
          <t>2019-05-28</t>
        </is>
      </c>
      <c r="C827" s="25">
        <f>HYPERLINK("https://vk.com/wall-1825701_4684", "Открыть пост")</f>
        <v/>
      </c>
      <c r="D827" s="26" t="inlineStr">
        <is>
          <t>Творческие мастер-классы и художественные студии</t>
        </is>
      </c>
      <c r="E827" s="26" t="inlineStr">
        <is>
          <t>Творческие мастер-классы и художественные студии</t>
        </is>
      </c>
      <c r="F827" s="26" t="inlineStr">
        <is>
          <t>Подопечные фонда «Дети Марии» (общая группа детей и подростков)</t>
        </is>
      </c>
      <c r="G827" s="26" t="inlineStr">
        <is>
          <t>Студия фонда / выездная площадка</t>
        </is>
      </c>
      <c r="H827" s="26" t="inlineStr">
        <is>
          <t>Художественно-прикладные и ремесленные навыки</t>
        </is>
      </c>
      <c r="I827" s="27" t="inlineStr">
        <is>
          <t>По формату занятия</t>
        </is>
      </c>
      <c r="J827" s="26" t="inlineStr">
        <is>
          <t>Вчера вечером было последнее занятие керамикой для взрослых в этом сезоне. Как раз обожглись изделия, можно было оценить результаты: обжиг всегда преподносит сюрпризы. И добавляет опыта ученику.</t>
        </is>
      </c>
    </row>
    <row r="828" ht="30" customHeight="1">
      <c r="A828" s="28" t="n">
        <v>4681</v>
      </c>
      <c r="B828" s="29" t="inlineStr">
        <is>
          <t>2019-05-27</t>
        </is>
      </c>
      <c r="C828" s="30">
        <f>HYPERLINK("https://vk.com/wall-1825701_4681", "Открыть пост")</f>
        <v/>
      </c>
      <c r="D828" s="31" t="inlineStr">
        <is>
          <t>Выставки, экскурсии и культурные выходы</t>
        </is>
      </c>
      <c r="E828" s="31" t="inlineStr">
        <is>
          <t>Выставки, экскурсии и культурные выходы</t>
        </is>
      </c>
      <c r="F828" s="31" t="inlineStr">
        <is>
          <t>Подростки и взрослые с ментальными особенностями и ОВЗ (ПНИ / Социальные дома)</t>
        </is>
      </c>
      <c r="G828" s="31" t="inlineStr">
        <is>
          <t>ПНИ №16</t>
        </is>
      </c>
      <c r="H828" s="31" t="inlineStr">
        <is>
          <t>Педагогические и наставнические навыки (кулинария, быт, учёба); Мобильность, выездное сопровождение и автоволонтёрство</t>
        </is>
      </c>
      <c r="I828" s="32" t="inlineStr">
        <is>
          <t>Да (в тексте)</t>
        </is>
      </c>
      <c r="J828" s="31" t="inlineStr">
        <is>
          <t>На днях ребята из ПНИ №16 с нашим куратором Аллой Тягуновой съездили в Зарядье. Помогали Ира Черненькая, Вера Аносова и Наташа Пушкина. С погодой повезло, дождя не было. Сначала — обзорная экскурсия по парку, где представлены различные растительные зоны России. Спустились в подзе...</t>
        </is>
      </c>
    </row>
    <row r="829" ht="30" customHeight="1">
      <c r="A829" s="23" t="n">
        <v>4680</v>
      </c>
      <c r="B829" s="24" t="inlineStr">
        <is>
          <t>2019-05-27</t>
        </is>
      </c>
      <c r="C829" s="25">
        <f>HYPERLINK("https://vk.com/wall-1825701_4680", "Открыть пост")</f>
        <v/>
      </c>
      <c r="D829" s="26" t="inlineStr">
        <is>
          <t>Творческие мастер-классы и художественные студии</t>
        </is>
      </c>
      <c r="E829" s="26" t="inlineStr">
        <is>
          <t>Творческие мастер-классы и художественные студии; Спектакли, концерты и музыкально-театральные занятия</t>
        </is>
      </c>
      <c r="F829" s="26" t="inlineStr">
        <is>
          <t>Подростки и взрослые с ментальными особенностями и ОВЗ (ПНИ / Социальные дома)</t>
        </is>
      </c>
      <c r="G829" s="26" t="inlineStr">
        <is>
          <t>ПНИ № 11</t>
        </is>
      </c>
      <c r="H829" s="26" t="inlineStr">
        <is>
          <t>Художественно-прикладные и ремесленные навыки; Артистические, музыкальные и спортивно-игровые навыки; Педагогические и наставнические навыки (кулинария, быт, учёба)</t>
        </is>
      </c>
      <c r="I829" s="27" t="inlineStr">
        <is>
          <t>Да (в тексте)</t>
        </is>
      </c>
      <c r="J829" s="26" t="inlineStr">
        <is>
          <t>Сегодня в студии ПНИ № 11. Труды ребят не прошли даром: керамические вазы, кружки, дельфины и лягушки почти готовы — осталось красиво их расписать. Этим сегодня и занимались под чутким руководством Николая Михайловича. А ещё ткали гобелен, вышивали нитями по бумаге, рисовали, вал...</t>
        </is>
      </c>
    </row>
    <row r="830" ht="30" customHeight="1">
      <c r="A830" s="28" t="n">
        <v>4678</v>
      </c>
      <c r="B830" s="29" t="inlineStr">
        <is>
          <t>2019-05-26</t>
        </is>
      </c>
      <c r="C830" s="30">
        <f>HYPERLINK("https://vk.com/wall-1825701_4678", "Открыть пост")</f>
        <v/>
      </c>
      <c r="D830" s="31" t="inlineStr">
        <is>
          <t>Творческие мастер-классы и художественные студии</t>
        </is>
      </c>
      <c r="E830" s="31" t="inlineStr">
        <is>
          <t>Творческие мастер-классы и художественные студии</t>
        </is>
      </c>
      <c r="F830" s="31" t="inlineStr">
        <is>
          <t>Подопечные фонда «Дети Марии» (общая группа детей и подростков)</t>
        </is>
      </c>
      <c r="G830" s="31" t="inlineStr">
        <is>
          <t>Студия фонда / выездная площадка</t>
        </is>
      </c>
      <c r="H830" s="31" t="inlineStr">
        <is>
          <t>Художественно-прикладные и ремесленные навыки; Артистические, музыкальные и спортивно-игровые навыки; Организационные, ивент- и ярмарочные навыки</t>
        </is>
      </c>
      <c r="I830" s="32" t="inlineStr">
        <is>
          <t>По формату занятия</t>
        </is>
      </c>
      <c r="J830" s="31" t="inlineStr">
        <is>
          <t>В этом году фонд «Подари жизнь» проводит 10-е юбилейные Игры для детей, которые перенесли онкологические заболевания. Сегодня у нас в гостях были ребята, которые будут представлять на Играх организацию АНО «Дети» и городской семейный реабилитационный клуб «Липки». Пока дети знако...</t>
        </is>
      </c>
    </row>
    <row r="831" ht="30" customHeight="1">
      <c r="A831" s="23" t="n">
        <v>4675</v>
      </c>
      <c r="B831" s="24" t="inlineStr">
        <is>
          <t>2019-05-26</t>
        </is>
      </c>
      <c r="C831" s="25">
        <f>HYPERLINK("https://vk.com/wall-1825701_4675", "Открыть пост")</f>
        <v/>
      </c>
      <c r="D831" s="26" t="inlineStr">
        <is>
          <t>Творческие мастер-классы и художественные студии</t>
        </is>
      </c>
      <c r="E831" s="26" t="inlineStr">
        <is>
          <t>Творческие мастер-классы и художественные студии; Выездные лагеря, дача и сезонные программы</t>
        </is>
      </c>
      <c r="F831" s="26" t="inlineStr">
        <is>
          <t>Воспитанники ЦССВ, ДДИ и детских домов-интернатов</t>
        </is>
      </c>
      <c r="G831" s="26" t="inlineStr">
        <is>
          <t>Тверская 15</t>
        </is>
      </c>
      <c r="H831" s="26" t="inlineStr">
        <is>
          <t>Художественно-прикладные и ремесленные навыки; Мобильность, выездное сопровождение и автоволонтёрство</t>
        </is>
      </c>
      <c r="I831" s="27" t="inlineStr">
        <is>
          <t>По формату занятия</t>
        </is>
      </c>
      <c r="J831" s="26" t="inlineStr">
        <is>
          <t>Вчера дети и подростки из «Спутника» приехали на заключительное в этом учебном году занятие в Пространство творчества и развития «Тверская 15». Рисовали, лепили, творили волшебные вещи! С нами даже была маленькая пчёлка 🐝 А дальше у ребят — каникулы и летний лагерь ;)...</t>
        </is>
      </c>
    </row>
    <row r="832" ht="30" customHeight="1">
      <c r="A832" s="28" t="n">
        <v>4673</v>
      </c>
      <c r="B832" s="29" t="inlineStr">
        <is>
          <t>2019-05-26</t>
        </is>
      </c>
      <c r="C832" s="30">
        <f>HYPERLINK("https://vk.com/wall-1825701_4673", "Открыть пост")</f>
        <v/>
      </c>
      <c r="D832" s="31" t="inlineStr">
        <is>
          <t>Творческие мастер-классы и художественные студии</t>
        </is>
      </c>
      <c r="E832" s="31" t="inlineStr">
        <is>
          <t>Творческие мастер-классы и художественные студии; Спектакли, концерты и музыкально-театральные занятия</t>
        </is>
      </c>
      <c r="F832" s="31" t="inlineStr">
        <is>
          <t>Подопечные фонда «Дети Марии» (общая группа детей и подростков)</t>
        </is>
      </c>
      <c r="G832" s="31" t="inlineStr">
        <is>
          <t>Студия фонда / выездная площадка</t>
        </is>
      </c>
      <c r="H832" s="31" t="inlineStr">
        <is>
          <t>Художественно-прикладные и ремесленные навыки; Артистические, музыкальные и спортивно-игровые навыки; Организационные, ивент- и ярмарочные навыки</t>
        </is>
      </c>
      <c r="I832" s="32" t="inlineStr">
        <is>
          <t>По формату занятия</t>
        </is>
      </c>
      <c r="J832" s="31" t="inlineStr">
        <is>
          <t>25 мая в субботу «Дети Марии» участвовали в праздничном мероприятии, посвящённом Дню защиты детей — «Подари праздник детям». Пригласили семьи жителей Тверского и Пресненского района в детский парк «Пресненский», где был концерт, спортивные соревнования, шоу мыльных пузырей, клоун...</t>
        </is>
      </c>
    </row>
    <row r="833" ht="30" customHeight="1">
      <c r="A833" s="23" t="n">
        <v>4671</v>
      </c>
      <c r="B833" s="24" t="inlineStr">
        <is>
          <t>2019-05-24</t>
        </is>
      </c>
      <c r="C833" s="25">
        <f>HYPERLINK("https://vk.com/wall-1825701_4671", "Открыть пост")</f>
        <v/>
      </c>
      <c r="D833" s="26" t="inlineStr">
        <is>
          <t>Кулинарные, образовательные и социально-бытовые занятия</t>
        </is>
      </c>
      <c r="E833" s="26" t="inlineStr">
        <is>
          <t>Кулинарные, образовательные и социально-бытовые занятия; Спортивные и активные мероприятия; Творческие мастер-классы и художественные студии</t>
        </is>
      </c>
      <c r="F833" s="26" t="inlineStr">
        <is>
          <t>Подростки и взрослые с ментальными особенностями и ОВЗ (ПНИ / Социальные дома)</t>
        </is>
      </c>
      <c r="G833" s="26" t="inlineStr">
        <is>
          <t>ПНИ №16</t>
        </is>
      </c>
      <c r="H833" s="26" t="inlineStr">
        <is>
          <t>Артистические, музыкальные и спортивно-игровые навыки</t>
        </is>
      </c>
      <c r="I833" s="27" t="inlineStr">
        <is>
          <t>Да (в тексте)</t>
        </is>
      </c>
      <c r="J833" s="26" t="inlineStr">
        <is>
          <t>Повезло сегодня воспитанникам из ПНИ №16. По пятницам Пространство творчества и развития Тверская, 15 регулярно проводит для ребят танцевальный мастер класс в добавление к студийным творческим занятиям. А сегодня на занятие пришли волонтеры из Геолого-разведочного института и про...</t>
        </is>
      </c>
    </row>
    <row r="834" ht="30" customHeight="1">
      <c r="A834" s="28" t="n">
        <v>4670</v>
      </c>
      <c r="B834" s="29" t="inlineStr">
        <is>
          <t>2019-05-24</t>
        </is>
      </c>
      <c r="C834" s="30">
        <f>HYPERLINK("https://vk.com/wall-1825701_4670", "Открыть пост")</f>
        <v/>
      </c>
      <c r="D834" s="31" t="inlineStr">
        <is>
          <t>Выставки, экскурсии и культурные выходы</t>
        </is>
      </c>
      <c r="E834" s="31" t="inlineStr">
        <is>
          <t>Выставки, экскурсии и культурные выходы</t>
        </is>
      </c>
      <c r="F834" s="31" t="inlineStr">
        <is>
          <t>Подростки и взрослые с ментальными особенностями и ОВЗ (ПНИ / Социальные дома)</t>
        </is>
      </c>
      <c r="G834" s="31" t="inlineStr">
        <is>
          <t>ПНИ №16</t>
        </is>
      </c>
      <c r="H834" s="31" t="inlineStr">
        <is>
          <t>Организационные, ивент- и ярмарочные навыки; Мобильность, выездное сопровождение и автоволонтёрство</t>
        </is>
      </c>
      <c r="I834" s="32" t="inlineStr">
        <is>
          <t>По формату занятия</t>
        </is>
      </c>
      <c r="J834" s="31" t="inlineStr">
        <is>
          <t>Вчера группа из ПНИ №16 съездила на завод Кока-Колы. Фабрика оказалась далеко от интерната — это 57 км Новорижского шоссе, но ребята стоически перенесли дорогу туда и обратно. Экскурсия была очень интересной. Завод новый, кругом чистота и порядок, конвейеры работают на полную мощ...</t>
        </is>
      </c>
    </row>
    <row r="835" ht="30" customHeight="1">
      <c r="A835" s="23" t="n">
        <v>4669</v>
      </c>
      <c r="B835" s="24" t="inlineStr">
        <is>
          <t>2019-05-24</t>
        </is>
      </c>
      <c r="C835" s="25">
        <f>HYPERLINK("https://vk.com/wall-1825701_4669", "Открыть пост")</f>
        <v/>
      </c>
      <c r="D835" s="26" t="inlineStr">
        <is>
          <t>Кулинарные, образовательные и социально-бытовые занятия</t>
        </is>
      </c>
      <c r="E835" s="26" t="inlineStr">
        <is>
          <t>Кулинарные, образовательные и социально-бытовые занятия; Спектакли, концерты и музыкально-театральные занятия; Творческие мастер-классы и художественные студии</t>
        </is>
      </c>
      <c r="F835" s="26" t="inlineStr">
        <is>
          <t>Подопечные фонда «Дети Марии» (общая группа детей и подростков)</t>
        </is>
      </c>
      <c r="G835" s="26" t="inlineStr">
        <is>
          <t>Студия фонда / выездная площадка</t>
        </is>
      </c>
      <c r="H835" s="26" t="inlineStr">
        <is>
          <t>Артистические, музыкальные и спортивно-игровые навыки; Педагогические и наставнические навыки (кулинария, быт, учёба)</t>
        </is>
      </c>
      <c r="I835" s="27" t="inlineStr">
        <is>
          <t>По формату занятия</t>
        </is>
      </c>
      <c r="J835" s="26" t="inlineStr">
        <is>
          <t>Ольга Сулавко на кухне — это совершенный танец. Кулинарный мастер-класс в студии на Дмитровке превращается в целый спектакль, в котором все участвуют с удовольствием. Ризотто с грибами, с мясом, соусы, салат и пончики! И вся эта вкуснота ха пару часов. Спасибо команде поваров и д...</t>
        </is>
      </c>
    </row>
    <row r="836" ht="30" customHeight="1">
      <c r="A836" s="28" t="n">
        <v>4668</v>
      </c>
      <c r="B836" s="29" t="inlineStr">
        <is>
          <t>2019-05-24</t>
        </is>
      </c>
      <c r="C836" s="30">
        <f>HYPERLINK("https://vk.com/wall-1825701_4668", "Открыть пост")</f>
        <v/>
      </c>
      <c r="D836" s="31" t="inlineStr">
        <is>
          <t>Творческие мастер-классы и художественные студии</t>
        </is>
      </c>
      <c r="E836" s="31" t="inlineStr">
        <is>
          <t>Творческие мастер-классы и художественные студии</t>
        </is>
      </c>
      <c r="F836" s="31" t="inlineStr">
        <is>
          <t>Воспитанники ЦССВ, ДДИ и детских домов-интернатов</t>
        </is>
      </c>
      <c r="G836" s="31" t="inlineStr">
        <is>
          <t>интерната №31</t>
        </is>
      </c>
      <c r="H836"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t>
        </is>
      </c>
      <c r="I836" s="32" t="inlineStr">
        <is>
          <t>По формату занятия</t>
        </is>
      </c>
      <c r="J836" s="31" t="inlineStr">
        <is>
          <t>Вчера в студию приезжали воспитанники школы-интерната №31. Сначала рисовали, лепили и пели, а после — в большой дружной компании пили чай. Это было последнее в этом учебном году их занятие в студии, дальше — летние каникулы!</t>
        </is>
      </c>
    </row>
    <row r="837" ht="30" customHeight="1">
      <c r="A837" s="23" t="n">
        <v>4667</v>
      </c>
      <c r="B837" s="24" t="inlineStr">
        <is>
          <t>2019-05-24</t>
        </is>
      </c>
      <c r="C837" s="25">
        <f>HYPERLINK("https://vk.com/wall-1825701_4667", "Открыть пост")</f>
        <v/>
      </c>
      <c r="D837" s="26" t="inlineStr">
        <is>
          <t>Выездные лагеря, дача и сезонные программы</t>
        </is>
      </c>
      <c r="E837" s="26" t="inlineStr">
        <is>
          <t>Выездные лагеря, дача и сезонные программы; Кулинарные, образовательные и социально-бытовые занятия; Спортивные и активные мероприятия</t>
        </is>
      </c>
      <c r="F837" s="26" t="inlineStr">
        <is>
          <t>Подопечные фонда «Дети Марии» (общая группа детей и подростков)</t>
        </is>
      </c>
      <c r="G837" s="26" t="inlineStr">
        <is>
          <t>Студия фонда / выездная площадка</t>
        </is>
      </c>
      <c r="H837" s="26" t="inlineStr">
        <is>
          <t>Коммуникативные навыки, эмпатия и тьюторское сопровождение; Педагогические и наставнические навыки (кулинария, быт, учёба)</t>
        </is>
      </c>
      <c r="I837" s="27" t="inlineStr">
        <is>
          <t>По формату занятия</t>
        </is>
      </c>
      <c r="J837" s="26" t="inlineStr">
        <is>
          <t>В среду на занятия в загородные мастерские приезжали дети из «Филимонок». Учились готовить курицу, салат из овощей, пекли пирог 🥧 На улице стоит потрясающая погода — тепло, как летом! Поэтому вынесли на улицу батут и стали прыгать — кто выше, да ещё и с переворотом?)</t>
        </is>
      </c>
    </row>
    <row r="838" ht="30" customHeight="1">
      <c r="A838" s="28" t="n">
        <v>4666</v>
      </c>
      <c r="B838" s="29" t="inlineStr">
        <is>
          <t>2019-05-23</t>
        </is>
      </c>
      <c r="C838" s="30">
        <f>HYPERLINK("https://vk.com/wall-1825701_4666", "Открыть пост")</f>
        <v/>
      </c>
      <c r="D838" s="31" t="inlineStr">
        <is>
          <t>Творческие мастер-классы и художественные студии</t>
        </is>
      </c>
      <c r="E838" s="31" t="inlineStr">
        <is>
          <t>Творческие мастер-классы и художественные студии</t>
        </is>
      </c>
      <c r="F838" s="31" t="inlineStr">
        <is>
          <t>Подопечные фонда «Дети Марии» (общая группа детей и подростков)</t>
        </is>
      </c>
      <c r="G838" s="31" t="inlineStr">
        <is>
          <t>Студия фонда / выездная площадка</t>
        </is>
      </c>
      <c r="H838" s="31" t="inlineStr">
        <is>
          <t>Коммуникативные навыки, эмпатия и тьюторское сопровождение</t>
        </is>
      </c>
      <c r="I838" s="32" t="inlineStr">
        <is>
          <t>По формату занятия</t>
        </is>
      </c>
      <c r="J838" s="31" t="inlineStr">
        <is>
          <t>Много деталей для коллективной картины накопили маленькие художники из Института педиатрии, но им нужно больше, потому что волшебный лес должен быть густонаселенным :) Занятия по арт-терапии проводит Анна Митина.</t>
        </is>
      </c>
    </row>
    <row r="839" ht="30" customHeight="1">
      <c r="A839" s="23" t="n">
        <v>4664</v>
      </c>
      <c r="B839" s="24" t="inlineStr">
        <is>
          <t>2019-05-23</t>
        </is>
      </c>
      <c r="C839" s="25">
        <f>HYPERLINK("https://vk.com/wall-1825701_4664", "Открыть пост")</f>
        <v/>
      </c>
      <c r="D839" s="26" t="inlineStr">
        <is>
          <t>Творческие мастер-классы и художественные студии</t>
        </is>
      </c>
      <c r="E839" s="26" t="inlineStr">
        <is>
          <t>Творческие мастер-классы и художественные студии; Кулинарные, образовательные и социально-бытовые занятия</t>
        </is>
      </c>
      <c r="F839" s="26" t="inlineStr">
        <is>
          <t>Подопечные фонда «Дети Марии» (общая группа детей и подростков)</t>
        </is>
      </c>
      <c r="G839" s="26" t="inlineStr">
        <is>
          <t>Студия фонда / выездная площадка</t>
        </is>
      </c>
      <c r="H839" s="26" t="inlineStr">
        <is>
          <t>Художественно-прикладные и ремесленные навыки; Педагогические и наставнические навыки (кулинария, быт, учёба)</t>
        </is>
      </c>
      <c r="I839" s="27" t="inlineStr">
        <is>
          <t>По формату занятия</t>
        </is>
      </c>
      <c r="J839" s="26" t="inlineStr">
        <is>
          <t>На занятиях рисованием для взрослых в среду вечером Нюся предложила порисовать сказочных персонажей. На прошлых уроках мы изучали классические пропорции человеческого тела, а теперь намеренно искажали их)), чтобы добиться выразительности и нереальности наших героев. У Миши даже п...</t>
        </is>
      </c>
    </row>
    <row r="840" ht="30" customHeight="1">
      <c r="A840" s="28" t="n">
        <v>4661</v>
      </c>
      <c r="B840" s="29" t="inlineStr">
        <is>
          <t>2019-05-22</t>
        </is>
      </c>
      <c r="C840" s="30">
        <f>HYPERLINK("https://vk.com/wall-1825701_4661", "Открыть пост")</f>
        <v/>
      </c>
      <c r="D840" s="31" t="inlineStr">
        <is>
          <t>Творческие мастер-классы и художественные студии</t>
        </is>
      </c>
      <c r="E840" s="31" t="inlineStr">
        <is>
          <t>Творческие мастер-классы и художественные студии</t>
        </is>
      </c>
      <c r="F840" s="31" t="inlineStr">
        <is>
          <t>Подростки и взрослые с ментальными особенностями и ОВЗ (ПНИ / Социальные дома)</t>
        </is>
      </c>
      <c r="G840" s="31" t="inlineStr">
        <is>
          <t>ПНИ №20</t>
        </is>
      </c>
      <c r="H840"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t>
        </is>
      </c>
      <c r="I840" s="32" t="inlineStr">
        <is>
          <t>По формату занятия</t>
        </is>
      </c>
      <c r="J840" s="31" t="inlineStr">
        <is>
          <t>Сегодня утром занимались ребята из ПНИ №20. Это взрослые люди с особенностями в развитии, которые постоянно проживают в психоневрологическом интернате. В студии эти ребята находят дружественную семейную атмосферу и возможность творить: рисовать, лепить, валять или вышивать. Препо...</t>
        </is>
      </c>
    </row>
    <row r="841" ht="30" customHeight="1">
      <c r="A841" s="23" t="n">
        <v>4659</v>
      </c>
      <c r="B841" s="24" t="inlineStr">
        <is>
          <t>2019-05-22</t>
        </is>
      </c>
      <c r="C841" s="25">
        <f>HYPERLINK("https://vk.com/wall-1825701_4659", "Открыть пост")</f>
        <v/>
      </c>
      <c r="D841" s="26" t="inlineStr">
        <is>
          <t>Ярмарки, фестивали и благотворительные базары</t>
        </is>
      </c>
      <c r="E841" s="26" t="inlineStr">
        <is>
          <t>Ярмарки, фестивали и благотворительные базары</t>
        </is>
      </c>
      <c r="F841" s="26" t="inlineStr">
        <is>
          <t>Подопечные фонда «Дети Марии» (общая группа детей и подростков)</t>
        </is>
      </c>
      <c r="G841" s="26" t="inlineStr">
        <is>
          <t>Студия фонда / выездная площадка</t>
        </is>
      </c>
      <c r="H841" s="26" t="inlineStr">
        <is>
          <t>Коммуникативные навыки, эмпатия и тьюторское сопровождение; Организационные, ивент- и ярмарочные навыки</t>
        </is>
      </c>
      <c r="I841" s="27" t="inlineStr">
        <is>
          <t>По формату занятия</t>
        </is>
      </c>
      <c r="J841" s="26" t="inlineStr">
        <is>
          <t>Во вторник «Дети Марии» приняли участие в ежегодной ярмарке русских сувениров в Англо-американской школе. Мы собрали 5850 рублей пожертвований. Благодарим сотрудников школы, родителей и учеников за интерес и поддержку наших программ. Надеемся на новые встречи!</t>
        </is>
      </c>
    </row>
    <row r="842" ht="30" customHeight="1">
      <c r="A842" s="28" t="n">
        <v>4658</v>
      </c>
      <c r="B842" s="29" t="inlineStr">
        <is>
          <t>2019-05-22</t>
        </is>
      </c>
      <c r="C842" s="30">
        <f>HYPERLINK("https://vk.com/wall-1825701_4658", "Открыть пост")</f>
        <v/>
      </c>
      <c r="D842" s="31" t="inlineStr">
        <is>
          <t>Творческие мастер-классы и художественные студии</t>
        </is>
      </c>
      <c r="E842" s="31" t="inlineStr">
        <is>
          <t>Творческие мастер-классы и художественные студии</t>
        </is>
      </c>
      <c r="F842" s="31" t="inlineStr">
        <is>
          <t>Подопечные фонда «Дети Марии» (общая группа детей и подростков)</t>
        </is>
      </c>
      <c r="G842" s="31" t="inlineStr">
        <is>
          <t>Студия фонда / выездная площадка</t>
        </is>
      </c>
      <c r="H842" s="31" t="inlineStr">
        <is>
          <t>Художественно-прикладные и ремесленные навыки; Коммуникативные навыки, эмпатия и тьюторское сопровождение</t>
        </is>
      </c>
      <c r="I842" s="32" t="inlineStr">
        <is>
          <t>По формату занятия</t>
        </is>
      </c>
      <c r="J842" s="31" t="inlineStr">
        <is>
          <t>Занятия керамикой в этом «учебном году» подходят к концу. До конца мая осталось одно. Взрослые по-взрослому подошли к возможности научиться лепить. Занятия принесли участникам новые знания и умения, уверенность, азарт, интерес к новым техникам и приёмам. Вы только посмотрите, как...</t>
        </is>
      </c>
    </row>
    <row r="843" ht="30" customHeight="1">
      <c r="A843" s="23" t="n">
        <v>4656</v>
      </c>
      <c r="B843" s="24" t="inlineStr">
        <is>
          <t>2019-05-21</t>
        </is>
      </c>
      <c r="C843" s="25">
        <f>HYPERLINK("https://vk.com/wall-1825701_4656", "Открыть пост")</f>
        <v/>
      </c>
      <c r="D843" s="26" t="inlineStr">
        <is>
          <t>Выставки, экскурсии и культурные выходы</t>
        </is>
      </c>
      <c r="E843" s="26" t="inlineStr">
        <is>
          <t>Выставки, экскурсии и культурные выходы</t>
        </is>
      </c>
      <c r="F843" s="26" t="inlineStr">
        <is>
          <t>Подростки и взрослые с ментальными особенностями и ОВЗ (ПНИ / Социальные дома)</t>
        </is>
      </c>
      <c r="G843" s="26" t="inlineStr">
        <is>
          <t>ПНИ №16</t>
        </is>
      </c>
      <c r="H843" s="26" t="inlineStr">
        <is>
          <t>Организационные, ивент- и ярмарочные навыки; Мобильность, выездное сопровождение и автоволонтёрство</t>
        </is>
      </c>
      <c r="I843" s="27" t="inlineStr">
        <is>
          <t>По формату занятия</t>
        </is>
      </c>
      <c r="J843" s="26" t="inlineStr">
        <is>
          <t>Вчера ребята из ПНИ №16 отправились в путешествие. Сначала — речная прогулка на двухпалубном корабле «Алина Танго». Плыли от Коломенского до Патриаршего моста. Красивый и интересный маршрут. Потом — экскурсия в Храме Христа Спасителя. Узнали, какие святыни там хранятся, поставили...</t>
        </is>
      </c>
    </row>
    <row r="844" ht="30" customHeight="1">
      <c r="A844" s="28" t="n">
        <v>4655</v>
      </c>
      <c r="B844" s="29" t="inlineStr">
        <is>
          <t>2019-05-21</t>
        </is>
      </c>
      <c r="C844" s="30">
        <f>HYPERLINK("https://vk.com/wall-1825701_4655", "Открыть пост")</f>
        <v/>
      </c>
      <c r="D844" s="31" t="inlineStr">
        <is>
          <t>Творческие мастер-классы и художественные студии</t>
        </is>
      </c>
      <c r="E844" s="31" t="inlineStr">
        <is>
          <t>Творческие мастер-классы и художественные студии</t>
        </is>
      </c>
      <c r="F844" s="31" t="inlineStr">
        <is>
          <t>Подростки и взрослые с ментальными особенностями и ОВЗ (ПНИ / Социальные дома)</t>
        </is>
      </c>
      <c r="G844" s="31" t="inlineStr">
        <is>
          <t>ПНИ №16</t>
        </is>
      </c>
      <c r="H844" s="31" t="inlineStr">
        <is>
          <t>Художественно-прикладные и ремесленные навыки</t>
        </is>
      </c>
      <c r="I844" s="32" t="inlineStr">
        <is>
          <t>По формату занятия</t>
        </is>
      </c>
      <c r="J844" s="31" t="inlineStr">
        <is>
          <t>Утром были занятия у ПНИ №16. Вадим и Соня успевали делать по два дела: Вадим листал альбом с великими живописцами, вдохновлялся и рисовал, Соня тоже рисовала, а ещё плела гобелен. После занятий все вместе пили чай с тортом, поздравляли с днём рождения Лёшу Панасенкова.</t>
        </is>
      </c>
    </row>
    <row r="845" ht="30" customHeight="1">
      <c r="A845" s="23" t="n">
        <v>4653</v>
      </c>
      <c r="B845" s="24" t="inlineStr">
        <is>
          <t>2019-05-21</t>
        </is>
      </c>
      <c r="C845" s="25">
        <f>HYPERLINK("https://vk.com/wall-1825701_4653", "Открыть пост")</f>
        <v/>
      </c>
      <c r="D845" s="26" t="inlineStr">
        <is>
          <t>Творческие мастер-классы и художественные студии</t>
        </is>
      </c>
      <c r="E845" s="26" t="inlineStr">
        <is>
          <t>Творческие мастер-классы и художественные студии</t>
        </is>
      </c>
      <c r="F845" s="26" t="inlineStr">
        <is>
          <t>Подопечные фонда «Дети Марии» (общая группа детей и подростков)</t>
        </is>
      </c>
      <c r="G845" s="26" t="inlineStr">
        <is>
          <t>Студия фонда / выездная площадка</t>
        </is>
      </c>
      <c r="H845" s="26" t="inlineStr">
        <is>
          <t>Художественно-прикладные и ремесленные навыки; Артистические, музыкальные и спортивно-игровые навыки</t>
        </is>
      </c>
      <c r="I845" s="27" t="inlineStr">
        <is>
          <t>По формату занятия</t>
        </is>
      </c>
      <c r="J845" s="26" t="inlineStr">
        <is>
          <t>По воскресеньям на занятия родители приводят детей, в прошлом перенёсших онкологические заболевания. В студии дети отвели душу: пели с Любовью Ивановной под аккомпанемент фортепиано, потом за полчаса сваляли с Марией Ивановной чёрного кота, про которого только что вспомнили песню...</t>
        </is>
      </c>
    </row>
    <row r="846" ht="30" customHeight="1">
      <c r="A846" s="28" t="n">
        <v>4652</v>
      </c>
      <c r="B846" s="29" t="inlineStr">
        <is>
          <t>2019-05-20</t>
        </is>
      </c>
      <c r="C846" s="30">
        <f>HYPERLINK("https://vk.com/wall-1825701_4652", "Открыть пост")</f>
        <v/>
      </c>
      <c r="D846" s="31" t="inlineStr">
        <is>
          <t>Творческие мастер-классы и художественные студии</t>
        </is>
      </c>
      <c r="E846" s="31" t="inlineStr">
        <is>
          <t>Творческие мастер-классы и художественные студии</t>
        </is>
      </c>
      <c r="F846" s="31" t="inlineStr">
        <is>
          <t>Воспитанники ЦССВ, ДДИ и детских домов-интернатов</t>
        </is>
      </c>
      <c r="G846" s="31" t="inlineStr">
        <is>
          <t>Студия фонда / выездная площадка</t>
        </is>
      </c>
      <c r="H846" s="31" t="inlineStr">
        <is>
          <t>Художественно-прикладные и ремесленные навыки</t>
        </is>
      </c>
      <c r="I846" s="32" t="inlineStr">
        <is>
          <t>По формату занятия</t>
        </is>
      </c>
      <c r="J846" s="31" t="inlineStr">
        <is>
          <t>В субботу на Тверской 15 снова прошли занятия для детей и подростков из «Спутника». Рисовали акварелью и расписывали специальными красками керамические изделия после обжига. Любимые занятия ребят — валяние из шерсти и лепка. А ещё разучили с Любовью Ивановной новые детские песенк...</t>
        </is>
      </c>
    </row>
    <row r="847" ht="30" customHeight="1">
      <c r="A847" s="23" t="n">
        <v>4651</v>
      </c>
      <c r="B847" s="24" t="inlineStr">
        <is>
          <t>2019-05-20</t>
        </is>
      </c>
      <c r="C847" s="25">
        <f>HYPERLINK("https://vk.com/wall-1825701_4651", "Открыть пост")</f>
        <v/>
      </c>
      <c r="D847" s="26" t="inlineStr">
        <is>
          <t>Творческие мастер-классы и художественные студии</t>
        </is>
      </c>
      <c r="E847" s="26" t="inlineStr">
        <is>
          <t>Творческие мастер-классы и художественные студии</t>
        </is>
      </c>
      <c r="F847" s="26" t="inlineStr">
        <is>
          <t>Подростки и взрослые с ментальными особенностями и ОВЗ (ПНИ / Социальные дома)</t>
        </is>
      </c>
      <c r="G847" s="26" t="inlineStr">
        <is>
          <t>ПНИ №16</t>
        </is>
      </c>
      <c r="H847" s="26" t="inlineStr">
        <is>
          <t>Художественно-прикладные и ремесленные навыки; Педагогические и наставнические навыки (кулинария, быт, учёба)</t>
        </is>
      </c>
      <c r="I847" s="27" t="inlineStr">
        <is>
          <t>По формату занятия</t>
        </is>
      </c>
      <c r="J847" s="26" t="inlineStr">
        <is>
          <t>У ПНИ №16 тема занятия в субботу были посвящены еде: учились готовить пирог, вместе резали овощи для салата. А в другой комнате остальные ребята рисовали композиции со своими любимыми блюдами. А что бы нарисовали Вы?</t>
        </is>
      </c>
    </row>
    <row r="848" ht="30" customHeight="1">
      <c r="A848" s="28" t="n">
        <v>4646</v>
      </c>
      <c r="B848" s="29" t="inlineStr">
        <is>
          <t>2019-05-17</t>
        </is>
      </c>
      <c r="C848" s="30">
        <f>HYPERLINK("https://vk.com/wall-1825701_4646", "Открыть пост")</f>
        <v/>
      </c>
      <c r="D848" s="31" t="inlineStr">
        <is>
          <t>Выездные лагеря, дача и сезонные программы</t>
        </is>
      </c>
      <c r="E848" s="31" t="inlineStr">
        <is>
          <t>Выездные лагеря, дача и сезонные программы; Творческие мастер-классы и художественные студии</t>
        </is>
      </c>
      <c r="F848" s="31" t="inlineStr">
        <is>
          <t>Подопечные фонда «Дети Марии» (общая группа детей и подростков)</t>
        </is>
      </c>
      <c r="G848" s="31" t="inlineStr">
        <is>
          <t>Студия фонда / выездная площадка</t>
        </is>
      </c>
      <c r="H848" s="31" t="inlineStr">
        <is>
          <t>Художественно-прикладные и ремесленные навыки</t>
        </is>
      </c>
      <c r="I848" s="32" t="inlineStr">
        <is>
          <t>По формату занятия</t>
        </is>
      </c>
      <c r="J848" s="31" t="inlineStr">
        <is>
          <t>В среду в загородные мастерские на даче у Марии приезжали дети из Филимонок. Занимались керамикой. Лепить из глины все любят и уже хорошо освоили это искусство — смотрите, какие получились сердца, амфора и дракон! 🐉</t>
        </is>
      </c>
    </row>
    <row r="849" ht="30" customHeight="1">
      <c r="A849" s="23" t="n">
        <v>4644</v>
      </c>
      <c r="B849" s="24" t="inlineStr">
        <is>
          <t>2019-05-17</t>
        </is>
      </c>
      <c r="C849" s="25">
        <f>HYPERLINK("https://vk.com/wall-1825701_4644", "Открыть пост")</f>
        <v/>
      </c>
      <c r="D849" s="26" t="inlineStr">
        <is>
          <t>Спектакли, концерты и музыкально-театральные занятия</t>
        </is>
      </c>
      <c r="E849" s="26" t="inlineStr">
        <is>
          <t>Спектакли, концерты и музыкально-театральные занятия</t>
        </is>
      </c>
      <c r="F849" s="26" t="inlineStr">
        <is>
          <t>Подопечные фонда «Дети Марии» (общая группа детей и подростков)</t>
        </is>
      </c>
      <c r="G849" s="26" t="inlineStr">
        <is>
          <t>Студия фонда / выездная площадка</t>
        </is>
      </c>
      <c r="H849" s="26" t="inlineStr">
        <is>
          <t>Артистические, музыкальные и спортивно-игровые навыки</t>
        </is>
      </c>
      <c r="I849" s="27" t="inlineStr">
        <is>
          <t>По формату занятия</t>
        </is>
      </c>
      <c r="J849" s="26" t="inlineStr">
        <is>
          <t>На обратном пути по традиции у нас на кораблике концерт — пели песни все, кто хочет и любит петь — и дети, и взрослые, ещё был маленький импровизированный спектакль. Спасибо музыканту Александру Шишову и всем звонкоголосым артистам!</t>
        </is>
      </c>
    </row>
    <row r="850" ht="30" customHeight="1">
      <c r="A850" s="28" t="n">
        <v>4641</v>
      </c>
      <c r="B850" s="29" t="inlineStr">
        <is>
          <t>2019-05-16</t>
        </is>
      </c>
      <c r="C850" s="30">
        <f>HYPERLINK("https://vk.com/wall-1825701_4641", "Открыть пост")</f>
        <v/>
      </c>
      <c r="D850" s="31" t="inlineStr">
        <is>
          <t>Праздники, дни рождения и клубные встречи</t>
        </is>
      </c>
      <c r="E850" s="31" t="inlineStr">
        <is>
          <t>Праздники, дни рождения и клубные встречи</t>
        </is>
      </c>
      <c r="F850" s="31" t="inlineStr">
        <is>
          <t>Подопечные фонда «Дети Марии» (общая группа детей и подростков)</t>
        </is>
      </c>
      <c r="G850" s="31" t="inlineStr">
        <is>
          <t>Студия фонда / выездная площадка</t>
        </is>
      </c>
      <c r="H850" s="31" t="inlineStr">
        <is>
          <t>Коммуникативные навыки, эмпатия и тьюторское сопровождение; Организационные, ивент- и ярмарочные навыки</t>
        </is>
      </c>
      <c r="I850" s="32" t="inlineStr">
        <is>
          <t>По формату занятия</t>
        </is>
      </c>
      <c r="J850" s="31" t="inlineStr">
        <is>
          <t>Сегодня мы провели замечательный день вместе с ребятами из всех дружественных интернатов — праздник «Корабль наших надежд». Плавание на теплоходе и пикник в Бухте Радости — наша давняя и любимая традиция и каждый год долгожданная радость для детей и взрослых. Спасибо всем, кто бы...</t>
        </is>
      </c>
    </row>
    <row r="851" ht="30" customHeight="1">
      <c r="A851" s="23" t="n">
        <v>4640</v>
      </c>
      <c r="B851" s="24" t="inlineStr">
        <is>
          <t>2019-05-15</t>
        </is>
      </c>
      <c r="C851" s="25">
        <f>HYPERLINK("https://vk.com/wall-1825701_4640", "Открыть пост")</f>
        <v/>
      </c>
      <c r="D851" s="26" t="inlineStr">
        <is>
          <t>Творческие мастер-классы и художественные студии</t>
        </is>
      </c>
      <c r="E851" s="26" t="inlineStr">
        <is>
          <t>Творческие мастер-классы и художественные студии</t>
        </is>
      </c>
      <c r="F851" s="26" t="inlineStr">
        <is>
          <t>Подопечные фонда «Дети Марии» (общая группа детей и подростков)</t>
        </is>
      </c>
      <c r="G851" s="26" t="inlineStr">
        <is>
          <t>Студия фонда / выездная площадка</t>
        </is>
      </c>
      <c r="H851" s="26" t="inlineStr">
        <is>
          <t>Художественно-прикладные и ремесленные навыки; Педагогические и наставнические навыки (кулинария, быт, учёба)</t>
        </is>
      </c>
      <c r="I851" s="27" t="inlineStr">
        <is>
          <t>По формату занятия</t>
        </is>
      </c>
      <c r="J851" s="26" t="inlineStr">
        <is>
          <t>Рисование для взрослых сегодня превратилось в вырезание для взрослых)) Это взрослый вклад в большую коллективную картину о Тайланде. Дети нарисовали для неё много отличных деталей, а вот вырезать аккуратно не у всех получается. Взрослые не всегда могут так непосредственно и самоз...</t>
        </is>
      </c>
    </row>
    <row r="852" ht="30" customHeight="1">
      <c r="A852" s="28" t="n">
        <v>4639</v>
      </c>
      <c r="B852" s="29" t="inlineStr">
        <is>
          <t>2019-05-15</t>
        </is>
      </c>
      <c r="C852" s="30">
        <f>HYPERLINK("https://vk.com/wall-1825701_4639", "Открыть пост")</f>
        <v/>
      </c>
      <c r="D852" s="31" t="inlineStr">
        <is>
          <t>Спектакли, концерты и музыкально-театральные занятия</t>
        </is>
      </c>
      <c r="E852" s="31" t="inlineStr">
        <is>
          <t>Спектакли, концерты и музыкально-театральные занятия</t>
        </is>
      </c>
      <c r="F852" s="31" t="inlineStr">
        <is>
          <t>Подростки и взрослые с ментальными особенностями и ОВЗ (ПНИ / Социальные дома); Воспитанники ЦССВ, ДДИ и детских домов-интернатов</t>
        </is>
      </c>
      <c r="G852" s="31" t="inlineStr">
        <is>
          <t>Студия фонда / выездная площадка</t>
        </is>
      </c>
      <c r="H852" s="31" t="inlineStr">
        <is>
          <t>Артистические, музыкальные и спортивно-игровые навыки</t>
        </is>
      </c>
      <c r="I852" s="32" t="inlineStr">
        <is>
          <t>По формату занятия</t>
        </is>
      </c>
      <c r="J852" s="31" t="inlineStr">
        <is>
          <t>В среду нам посчастливилось побывать на премьере потрясающего спектакля Филимонковского детского дома в честь 85-летия со дня основания детского дома. В трогательном и искреннем, весёлом и гротескном действе все роли исполняли дети и сотрудники детского дома и клоун-актёр театра ...</t>
        </is>
      </c>
    </row>
    <row r="853" ht="30" customHeight="1">
      <c r="A853" s="23" t="n">
        <v>4638</v>
      </c>
      <c r="B853" s="24" t="inlineStr">
        <is>
          <t>2019-05-15</t>
        </is>
      </c>
      <c r="C853" s="25">
        <f>HYPERLINK("https://vk.com/wall-1825701_4638", "Открыть пост")</f>
        <v/>
      </c>
      <c r="D853" s="26" t="inlineStr">
        <is>
          <t>Творческие мастер-классы и художественные студии</t>
        </is>
      </c>
      <c r="E853" s="26" t="inlineStr">
        <is>
          <t>Творческие мастер-классы и художественные студии</t>
        </is>
      </c>
      <c r="F853" s="26" t="inlineStr">
        <is>
          <t>Подростки и взрослые с ментальными особенностями и ОВЗ (ПНИ / Социальные дома)</t>
        </is>
      </c>
      <c r="G853" s="26" t="inlineStr">
        <is>
          <t>Студия фонда / выездная площадка</t>
        </is>
      </c>
      <c r="H853" s="26" t="inlineStr">
        <is>
          <t>Художественно-прикладные и ремесленные навыки; Артистические, музыкальные и спортивно-игровые навыки; Организационные, ивент- и ярмарочные навыки</t>
        </is>
      </c>
      <c r="I853" s="27" t="inlineStr">
        <is>
          <t>По формату занятия</t>
        </is>
      </c>
      <c r="J853" s="26" t="inlineStr">
        <is>
          <t>Во вторник утром в студии взрослые с особенностями здоровья из ПНИ 16. Занятия организованы так, чтобы у участников был выбор. В керамической мастерской строили корабли. Совсем скоро всеми любимый и долгожданный праздник окончания учебного года «Корабль наших надежд». Художники п...</t>
        </is>
      </c>
    </row>
    <row r="854" ht="30" customHeight="1">
      <c r="A854" s="28" t="n">
        <v>4633</v>
      </c>
      <c r="B854" s="29" t="inlineStr">
        <is>
          <t>2019-05-12</t>
        </is>
      </c>
      <c r="C854" s="30">
        <f>HYPERLINK("https://vk.com/wall-1825701_4633", "Открыть пост")</f>
        <v/>
      </c>
      <c r="D854" s="31" t="inlineStr">
        <is>
          <t>Творческие мастер-классы и художественные студии</t>
        </is>
      </c>
      <c r="E854" s="31" t="inlineStr">
        <is>
          <t>Творческие мастер-классы и художественные студии</t>
        </is>
      </c>
      <c r="F854" s="31" t="inlineStr">
        <is>
          <t>Воспитанники ЦССВ, ДДИ и детских домов-интернатов</t>
        </is>
      </c>
      <c r="G854" s="31" t="inlineStr">
        <is>
          <t>Тверская 15</t>
        </is>
      </c>
      <c r="H854" s="31" t="inlineStr">
        <is>
          <t>Художественно-прикладные и ремесленные навыки; Педагогические и наставнические навыки (кулинария, быт, учёба)</t>
        </is>
      </c>
      <c r="I854" s="32" t="inlineStr">
        <is>
          <t>По формату занятия</t>
        </is>
      </c>
      <c r="J854" s="31" t="inlineStr">
        <is>
          <t>Дети и подростки из центра «Спутник» приехали в субботу на занятия в пространство творчества Тверская 15. Было много всего интересного: можно было делать фонари в технике Тиффани, лепить из глины чайники, а Мария Ивановна учила валять яркие цветы из шерсти. Малыши, кстати, были у...</t>
        </is>
      </c>
    </row>
    <row r="855" ht="30" customHeight="1">
      <c r="A855" s="23" t="n">
        <v>4630</v>
      </c>
      <c r="B855" s="24" t="inlineStr">
        <is>
          <t>2019-05-11</t>
        </is>
      </c>
      <c r="C855" s="25">
        <f>HYPERLINK("https://vk.com/wall-1825701_4630", "Открыть пост")</f>
        <v/>
      </c>
      <c r="D855" s="26" t="inlineStr">
        <is>
          <t>Творческие мастер-классы и художественные студии</t>
        </is>
      </c>
      <c r="E855" s="26" t="inlineStr">
        <is>
          <t>Творческие мастер-классы и художественные студии</t>
        </is>
      </c>
      <c r="F855" s="26" t="inlineStr">
        <is>
          <t>Подростки и взрослые с ментальными особенностями и ОВЗ (ПНИ / Социальные дома)</t>
        </is>
      </c>
      <c r="G855" s="26" t="inlineStr">
        <is>
          <t>ПНИ №16</t>
        </is>
      </c>
      <c r="H855" s="26" t="inlineStr">
        <is>
          <t>Художественно-прикладные и ремесленные навыки; Артистические, музыкальные и спортивно-игровые навыки; Организационные, ивент- и ярмарочные навыки</t>
        </is>
      </c>
      <c r="I855" s="27" t="inlineStr">
        <is>
          <t>По формату занятия</t>
        </is>
      </c>
      <c r="J855" s="26" t="inlineStr">
        <is>
          <t>Ребята из ПНИ №16 приезжали в студию в пятницу. Были занятия лепкой и валянием, а в соседней комнате рисовали, вырезали и клеили открытки для ветеранов. Потом все эти открытки подарят ветеранам, которые по состоянию здоровья не выходят из дома. Музыкальная пауза тоже была посвяще...</t>
        </is>
      </c>
    </row>
    <row r="856" ht="30" customHeight="1">
      <c r="A856" s="28" t="n">
        <v>4627</v>
      </c>
      <c r="B856" s="29" t="inlineStr">
        <is>
          <t>2019-05-10</t>
        </is>
      </c>
      <c r="C856" s="30">
        <f>HYPERLINK("https://vk.com/wall-1825701_4627", "Открыть пост")</f>
        <v/>
      </c>
      <c r="D856" s="31" t="inlineStr">
        <is>
          <t>Творческие мастер-классы и художественные студии</t>
        </is>
      </c>
      <c r="E856" s="31" t="inlineStr">
        <is>
          <t>Творческие мастер-классы и художественные студии</t>
        </is>
      </c>
      <c r="F856" s="31" t="inlineStr">
        <is>
          <t>Подопечные фонда «Дети Марии» (общая группа детей и подростков)</t>
        </is>
      </c>
      <c r="G856" s="31" t="inlineStr">
        <is>
          <t>Студия фонда / выездная площадка</t>
        </is>
      </c>
      <c r="H856"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t>
        </is>
      </c>
      <c r="I856" s="32" t="inlineStr">
        <is>
          <t>По формату занятия</t>
        </is>
      </c>
      <c r="J856" s="31" t="inlineStr">
        <is>
          <t>Сегодня по адресу Каретный переулок, 12 продолжали праздновать День Победы. С погодой повезло — светило солнце, дул теплый ветерок. В сквере были танцы, пели военные песни, ветеран Нина Николаевна читала свои стихи про военное детство. Наша сотрудница Лакшми с подругой организова...</t>
        </is>
      </c>
    </row>
    <row r="857" ht="30" customHeight="1">
      <c r="A857" s="23" t="n">
        <v>4626</v>
      </c>
      <c r="B857" s="24" t="inlineStr">
        <is>
          <t>2019-05-10</t>
        </is>
      </c>
      <c r="C857" s="25">
        <f>HYPERLINK("https://vk.com/wall-1825701_4626", "Открыть пост")</f>
        <v/>
      </c>
      <c r="D857" s="26" t="inlineStr">
        <is>
          <t>Выездные лагеря, дача и сезонные программы</t>
        </is>
      </c>
      <c r="E857" s="26" t="inlineStr">
        <is>
          <t>Выездные лагеря, дача и сезонные программы; Творческие мастер-классы и художественные студии</t>
        </is>
      </c>
      <c r="F857" s="26" t="inlineStr">
        <is>
          <t>Подопечные фонда «Дети Марии» (общая группа детей и подростков)</t>
        </is>
      </c>
      <c r="G857" s="26" t="inlineStr">
        <is>
          <t>Студия фонда / выездная площадка</t>
        </is>
      </c>
      <c r="H857" s="26" t="inlineStr">
        <is>
          <t>Художественно-прикладные и ремесленные навыки; Педагогические и наставнические навыки (кулинария, быт, учёба)</t>
        </is>
      </c>
      <c r="I857" s="27" t="inlineStr">
        <is>
          <t>По формату занятия</t>
        </is>
      </c>
      <c r="J857" s="26" t="inlineStr">
        <is>
          <t>В среду дети из Филимонок занимались в загородных мастерских на даче у Марии, лепили на свободную тему и раскрашивали слепленные работы. Вова и Джастин склеивали керамическую картину. И потом за чаем отмечали день рождения преподавателя керамики — Иры Рокотниной ☕•</t>
        </is>
      </c>
    </row>
    <row r="858" ht="30" customHeight="1">
      <c r="A858" s="28" t="n">
        <v>4622</v>
      </c>
      <c r="B858" s="29" t="inlineStr">
        <is>
          <t>2019-05-09</t>
        </is>
      </c>
      <c r="C858" s="30">
        <f>HYPERLINK("https://vk.com/wall-1825701_4622", "Открыть пост")</f>
        <v/>
      </c>
      <c r="D858" s="31" t="inlineStr">
        <is>
          <t>Творческие мастер-классы и художественные студии</t>
        </is>
      </c>
      <c r="E858" s="31" t="inlineStr">
        <is>
          <t>Творческие мастер-классы и художественные студии</t>
        </is>
      </c>
      <c r="F858" s="31" t="inlineStr">
        <is>
          <t>Подопечные фонда «Дети Марии» (общая группа детей и подростков)</t>
        </is>
      </c>
      <c r="G858" s="31" t="inlineStr">
        <is>
          <t>Студия фонда / выездная площадка</t>
        </is>
      </c>
      <c r="H858" s="31" t="inlineStr">
        <is>
          <t>Художественно-прикладные и ремесленные навыки; Педагогические и наставнические навыки (кулинария, быт, учёба)</t>
        </is>
      </c>
      <c r="I858" s="32" t="inlineStr">
        <is>
          <t>По формату занятия</t>
        </is>
      </c>
      <c r="J858" s="31" t="inlineStr">
        <is>
          <t>Так совпало, что на занятиях рисованием для взрослых в прошлый раз собрался чисто мужской состав учеников, а сегодня совсем другой — преимущественно девичий)) Так что преподаватель Нюся Митина повторила с нами рисование цветов — ботанический натюрморт, как назвала его Нюся. Цвете...</t>
        </is>
      </c>
    </row>
    <row r="859" ht="30" customHeight="1">
      <c r="A859" s="23" t="n">
        <v>4621</v>
      </c>
      <c r="B859" s="24" t="inlineStr">
        <is>
          <t>2019-05-08</t>
        </is>
      </c>
      <c r="C859" s="25">
        <f>HYPERLINK("https://vk.com/wall-1825701_4621", "Открыть пост")</f>
        <v/>
      </c>
      <c r="D859" s="26" t="inlineStr">
        <is>
          <t>Творческие мастер-классы и художественные студии</t>
        </is>
      </c>
      <c r="E859" s="26" t="inlineStr">
        <is>
          <t>Творческие мастер-классы и художественные студии</t>
        </is>
      </c>
      <c r="F859" s="26" t="inlineStr">
        <is>
          <t>Подопечные фонда «Дети Марии» (общая группа детей и подростков)</t>
        </is>
      </c>
      <c r="G859" s="26" t="inlineStr">
        <is>
          <t>Студия фонда / выездная площадка</t>
        </is>
      </c>
      <c r="H859" s="26" t="inlineStr">
        <is>
          <t>Художественно-прикладные и ремесленные навыки; Артистические, музыкальные и спортивно-игровые навыки</t>
        </is>
      </c>
      <c r="I859" s="27" t="inlineStr">
        <is>
          <t>Да (в тексте)</t>
        </is>
      </c>
      <c r="J859" s="26" t="inlineStr">
        <is>
          <t>С утра прошел тёплый дождь, и Екатерининский парк был свежий, душистый. В канун Дня Победы представители всех районов ЦАО, среди них и наши сотрудники и волонтёры, сажали сирень, слушали военные песни, участвовали в мастер-классе — рисовали открытки для ветеранов. И попробовали г...</t>
        </is>
      </c>
    </row>
    <row r="860" ht="30" customHeight="1">
      <c r="A860" s="28" t="n">
        <v>4619</v>
      </c>
      <c r="B860" s="29" t="inlineStr">
        <is>
          <t>2019-05-07</t>
        </is>
      </c>
      <c r="C860" s="30">
        <f>HYPERLINK("https://vk.com/wall-1825701_4619", "Открыть пост")</f>
        <v/>
      </c>
      <c r="D860" s="31" t="inlineStr">
        <is>
          <t>Творческие мастер-классы и художественные студии</t>
        </is>
      </c>
      <c r="E860" s="31" t="inlineStr">
        <is>
          <t>Творческие мастер-классы и художественные студии</t>
        </is>
      </c>
      <c r="F860" s="31" t="inlineStr">
        <is>
          <t>Подопечные фонда «Дети Марии» (общая группа детей и подростков)</t>
        </is>
      </c>
      <c r="G860" s="31" t="inlineStr">
        <is>
          <t>Студия фонда / выездная площадка</t>
        </is>
      </c>
      <c r="H860" s="31" t="inlineStr">
        <is>
          <t>Художественно-прикладные и ремесленные навыки; Организационные, ивент- и ярмарочные навыки</t>
        </is>
      </c>
      <c r="I860" s="32" t="inlineStr">
        <is>
          <t>По формату занятия</t>
        </is>
      </c>
      <c r="J860" s="31" t="inlineStr">
        <is>
          <t>Первая волна майских праздников схлынула, но еще не всех прибило к берегу, так что керамика для взрослых прошла сегодня узким, но очень душевным кругом) Доделывали начатое раньше и радовались результатам — работам, прошедшим обжиг.</t>
        </is>
      </c>
    </row>
    <row r="861" ht="30" customHeight="1">
      <c r="A861" s="23" t="n">
        <v>4617</v>
      </c>
      <c r="B861" s="24" t="inlineStr">
        <is>
          <t>2019-05-04</t>
        </is>
      </c>
      <c r="C861" s="25">
        <f>HYPERLINK("https://vk.com/wall-1825701_4617", "Открыть пост")</f>
        <v/>
      </c>
      <c r="D861" s="26" t="inlineStr">
        <is>
          <t>Творческие мастер-классы и художественные студии</t>
        </is>
      </c>
      <c r="E861" s="26" t="inlineStr">
        <is>
          <t>Творческие мастер-классы и художественные студии; Кулинарные, образовательные и социально-бытовые занятия</t>
        </is>
      </c>
      <c r="F861" s="26" t="inlineStr">
        <is>
          <t>Подопечные фонда «Дети Марии» (общая группа детей и подростков)</t>
        </is>
      </c>
      <c r="G861" s="26" t="inlineStr">
        <is>
          <t>Тверская 15</t>
        </is>
      </c>
      <c r="H861" s="26" t="inlineStr">
        <is>
          <t>Коммуникативные навыки, эмпатия и тьюторское сопровождение</t>
        </is>
      </c>
      <c r="I861" s="27" t="inlineStr">
        <is>
          <t>По формату занятия</t>
        </is>
      </c>
      <c r="J861" s="26" t="inlineStr">
        <is>
          <t>30 апреля в Пространство творчества и развития «Тверская 15» прошла встреча наших ребят и художников со знаменитым Михаилом Шемякиным. О том, как это было, подробно рассказывает в своей статье журналистка Мария Максимова. Спасибо, Михаил Михайлович, за незабываемую встречу, лекци...</t>
        </is>
      </c>
    </row>
    <row r="862" ht="30" customHeight="1">
      <c r="A862" s="28" t="n">
        <v>4616</v>
      </c>
      <c r="B862" s="29" t="inlineStr">
        <is>
          <t>2019-05-02</t>
        </is>
      </c>
      <c r="C862" s="30">
        <f>HYPERLINK("https://vk.com/wall-1825701_4616", "Открыть пост")</f>
        <v/>
      </c>
      <c r="D862" s="31" t="inlineStr">
        <is>
          <t>Творческие мастер-классы и художественные студии</t>
        </is>
      </c>
      <c r="E862" s="31" t="inlineStr">
        <is>
          <t>Творческие мастер-классы и художественные студии</t>
        </is>
      </c>
      <c r="F862" s="31" t="inlineStr">
        <is>
          <t>Подростки и взрослые с ментальными особенностями и ОВЗ (ПНИ / Социальные дома)</t>
        </is>
      </c>
      <c r="G862" s="31" t="inlineStr">
        <is>
          <t>ПНИ №16</t>
        </is>
      </c>
      <c r="H862" s="31" t="inlineStr">
        <is>
          <t>Художественно-прикладные и ремесленные навыки; Артистические, музыкальные и спортивно-игровые навыки</t>
        </is>
      </c>
      <c r="I862" s="32" t="inlineStr">
        <is>
          <t>По формату занятия</t>
        </is>
      </c>
      <c r="J862" s="31" t="inlineStr">
        <is>
          <t>Во вторник на занятиях ПНИ №16 рисовали, валяли, лепили и пели. Маша помогла сделать домашнее задание Саше, который занимается в центре «Вверх» математикой и русским. А гвоздем программы стало пасхальное застолье — спасибо Вале Мироновой за угощение, она принесла ребятам вкуснейш...</t>
        </is>
      </c>
    </row>
    <row r="863" ht="30" customHeight="1">
      <c r="A863" s="23" t="n">
        <v>4614</v>
      </c>
      <c r="B863" s="24" t="inlineStr">
        <is>
          <t>2019-04-30</t>
        </is>
      </c>
      <c r="C863" s="25">
        <f>HYPERLINK("https://vk.com/wall-1825701_4614", "Открыть пост")</f>
        <v/>
      </c>
      <c r="D863" s="26" t="inlineStr">
        <is>
          <t>Кулинарные, образовательные и социально-бытовые занятия</t>
        </is>
      </c>
      <c r="E863" s="26" t="inlineStr">
        <is>
          <t>Кулинарные, образовательные и социально-бытовые занятия</t>
        </is>
      </c>
      <c r="F863" s="26" t="inlineStr">
        <is>
          <t>Подростки и взрослые с ментальными особенностями и ОВЗ (ПНИ / Социальные дома)</t>
        </is>
      </c>
      <c r="G863" s="26" t="inlineStr">
        <is>
          <t>ПНИ №16</t>
        </is>
      </c>
      <c r="H863" s="26" t="inlineStr">
        <is>
          <t>Педагогические и наставнические навыки (кулинария, быт, учёба); Мобильность, выездное сопровождение и автоволонтёрство</t>
        </is>
      </c>
      <c r="I863" s="27" t="inlineStr">
        <is>
          <t>Да (в тексте)</t>
        </is>
      </c>
      <c r="J863" s="26" t="inlineStr">
        <is>
          <t>В понедельник волонтёры Ирина и Энрике из Испании вместе с ребятами из ПНИ №16 побывали на кулинарном занятии — программе центра «Вверх», куда Никита и Саша еженедельно ходят на занятия математикой и русским языком. Представляете, Римма впервые в жизни (!) побывала в метро. На за...</t>
        </is>
      </c>
    </row>
    <row r="864" ht="30" customHeight="1">
      <c r="A864" s="28" t="n">
        <v>4612</v>
      </c>
      <c r="B864" s="29" t="inlineStr">
        <is>
          <t>2019-04-29</t>
        </is>
      </c>
      <c r="C864" s="30">
        <f>HYPERLINK("https://vk.com/wall-1825701_4612", "Открыть пост")</f>
        <v/>
      </c>
      <c r="D864" s="31" t="inlineStr">
        <is>
          <t>Ярмарки, фестивали и благотворительные базары</t>
        </is>
      </c>
      <c r="E864" s="31" t="inlineStr">
        <is>
          <t>Ярмарки, фестивали и благотворительные базары</t>
        </is>
      </c>
      <c r="F864" s="31" t="inlineStr">
        <is>
          <t>Широкая аудитория, гости и благотворители (открытые события)</t>
        </is>
      </c>
      <c r="G864" s="31" t="inlineStr">
        <is>
          <t>Студия фонда / выездная площадка</t>
        </is>
      </c>
      <c r="H864" s="31" t="inlineStr">
        <is>
          <t>Артистические, музыкальные и спортивно-игровые навыки; Организационные, ивент- и ярмарочные навыки</t>
        </is>
      </c>
      <c r="I864" s="32" t="inlineStr">
        <is>
          <t>По формату занятия</t>
        </is>
      </c>
      <c r="J864" s="31" t="inlineStr">
        <is>
          <t>Поздравляем с днём рождения Тимошу Карандеева — нашего самого талантливого пейзажиста. #тимошарисует и радует своими картинами нас и покупателей на ярмарках. Тимоша не только художник, он ещё и спортсмен, так что в подарок он получил спортивный костюм)) Новых достижений тебе, Тим...</t>
        </is>
      </c>
    </row>
    <row r="865" ht="30" customHeight="1">
      <c r="A865" s="23" t="n">
        <v>4608</v>
      </c>
      <c r="B865" s="24" t="inlineStr">
        <is>
          <t>2019-04-27</t>
        </is>
      </c>
      <c r="C865" s="25">
        <f>HYPERLINK("https://vk.com/wall-1825701_4608", "Открыть пост")</f>
        <v/>
      </c>
      <c r="D865" s="26" t="inlineStr">
        <is>
          <t>Творческие мастер-классы и художественные студии</t>
        </is>
      </c>
      <c r="E865" s="26" t="inlineStr">
        <is>
          <t>Творческие мастер-классы и художественные студии</t>
        </is>
      </c>
      <c r="F865" s="26" t="inlineStr">
        <is>
          <t>Подопечные фонда «Дети Марии» (общая группа детей и подростков)</t>
        </is>
      </c>
      <c r="G865" s="26" t="inlineStr">
        <is>
          <t>Студия фонда / выездная площадка</t>
        </is>
      </c>
      <c r="H865" s="26" t="inlineStr">
        <is>
          <t>Коммуникативные навыки, эмпатия и тьюторское сопровождение</t>
        </is>
      </c>
      <c r="I865" s="27" t="inlineStr">
        <is>
          <t>По формату занятия</t>
        </is>
      </c>
      <c r="J865" s="26" t="inlineStr">
        <is>
          <t>Анастасия Фриева и Анна Митина проводят занятия по арт-терапии два раза в неделю в каждом отделении Института педиатрии на Талдомской улице. Коллективные картины и индивидуальные занятия — это то, что помогает ребятам, проходящим лечение, чувствовать себя счастливее и скорее попр...</t>
        </is>
      </c>
    </row>
    <row r="866" ht="30" customHeight="1">
      <c r="A866" s="28" t="n">
        <v>4604</v>
      </c>
      <c r="B866" s="29" t="inlineStr">
        <is>
          <t>2019-04-26</t>
        </is>
      </c>
      <c r="C866" s="30">
        <f>HYPERLINK("https://vk.com/wall-1825701_4604", "Открыть пост")</f>
        <v/>
      </c>
      <c r="D866" s="31" t="inlineStr">
        <is>
          <t>Ярмарки, фестивали и благотворительные базары</t>
        </is>
      </c>
      <c r="E866" s="31" t="inlineStr">
        <is>
          <t>Ярмарки, фестивали и благотворительные базары</t>
        </is>
      </c>
      <c r="F866" s="31" t="inlineStr">
        <is>
          <t>Подопечные фонда «Дети Марии» (общая группа детей и подростков)</t>
        </is>
      </c>
      <c r="G866" s="31" t="inlineStr">
        <is>
          <t>Студия фонда / выездная площадка</t>
        </is>
      </c>
      <c r="H866" s="31" t="inlineStr">
        <is>
          <t>Коммуникативные навыки, эмпатия и тьюторское сопровождение; Организационные, ивент- и ярмарочные навыки</t>
        </is>
      </c>
      <c r="I866" s="32" t="inlineStr">
        <is>
          <t>По формату занятия</t>
        </is>
      </c>
      <c r="J866" s="31" t="inlineStr">
        <is>
          <t>Вчера в офисах ПАО Сбербанк прошли предпасхальные благотворительные ярмарки. Мы участвовали в двух филиалах, и наш суммарный сбор — сто тысяч рублей! Спасибо за щедрость и неравнодушие, дорогие друзья — сотрудники Сбербанка! Спасибо организаторам ярмарок за большую работу, вниман...</t>
        </is>
      </c>
    </row>
    <row r="867" ht="30" customHeight="1">
      <c r="A867" s="23" t="n">
        <v>4593</v>
      </c>
      <c r="B867" s="24" t="inlineStr">
        <is>
          <t>2019-04-26</t>
        </is>
      </c>
      <c r="C867" s="25">
        <f>HYPERLINK("https://vk.com/wall-1825701_4593", "Открыть пост")</f>
        <v/>
      </c>
      <c r="D867" s="26" t="inlineStr">
        <is>
          <t>Творческие мастер-классы и художественные студии</t>
        </is>
      </c>
      <c r="E867" s="26" t="inlineStr">
        <is>
          <t>Творческие мастер-классы и художественные студии</t>
        </is>
      </c>
      <c r="F867" s="26" t="inlineStr">
        <is>
          <t>Подопечные фонда «Дети Марии» (общая группа детей и подростков)</t>
        </is>
      </c>
      <c r="G867" s="26" t="inlineStr">
        <is>
          <t>Студия фонда / выездная площадка</t>
        </is>
      </c>
      <c r="H867" s="26" t="inlineStr">
        <is>
          <t>Художественно-прикладные и ремесленные навыки</t>
        </is>
      </c>
      <c r="I867" s="27" t="inlineStr">
        <is>
          <t>По формату занятия</t>
        </is>
      </c>
      <c r="J867" s="26" t="inlineStr">
        <is>
          <t>Весна окончательно настала в Москве, появилась первая зелень. На занятиях рисованием для взрослых в среду мы тоже рисовали растения, пока, правда, комнатные цветы. Отыскать в зелёном множество оттенков, передать форму и строение листа — такие задачи ставила перед учениками художн...</t>
        </is>
      </c>
    </row>
    <row r="868" ht="30" customHeight="1">
      <c r="A868" s="28" t="n">
        <v>4592</v>
      </c>
      <c r="B868" s="29" t="inlineStr">
        <is>
          <t>2019-04-25</t>
        </is>
      </c>
      <c r="C868" s="30">
        <f>HYPERLINK("https://vk.com/wall-1825701_4592", "Открыть пост")</f>
        <v/>
      </c>
      <c r="D868" s="31" t="inlineStr">
        <is>
          <t>Творческие мастер-классы и художественные студии</t>
        </is>
      </c>
      <c r="E868" s="31" t="inlineStr">
        <is>
          <t>Творческие мастер-классы и художественные студии; Выездные лагеря, дача и сезонные программы</t>
        </is>
      </c>
      <c r="F868" s="31" t="inlineStr">
        <is>
          <t>Подростки и взрослые с ментальными особенностями и ОВЗ (ПНИ / Социальные дома); Воспитанники ЦССВ, ДДИ и детских домов-интернатов</t>
        </is>
      </c>
      <c r="G868" s="31" t="inlineStr">
        <is>
          <t>Студия фонда / выездная площадка</t>
        </is>
      </c>
      <c r="H868" s="31" t="inlineStr">
        <is>
          <t>Художественно-прикладные и ремесленные навыки; Артистические, музыкальные и спортивно-игровые навыки</t>
        </is>
      </c>
      <c r="I868" s="32" t="inlineStr">
        <is>
          <t>По формату занятия</t>
        </is>
      </c>
      <c r="J868" s="31" t="inlineStr">
        <is>
          <t>Вчера в загородных мастерских у Марии занимались два интерната — Филимоновский детский дом и Колычевский ПНИ, который приезжал впервые. Ребята могли попробовать свои силы в разных творческих направлениях: делать керамику на гончарному кругу с Ириной и Марлен, создавать мозаику с ...</t>
        </is>
      </c>
    </row>
    <row r="869" ht="30" customHeight="1">
      <c r="A869" s="23" t="n">
        <v>4588</v>
      </c>
      <c r="B869" s="24" t="inlineStr">
        <is>
          <t>2019-04-24</t>
        </is>
      </c>
      <c r="C869" s="25">
        <f>HYPERLINK("https://vk.com/wall-1825701_4588", "Открыть пост")</f>
        <v/>
      </c>
      <c r="D869" s="26" t="inlineStr">
        <is>
          <t>Творческие мастер-классы и художественные студии</t>
        </is>
      </c>
      <c r="E869" s="26" t="inlineStr">
        <is>
          <t>Творческие мастер-классы и художественные студии</t>
        </is>
      </c>
      <c r="F869" s="26" t="inlineStr">
        <is>
          <t>Подростки и взрослые с ментальными особенностями и ОВЗ (ПНИ / Социальные дома); Воспитанники ЦССВ, ДДИ и детских домов-интернатов</t>
        </is>
      </c>
      <c r="G869" s="26" t="inlineStr">
        <is>
          <t>ЦССВ «Юнона», ПНИ №20</t>
        </is>
      </c>
      <c r="H869" s="26" t="inlineStr">
        <is>
          <t>Художественно-прикладные и ремесленные навыки; Коммуникативные навыки, эмпатия и тьюторское сопровождение</t>
        </is>
      </c>
      <c r="I869" s="27" t="inlineStr">
        <is>
          <t>По формату занятия</t>
        </is>
      </c>
      <c r="J869" s="26" t="inlineStr">
        <is>
          <t>По средам совместное занятие у ЦССВ «Юнона» и ПНИ №20. Таня из 20-го вышивает белыми нитками на синей бумаге, рядом девочки из «Юноны» рисуют цветы в японском стиле и морской пейзаж. В соседней комнате лепят и валяют. Здорово, что в студии у ребят из разных интернатов есть возмож...</t>
        </is>
      </c>
    </row>
    <row r="870" ht="30" customHeight="1">
      <c r="A870" s="28" t="n">
        <v>4586</v>
      </c>
      <c r="B870" s="29" t="inlineStr">
        <is>
          <t>2019-04-24</t>
        </is>
      </c>
      <c r="C870" s="30">
        <f>HYPERLINK("https://vk.com/wall-1825701_4586", "Открыть пост")</f>
        <v/>
      </c>
      <c r="D870" s="31" t="inlineStr">
        <is>
          <t>Творческие мастер-классы и художественные студии</t>
        </is>
      </c>
      <c r="E870" s="31" t="inlineStr">
        <is>
          <t>Творческие мастер-классы и художественные студии</t>
        </is>
      </c>
      <c r="F870" s="31" t="inlineStr">
        <is>
          <t>Подопечные фонда «Дети Марии» (общая группа детей и подростков)</t>
        </is>
      </c>
      <c r="G870" s="31" t="inlineStr">
        <is>
          <t>Студия фонда / выездная площадка</t>
        </is>
      </c>
      <c r="H870" s="31" t="inlineStr">
        <is>
          <t>Художественно-прикладные и ремесленные навыки</t>
        </is>
      </c>
      <c r="I870" s="32" t="inlineStr">
        <is>
          <t>По формату занятия</t>
        </is>
      </c>
      <c r="J870" s="31" t="inlineStr">
        <is>
          <t>На занятиях керамикой для взрослых самой популярной темой было изготовление керамических бусин. Александра начала декорировать своё блюдо росписью в какой-то необычной технике, похожей на линогравюру. С нетерпением ждём результат — что покажет обжиг?</t>
        </is>
      </c>
    </row>
    <row r="871" ht="30" customHeight="1">
      <c r="A871" s="23" t="n">
        <v>4581</v>
      </c>
      <c r="B871" s="24" t="inlineStr">
        <is>
          <t>2019-04-22</t>
        </is>
      </c>
      <c r="C871" s="25">
        <f>HYPERLINK("https://vk.com/wall-1825701_4581", "Открыть пост")</f>
        <v/>
      </c>
      <c r="D871" s="26" t="inlineStr">
        <is>
          <t>Творческие мастер-классы и художественные студии</t>
        </is>
      </c>
      <c r="E871" s="26" t="inlineStr">
        <is>
          <t>Творческие мастер-классы и художественные студии</t>
        </is>
      </c>
      <c r="F871" s="26" t="inlineStr">
        <is>
          <t>Подопечные фонда «Дети Марии» (общая группа детей и подростков)</t>
        </is>
      </c>
      <c r="G871" s="26" t="inlineStr">
        <is>
          <t>Студия фонда / выездная площадка</t>
        </is>
      </c>
      <c r="H871" s="26" t="inlineStr">
        <is>
          <t>Коммуникативные навыки, эмпатия и тьюторское сопровождение</t>
        </is>
      </c>
      <c r="I871" s="27" t="inlineStr">
        <is>
          <t>По формату занятия</t>
        </is>
      </c>
      <c r="J871" s="26" t="inlineStr">
        <is>
          <t>Благодарим БФ «Абсолют-Помощь» за финансовую поддержку, которая даёт возможность нашим художникам проводить регулярные занятия по арт-терапии в Институте Педиатрии.</t>
        </is>
      </c>
    </row>
    <row r="872" ht="30" customHeight="1">
      <c r="A872" s="28" t="n">
        <v>4579</v>
      </c>
      <c r="B872" s="29" t="inlineStr">
        <is>
          <t>2019-04-21</t>
        </is>
      </c>
      <c r="C872" s="30">
        <f>HYPERLINK("https://vk.com/wall-1825701_4579", "Открыть пост")</f>
        <v/>
      </c>
      <c r="D872" s="31" t="inlineStr">
        <is>
          <t>Спектакли, концерты и музыкально-театральные занятия</t>
        </is>
      </c>
      <c r="E872" s="31" t="inlineStr">
        <is>
          <t>Спектакли, концерты и музыкально-театральные занятия</t>
        </is>
      </c>
      <c r="F872" s="31" t="inlineStr">
        <is>
          <t>Подопечные фонда «Дети Марии» (общая группа детей и подростков)</t>
        </is>
      </c>
      <c r="G872" s="31" t="inlineStr">
        <is>
          <t>Студия фонда / выездная площадка</t>
        </is>
      </c>
      <c r="H872" s="31" t="inlineStr">
        <is>
          <t>Артистические, музыкальные и спортивно-игровые навыки; Организационные, ивент- и ярмарочные навыки</t>
        </is>
      </c>
      <c r="I872" s="32" t="inlineStr">
        <is>
          <t>По формату занятия</t>
        </is>
      </c>
      <c r="J872" s="31" t="inlineStr">
        <is>
          <t>А вслед за концертом началась самая вкусная часть дня рождения студии. Пир горой подарил нам дорогой и любимый «Росинтер» и друг студии Олег Фогель. Шоколадный фонтан и торт — непременные атрибуты праздника. Спасибо, друзья! И спасибо за подарки студии! У нас появился новый чайни...</t>
        </is>
      </c>
    </row>
    <row r="873" ht="30" customHeight="1">
      <c r="A873" s="23" t="n">
        <v>4578</v>
      </c>
      <c r="B873" s="24" t="inlineStr">
        <is>
          <t>2019-04-21</t>
        </is>
      </c>
      <c r="C873" s="25">
        <f>HYPERLINK("https://vk.com/wall-1825701_4578", "Открыть пост")</f>
        <v/>
      </c>
      <c r="D873" s="26" t="inlineStr">
        <is>
          <t>Спектакли, концерты и музыкально-театральные занятия</t>
        </is>
      </c>
      <c r="E873" s="26" t="inlineStr">
        <is>
          <t>Спектакли, концерты и музыкально-театральные занятия; Праздники, дни рождения и клубные встречи</t>
        </is>
      </c>
      <c r="F873" s="26" t="inlineStr">
        <is>
          <t>Подростки и взрослые с ментальными особенностями и ОВЗ (ПНИ / Социальные дома); Воспитанники ЦССВ, ДДИ и детских домов-интернатов</t>
        </is>
      </c>
      <c r="G873" s="26" t="inlineStr">
        <is>
          <t>Студия фонда / выездная площадка</t>
        </is>
      </c>
      <c r="H873" s="26" t="inlineStr">
        <is>
          <t>Артистические, музыкальные и спортивно-игровые навыки</t>
        </is>
      </c>
      <c r="I873" s="27" t="inlineStr">
        <is>
          <t>По формату занятия</t>
        </is>
      </c>
      <c r="J873" s="26" t="inlineStr">
        <is>
          <t>День рождения студии продолжил концерт. Дети из «Спутника», из Филимонок и просто дети из Тверского района пели добрые и хорошие песни, «взрослые дети» (ребята из психоневрологических интернатов) показали целую художественную композицию по песне «Капитан» — сами нарисовали для не...</t>
        </is>
      </c>
    </row>
    <row r="874" ht="30" customHeight="1">
      <c r="A874" s="28" t="n">
        <v>4577</v>
      </c>
      <c r="B874" s="29" t="inlineStr">
        <is>
          <t>2019-04-21</t>
        </is>
      </c>
      <c r="C874" s="30">
        <f>HYPERLINK("https://vk.com/wall-1825701_4577", "Открыть пост")</f>
        <v/>
      </c>
      <c r="D874" s="31" t="inlineStr">
        <is>
          <t>Праздники, дни рождения и клубные встречи</t>
        </is>
      </c>
      <c r="E874" s="31" t="inlineStr">
        <is>
          <t>Праздники, дни рождения и клубные встречи; Творческие мастер-классы и художественные студии</t>
        </is>
      </c>
      <c r="F874" s="31" t="inlineStr">
        <is>
          <t>Подопечные фонда «Дети Марии» (общая группа детей и подростков)</t>
        </is>
      </c>
      <c r="G874" s="31" t="inlineStr">
        <is>
          <t>Студия фонда / выездная площадка</t>
        </is>
      </c>
      <c r="H874" s="31" t="inlineStr">
        <is>
          <t>Коммуникативные навыки, эмпатия и тьюторское сопровождение</t>
        </is>
      </c>
      <c r="I874" s="32" t="inlineStr">
        <is>
          <t>По формату занятия</t>
        </is>
      </c>
      <c r="J874" s="31" t="inlineStr">
        <is>
          <t>День рождения студии начался с мастер-классов. Как же иначе, ведь мы Художественный центр! Интересные занятия нашлись и для детей, и для взрослых.</t>
        </is>
      </c>
    </row>
    <row r="875" ht="30" customHeight="1">
      <c r="A875" s="23" t="n">
        <v>4575</v>
      </c>
      <c r="B875" s="24" t="inlineStr">
        <is>
          <t>2019-04-21</t>
        </is>
      </c>
      <c r="C875" s="25">
        <f>HYPERLINK("https://vk.com/wall-1825701_4575", "Открыть пост")</f>
        <v/>
      </c>
      <c r="D875" s="26" t="inlineStr">
        <is>
          <t>Творческие мастер-классы и художественные студии</t>
        </is>
      </c>
      <c r="E875" s="26" t="inlineStr">
        <is>
          <t>Творческие мастер-классы и художественные студии</t>
        </is>
      </c>
      <c r="F875" s="26" t="inlineStr">
        <is>
          <t>Подопечные фонда «Дети Марии» (общая группа детей и подростков)</t>
        </is>
      </c>
      <c r="G875" s="26" t="inlineStr">
        <is>
          <t>Студия фонда / выездная площадка</t>
        </is>
      </c>
      <c r="H875" s="26" t="inlineStr">
        <is>
          <t>Художественно-прикладные и ремесленные навыки; Коммуникативные навыки, эмпатия и тьюторское сопровождение</t>
        </is>
      </c>
      <c r="I875" s="27" t="inlineStr">
        <is>
          <t>По формату занятия</t>
        </is>
      </c>
      <c r="J875" s="26" t="inlineStr">
        <is>
          <t>На занятиях рисованием для взрослых в среду вечером начали психологические автопортреты. Нарисовать себя, выразив в портрете характер и настроение, – такую задачу поставила перед нами Нюся Митина. Нам показалось интересным!</t>
        </is>
      </c>
    </row>
    <row r="876" ht="30" customHeight="1">
      <c r="A876" s="28" t="n">
        <v>4574</v>
      </c>
      <c r="B876" s="29" t="inlineStr">
        <is>
          <t>2019-04-20</t>
        </is>
      </c>
      <c r="C876" s="30">
        <f>HYPERLINK("https://vk.com/wall-1825701_4574", "Открыть пост")</f>
        <v/>
      </c>
      <c r="D876" s="31" t="inlineStr">
        <is>
          <t>Волонтёрские встречи, обучение и дни открытых дверей</t>
        </is>
      </c>
      <c r="E876" s="31" t="inlineStr">
        <is>
          <t>Волонтёрские встречи, обучение и дни открытых дверей; Творческие мастер-классы и художественные студии</t>
        </is>
      </c>
      <c r="F876" s="31" t="inlineStr">
        <is>
          <t>Подопечные фонда «Дети Марии» (общая группа детей и подростков)</t>
        </is>
      </c>
      <c r="G876" s="31" t="inlineStr">
        <is>
          <t>Студия фонда / выездная площадка</t>
        </is>
      </c>
      <c r="H876" s="31" t="inlineStr">
        <is>
          <t>Организационные, ивент- и ярмарочные навыки</t>
        </is>
      </c>
      <c r="I876" s="32" t="inlineStr">
        <is>
          <t>По формату занятия</t>
        </is>
      </c>
      <c r="J876" s="31" t="inlineStr">
        <is>
          <t>Сегодня утром «Дети Марии» проводили мастер-класс на эко-субботнике в Новослободском парке. Кое-что из того, что мы воспринимаем как мусор, может стать ценным ресурсом и даже материалом для произведений искусства! Так творческое мышление объединяется с экологическим.</t>
        </is>
      </c>
    </row>
    <row r="877" ht="30" customHeight="1">
      <c r="A877" s="23" t="n">
        <v>4571</v>
      </c>
      <c r="B877" s="24" t="inlineStr">
        <is>
          <t>2019-04-19</t>
        </is>
      </c>
      <c r="C877" s="25">
        <f>HYPERLINK("https://vk.com/wall-1825701_4571", "Открыть пост")</f>
        <v/>
      </c>
      <c r="D877" s="26" t="inlineStr">
        <is>
          <t>Творческие мастер-классы и художественные студии</t>
        </is>
      </c>
      <c r="E877" s="26" t="inlineStr">
        <is>
          <t>Творческие мастер-классы и художественные студии; Спортивные и активные мероприятия</t>
        </is>
      </c>
      <c r="F877" s="26" t="inlineStr">
        <is>
          <t>Подростки и взрослые с ментальными особенностями и ОВЗ (ПНИ / Социальные дома)</t>
        </is>
      </c>
      <c r="G877" s="26" t="inlineStr">
        <is>
          <t>ПНИ №16</t>
        </is>
      </c>
      <c r="H877" s="26" t="inlineStr">
        <is>
          <t>Художественно-прикладные и ремесленные навыки; Артистические, музыкальные и спортивно-игровые навыки; Педагогические и наставнические навыки (кулинария, быт, учёба)</t>
        </is>
      </c>
      <c r="I877" s="27" t="inlineStr">
        <is>
          <t>Да (в тексте)</t>
        </is>
      </c>
      <c r="J877" s="26" t="inlineStr">
        <is>
          <t>Сегодня ПНИ №16 занимались на Тверской 15. Сначала по программе — танцевальная зарядка. Волонтёра Марину, которая учит ребят танцам, поздравили с днём рождения. А потом валяли, лепили, рисовали русалок и большую морскую картину.</t>
        </is>
      </c>
    </row>
    <row r="878" ht="30" customHeight="1">
      <c r="A878" s="28" t="n">
        <v>4570</v>
      </c>
      <c r="B878" s="29" t="inlineStr">
        <is>
          <t>2019-04-19</t>
        </is>
      </c>
      <c r="C878" s="30">
        <f>HYPERLINK("https://vk.com/wall-1825701_4570", "Открыть пост")</f>
        <v/>
      </c>
      <c r="D878" s="31" t="inlineStr">
        <is>
          <t>Творческие мастер-классы и художественные студии</t>
        </is>
      </c>
      <c r="E878" s="31" t="inlineStr">
        <is>
          <t>Творческие мастер-классы и художественные студии</t>
        </is>
      </c>
      <c r="F878" s="31" t="inlineStr">
        <is>
          <t>Воспитанники ЦССВ, ДДИ и детских домов-интернатов</t>
        </is>
      </c>
      <c r="G878" s="31" t="inlineStr">
        <is>
          <t>интерната №31</t>
        </is>
      </c>
      <c r="H878" s="31" t="inlineStr">
        <is>
          <t>Художественно-прикладные и ремесленные навыки; Артистические, музыкальные и спортивно-игровые навыки; Педагогические и наставнические навыки (кулинария, быт, учёба)</t>
        </is>
      </c>
      <c r="I878" s="32" t="inlineStr">
        <is>
          <t>По формату занятия</t>
        </is>
      </c>
      <c r="J878" s="31" t="inlineStr">
        <is>
          <t>В четверг в гостях у студии были дети из школы-интерната №31. Можно было лепить, валять, распевать песни — что душа пожелает. И рисовать, конечно. В этот раз художница Нюся учила рисовать собак. Все рисовали с удовольствием, это понятно — все мы в детстве мечтали о верном четверо...</t>
        </is>
      </c>
    </row>
    <row r="879" ht="30" customHeight="1">
      <c r="A879" s="23" t="n">
        <v>4567</v>
      </c>
      <c r="B879" s="24" t="inlineStr">
        <is>
          <t>2019-04-18</t>
        </is>
      </c>
      <c r="C879" s="25">
        <f>HYPERLINK("https://vk.com/wall-1825701_4567", "Открыть пост")</f>
        <v/>
      </c>
      <c r="D879" s="26" t="inlineStr">
        <is>
          <t>Спектакли, концерты и музыкально-театральные занятия</t>
        </is>
      </c>
      <c r="E879" s="26" t="inlineStr">
        <is>
          <t>Спектакли, концерты и музыкально-театральные занятия</t>
        </is>
      </c>
      <c r="F879" s="26" t="inlineStr">
        <is>
          <t>Подопечные фонда «Дети Марии» (общая группа детей и подростков)</t>
        </is>
      </c>
      <c r="G879" s="26" t="inlineStr">
        <is>
          <t>Студия фонда / выездная площадка</t>
        </is>
      </c>
      <c r="H879" s="26" t="inlineStr">
        <is>
          <t>Артистические, музыкальные и спортивно-игровые навыки</t>
        </is>
      </c>
      <c r="I879" s="27" t="inlineStr">
        <is>
          <t>По формату занятия</t>
        </is>
      </c>
      <c r="J879" s="26" t="inlineStr">
        <is>
          <t>У вас получится, даже если вы в себя не верите! Занятие по развитию памяти под гитару провел Станислав Коломейцев. Приходите в студию на Дмитровку по вторникам к 19:00 🎸💭</t>
        </is>
      </c>
    </row>
    <row r="880" ht="30" customHeight="1">
      <c r="A880" s="28" t="n">
        <v>4565</v>
      </c>
      <c r="B880" s="29" t="inlineStr">
        <is>
          <t>2019-04-18</t>
        </is>
      </c>
      <c r="C880" s="30">
        <f>HYPERLINK("https://vk.com/wall-1825701_4565", "Открыть пост")</f>
        <v/>
      </c>
      <c r="D880" s="31" t="inlineStr">
        <is>
          <t>Творческие мастер-классы и художественные студии</t>
        </is>
      </c>
      <c r="E880" s="31" t="inlineStr">
        <is>
          <t>Творческие мастер-классы и художественные студии</t>
        </is>
      </c>
      <c r="F880" s="31" t="inlineStr">
        <is>
          <t>Подопечные фонда «Дети Марии» (общая группа детей и подростков)</t>
        </is>
      </c>
      <c r="G880" s="31" t="inlineStr">
        <is>
          <t>Студия фонда / выездная площадка</t>
        </is>
      </c>
      <c r="H880" s="31" t="inlineStr">
        <is>
          <t>Художественно-прикладные и ремесленные навыки; 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t>
        </is>
      </c>
      <c r="I880" s="32" t="inlineStr">
        <is>
          <t>Да (в тексте)</t>
        </is>
      </c>
      <c r="J880" s="31" t="inlineStr">
        <is>
          <t>Вчера наш куратор Алла Тягунова с Андреем Савельевым ездили в Московское общество слепых, болели за местную организацию ВОС "Царицыно". Был конкурс ко Дню Победы, для которого мы в студии ещё осенью берёзки рисовали. Районный конкурс мы выиграли и теперь вот участвовали в городск...</t>
        </is>
      </c>
    </row>
    <row r="881" ht="30" customHeight="1">
      <c r="A881" s="23" t="n">
        <v>4562</v>
      </c>
      <c r="B881" s="24" t="inlineStr">
        <is>
          <t>2019-04-18</t>
        </is>
      </c>
      <c r="C881" s="25">
        <f>HYPERLINK("https://vk.com/wall-1825701_4562", "Открыть пост")</f>
        <v/>
      </c>
      <c r="D881" s="26" t="inlineStr">
        <is>
          <t>Творческие мастер-классы и художественные студии</t>
        </is>
      </c>
      <c r="E881" s="26" t="inlineStr">
        <is>
          <t>Творческие мастер-классы и художественные студии; Выездные лагеря, дача и сезонные программы</t>
        </is>
      </c>
      <c r="F881" s="26" t="inlineStr">
        <is>
          <t>Дети и семьи (в т.ч. приёмные семьи и программа в Беслане)</t>
        </is>
      </c>
      <c r="G881" s="26" t="inlineStr">
        <is>
          <t>Беслан</t>
        </is>
      </c>
      <c r="H881" s="26" t="inlineStr">
        <is>
          <t>Художественно-прикладные и ремесленные навыки; Артистические, музыкальные и спортивно-игровые навыки</t>
        </is>
      </c>
      <c r="I881" s="27" t="inlineStr">
        <is>
          <t>По формату занятия</t>
        </is>
      </c>
      <c r="J881" s="26" t="inlineStr">
        <is>
          <t>Занятия в загородных мастерских у Марии прошли особенно интересно — дети не только лепили и рисовали, они даже работали на гончарном круге! У керамиста Иры было много помощников — Аня Елисеева, а также Марлен и Дебби из международной команды клоунов. Они ездили с нами в Беслан, т...</t>
        </is>
      </c>
    </row>
    <row r="882" ht="30" customHeight="1">
      <c r="A882" s="28" t="n">
        <v>4556</v>
      </c>
      <c r="B882" s="29" t="inlineStr">
        <is>
          <t>2019-04-17</t>
        </is>
      </c>
      <c r="C882" s="30">
        <f>HYPERLINK("https://vk.com/wall-1825701_4556", "Открыть пост")</f>
        <v/>
      </c>
      <c r="D882" s="31" t="inlineStr">
        <is>
          <t>Творческие мастер-классы и художественные студии</t>
        </is>
      </c>
      <c r="E882" s="31" t="inlineStr">
        <is>
          <t>Творческие мастер-классы и художественные студии</t>
        </is>
      </c>
      <c r="F882" s="31" t="inlineStr">
        <is>
          <t>Воспитанники ЦССВ, ДДИ и детских домов-интернатов</t>
        </is>
      </c>
      <c r="G882" s="31" t="inlineStr">
        <is>
          <t>ЦССВ «Юнона»</t>
        </is>
      </c>
      <c r="H882" s="31" t="inlineStr">
        <is>
          <t>Художественно-прикладные и ремесленные навыки</t>
        </is>
      </c>
      <c r="I882" s="32" t="inlineStr">
        <is>
          <t>По формату занятия</t>
        </is>
      </c>
      <c r="J882" s="31" t="inlineStr">
        <is>
          <t>Сегодня днём художница Нюся и Александр Семёнов проводили занятия для ЦССВ «Юнона» — рисовали и на бумаге, и на воде. Дети были в восторге от эбру! 💦🎨</t>
        </is>
      </c>
    </row>
    <row r="883" ht="30" customHeight="1">
      <c r="A883" s="23" t="n">
        <v>4555</v>
      </c>
      <c r="B883" s="24" t="inlineStr">
        <is>
          <t>2019-04-17</t>
        </is>
      </c>
      <c r="C883" s="25">
        <f>HYPERLINK("https://vk.com/wall-1825701_4555", "Открыть пост")</f>
        <v/>
      </c>
      <c r="D883" s="26" t="inlineStr">
        <is>
          <t>Творческие мастер-классы и художественные студии</t>
        </is>
      </c>
      <c r="E883" s="26" t="inlineStr">
        <is>
          <t>Творческие мастер-классы и художественные студии; Спектакли, концерты и музыкально-театральные занятия</t>
        </is>
      </c>
      <c r="F883" s="26" t="inlineStr">
        <is>
          <t>Подростки и взрослые с ментальными особенностями и ОВЗ (ПНИ / Социальные дома)</t>
        </is>
      </c>
      <c r="G883" s="26" t="inlineStr">
        <is>
          <t>ПНИ №20</t>
        </is>
      </c>
      <c r="H883" s="26" t="inlineStr">
        <is>
          <t>Художественно-прикладные и ремесленные навыки; Артистические, музыкальные и спортивно-игровые навыки</t>
        </is>
      </c>
      <c r="I883" s="27" t="inlineStr">
        <is>
          <t>По формату занятия</t>
        </is>
      </c>
      <c r="J883" s="26" t="inlineStr">
        <is>
          <t>В среду утром к нам снова приехали ребята из ПНИ №20. В этот раз валяли с Марией Ивановной, раскрашивали керамических слоников 🐘 И квартетом пели песни</t>
        </is>
      </c>
    </row>
    <row r="884" ht="30" customHeight="1">
      <c r="A884" s="28" t="n">
        <v>4551</v>
      </c>
      <c r="B884" s="29" t="inlineStr">
        <is>
          <t>2019-04-16</t>
        </is>
      </c>
      <c r="C884" s="30">
        <f>HYPERLINK("https://vk.com/wall-1825701_4551", "Открыть пост")</f>
        <v/>
      </c>
      <c r="D884" s="31" t="inlineStr">
        <is>
          <t>Творческие мастер-классы и художественные студии</t>
        </is>
      </c>
      <c r="E884" s="31" t="inlineStr">
        <is>
          <t>Творческие мастер-классы и художественные студии</t>
        </is>
      </c>
      <c r="F884" s="31" t="inlineStr">
        <is>
          <t>Подростки и взрослые с ментальными особенностями и ОВЗ (ПНИ / Социальные дома)</t>
        </is>
      </c>
      <c r="G884" s="31" t="inlineStr">
        <is>
          <t>Студия фонда / выездная площадка</t>
        </is>
      </c>
      <c r="H884" s="31" t="inlineStr">
        <is>
          <t>Художественно-прикладные и ремесленные навыки; Артистические, музыкальные и спортивно-игровые навыки</t>
        </is>
      </c>
      <c r="I884" s="32" t="inlineStr">
        <is>
          <t>По формату занятия</t>
        </is>
      </c>
      <c r="J884" s="31" t="inlineStr">
        <is>
          <t>Сегодня взрослые с особенностями развития из ПНИ 16 продолжали осваивать технику сухого валяния, которая называется фильцевание. Это только название сложное, а на практике — очень легко! Нужно многократно проткнуть шерсть специальной иглой, чтобы из воздушного материала получился...</t>
        </is>
      </c>
    </row>
    <row r="885" ht="30" customHeight="1">
      <c r="A885" s="23" t="n">
        <v>4547</v>
      </c>
      <c r="B885" s="24" t="inlineStr">
        <is>
          <t>2019-04-16</t>
        </is>
      </c>
      <c r="C885" s="25">
        <f>HYPERLINK("https://vk.com/wall-1825701_4547", "Открыть пост")</f>
        <v/>
      </c>
      <c r="D885" s="26" t="inlineStr">
        <is>
          <t>Творческие мастер-классы и художественные студии</t>
        </is>
      </c>
      <c r="E885" s="26" t="inlineStr">
        <is>
          <t>Творческие мастер-классы и художественные студии</t>
        </is>
      </c>
      <c r="F885" s="26" t="inlineStr">
        <is>
          <t>Подопечные фонда «Дети Марии» (общая группа детей и подростков)</t>
        </is>
      </c>
      <c r="G885" s="26" t="inlineStr">
        <is>
          <t>Студия фонда / выездная площадка</t>
        </is>
      </c>
      <c r="H885" s="26" t="inlineStr">
        <is>
          <t>Художественно-прикладные и ремесленные навыки</t>
        </is>
      </c>
      <c r="I885" s="27" t="inlineStr">
        <is>
          <t>По формату занятия</t>
        </is>
      </c>
      <c r="J885" s="26" t="inlineStr">
        <is>
          <t>Вечером в понедельник традиционное занятие керамикой для взрослых — тех, кто живёт и работает в Тверском и соседних районах. От фигурок перешли к утилитарным вещам. Сегодня лепили и расписывали чашки, вазы, блюда, бусины. Через неделю посмотрим, что обжиг покажет — результат част...</t>
        </is>
      </c>
    </row>
    <row r="886" ht="30" customHeight="1">
      <c r="A886" s="28" t="n">
        <v>4546</v>
      </c>
      <c r="B886" s="29" t="inlineStr">
        <is>
          <t>2019-04-16</t>
        </is>
      </c>
      <c r="C886" s="30">
        <f>HYPERLINK("https://vk.com/wall-1825701_4546", "Открыть пост")</f>
        <v/>
      </c>
      <c r="D886" s="31" t="inlineStr">
        <is>
          <t>Волонтёрские встречи, обучение и дни открытых дверей</t>
        </is>
      </c>
      <c r="E886" s="31" t="inlineStr">
        <is>
          <t>Волонтёрские встречи, обучение и дни открытых дверей; Творческие мастер-классы и художественные студии</t>
        </is>
      </c>
      <c r="F886" s="31" t="inlineStr">
        <is>
          <t>Широкая аудитория, гости и благотворители (открытые события); Дети и семьи (в т.ч. приёмные семьи и программа в Беслане)</t>
        </is>
      </c>
      <c r="G886" s="31" t="inlineStr">
        <is>
          <t>Студия фонда / выездная площадка</t>
        </is>
      </c>
      <c r="H886" s="31" t="inlineStr">
        <is>
          <t>Артистические, музыкальные и спортивно-игровые навыки; Организационные, ивент- и ярмарочные навыки</t>
        </is>
      </c>
      <c r="I886" s="32" t="inlineStr">
        <is>
          <t>По формату занятия</t>
        </is>
      </c>
      <c r="J886" s="31" t="inlineStr">
        <is>
          <t>21 апреля @dushevnayamoskva приглашает жителей столицы на День открытых дверей коворкинг-центров НКО! Москвичи узнают об услугах и проектах некоммерческих организаций своего округа, познакомятся с современными пространствами коворкинг-центров, примут участие в бесплатных мастер-к...</t>
        </is>
      </c>
    </row>
    <row r="887" ht="30" customHeight="1">
      <c r="A887" s="23" t="n">
        <v>4544</v>
      </c>
      <c r="B887" s="24" t="inlineStr">
        <is>
          <t>2019-04-15</t>
        </is>
      </c>
      <c r="C887" s="25">
        <f>HYPERLINK("https://vk.com/wall-1825701_4544", "Открыть пост")</f>
        <v/>
      </c>
      <c r="D887" s="26" t="inlineStr">
        <is>
          <t>Творческие мастер-классы и художественные студии</t>
        </is>
      </c>
      <c r="E887" s="26" t="inlineStr">
        <is>
          <t>Творческие мастер-классы и художественные студии</t>
        </is>
      </c>
      <c r="F887" s="26" t="inlineStr">
        <is>
          <t>Выпускники интернатов и детских домов (молодые взрослые)</t>
        </is>
      </c>
      <c r="G887" s="26" t="inlineStr">
        <is>
          <t>Студия фонда / выездная площадка</t>
        </is>
      </c>
      <c r="H887" s="26" t="inlineStr">
        <is>
          <t>Коммуникативные навыки, эмпатия и тьюторское сопровождение</t>
        </is>
      </c>
      <c r="I887" s="27" t="inlineStr">
        <is>
          <t>Да (в тексте)</t>
        </is>
      </c>
      <c r="J887" s="26" t="inlineStr">
        <is>
          <t>Какого цвета твой идеальный мир? С каким образом связываешь своё имя? Занятия по арт-терапии провели на Дмитровке студенты-волонтёры из РГСУ, а протестировали наши сотрудники и выпускники. Теперь эти занятия пройдут для детей из групп, приезжающих в студию.</t>
        </is>
      </c>
    </row>
    <row r="888" ht="30" customHeight="1">
      <c r="A888" s="28" t="n">
        <v>4543</v>
      </c>
      <c r="B888" s="29" t="inlineStr">
        <is>
          <t>2019-04-15</t>
        </is>
      </c>
      <c r="C888" s="30">
        <f>HYPERLINK("https://vk.com/wall-1825701_4543", "Открыть пост")</f>
        <v/>
      </c>
      <c r="D888" s="31" t="inlineStr">
        <is>
          <t>Творческие мастер-классы и художественные студии</t>
        </is>
      </c>
      <c r="E888" s="31" t="inlineStr">
        <is>
          <t>Творческие мастер-классы и художественные студии</t>
        </is>
      </c>
      <c r="F888" s="31" t="inlineStr">
        <is>
          <t>Подопечные фонда «Дети Марии» (общая группа детей и подростков)</t>
        </is>
      </c>
      <c r="G888" s="31" t="inlineStr">
        <is>
          <t>Студия фонда / выездная площадка</t>
        </is>
      </c>
      <c r="H888" s="31" t="inlineStr">
        <is>
          <t>Коммуникативные навыки, эмпатия и тьюторское сопровождение</t>
        </is>
      </c>
      <c r="I888" s="32" t="inlineStr">
        <is>
          <t>По формату занятия</t>
        </is>
      </c>
      <c r="J888" s="31" t="inlineStr">
        <is>
          <t>Чтобы сдать, чтобы поступить, чтобы жить. Самое важное. Индивидуальные занятия в студии на Дмитровке.</t>
        </is>
      </c>
    </row>
    <row r="889" ht="30" customHeight="1">
      <c r="A889" s="23" t="n">
        <v>4540</v>
      </c>
      <c r="B889" s="24" t="inlineStr">
        <is>
          <t>2019-04-14</t>
        </is>
      </c>
      <c r="C889" s="25">
        <f>HYPERLINK("https://vk.com/wall-1825701_4540", "Открыть пост")</f>
        <v/>
      </c>
      <c r="D889" s="26" t="inlineStr">
        <is>
          <t>Творческие мастер-классы и художественные студии</t>
        </is>
      </c>
      <c r="E889" s="26" t="inlineStr">
        <is>
          <t>Творческие мастер-классы и художественные студии</t>
        </is>
      </c>
      <c r="F889" s="26" t="inlineStr">
        <is>
          <t>Подопечные фонда «Дети Марии» (общая группа детей и подростков)</t>
        </is>
      </c>
      <c r="G889" s="26" t="inlineStr">
        <is>
          <t>Студия фонда / выездная площадка</t>
        </is>
      </c>
      <c r="H889" s="26" t="inlineStr">
        <is>
          <t>Художественно-прикладные и ремесленные навыки</t>
        </is>
      </c>
      <c r="I889" s="27" t="inlineStr">
        <is>
          <t>По формату занятия</t>
        </is>
      </c>
      <c r="J889" s="26" t="inlineStr">
        <is>
          <t>В студии на Дмитровке воскресные занятия с детьми из центра АНО «Дети». В Москву вернулся снег и холод, но мы не унываем, лепим птичек, рисуем собак, виды из окна и поём 😊</t>
        </is>
      </c>
    </row>
    <row r="890" ht="30" customHeight="1">
      <c r="A890" s="28" t="n">
        <v>4537</v>
      </c>
      <c r="B890" s="29" t="inlineStr">
        <is>
          <t>2019-04-13</t>
        </is>
      </c>
      <c r="C890" s="30">
        <f>HYPERLINK("https://vk.com/wall-1825701_4537", "Открыть пост")</f>
        <v/>
      </c>
      <c r="D890" s="31" t="inlineStr">
        <is>
          <t>Спектакли, концерты и музыкально-театральные занятия</t>
        </is>
      </c>
      <c r="E890" s="31" t="inlineStr">
        <is>
          <t>Спектакли, концерты и музыкально-театральные занятия; Творческие мастер-классы и художественные студии</t>
        </is>
      </c>
      <c r="F890" s="31" t="inlineStr">
        <is>
          <t>Подростки и взрослые с ментальными особенностями и ОВЗ (ПНИ / Социальные дома)</t>
        </is>
      </c>
      <c r="G890" s="31" t="inlineStr">
        <is>
          <t>Студия фонда / выездная площадка</t>
        </is>
      </c>
      <c r="H890" s="31" t="inlineStr">
        <is>
          <t>Художественно-прикладные и ремесленные навыки; Артистические, музыкальные и спортивно-игровые навыки; Организационные, ивент- и ярмарочные навыки; Мобильность, выездное сопровождение и автоволонтёрство</t>
        </is>
      </c>
      <c r="I890" s="32" t="inlineStr">
        <is>
          <t>Да (в тексте)</t>
        </is>
      </c>
      <c r="J890" s="31" t="inlineStr">
        <is>
          <t>Утром на занятия приехали на метро ребята из ПНИ 16 с керамистом Ирой Рокотниной и Катя с Дашей из ПНИ 12 с волонтёром Сергеем. Для Даши это первый приезд в студию и первая в жизни поездка в метро — ведь Даша не ходит и передвигается на коляске. Познакомившись со студией, исколес...</t>
        </is>
      </c>
    </row>
    <row r="891" ht="30" customHeight="1">
      <c r="A891" s="23" t="n">
        <v>4535</v>
      </c>
      <c r="B891" s="24" t="inlineStr">
        <is>
          <t>2019-04-13</t>
        </is>
      </c>
      <c r="C891" s="25">
        <f>HYPERLINK("https://vk.com/wall-1825701_4535", "Открыть пост")</f>
        <v/>
      </c>
      <c r="D891" s="26" t="inlineStr">
        <is>
          <t>Волонтёрские встречи, обучение и дни открытых дверей</t>
        </is>
      </c>
      <c r="E891" s="26" t="inlineStr">
        <is>
          <t>Волонтёрские встречи, обучение и дни открытых дверей</t>
        </is>
      </c>
      <c r="F891" s="26" t="inlineStr">
        <is>
          <t>Подопечные фонда «Дети Марии» (общая группа детей и подростков)</t>
        </is>
      </c>
      <c r="G891" s="26" t="inlineStr">
        <is>
          <t>Студия фонда / выездная площадка</t>
        </is>
      </c>
      <c r="H891" s="26" t="inlineStr">
        <is>
          <t>Коммуникативные навыки, эмпатия и тьюторское сопровождение; Организационные, ивент- и ярмарочные навыки</t>
        </is>
      </c>
      <c r="I891" s="27" t="inlineStr">
        <is>
          <t>По формату занятия</t>
        </is>
      </c>
      <c r="J891" s="26" t="inlineStr">
        <is>
          <t>В Тверском районе прошел Эко-Арт-субботник. Тема — экологическое отношение к мусору. На нашем стенде можно было посмотреть адреса https://recyclemap.ru мест, где в Тверском принимают раздельно собранный мусор: батарейки, пластик, стекло, макулатуру, одежду для передачи нуждающимс...</t>
        </is>
      </c>
    </row>
    <row r="892" ht="30" customHeight="1">
      <c r="A892" s="28" t="n">
        <v>4534</v>
      </c>
      <c r="B892" s="29" t="inlineStr">
        <is>
          <t>2019-04-13</t>
        </is>
      </c>
      <c r="C892" s="30">
        <f>HYPERLINK("https://vk.com/wall-1825701_4534", "Открыть пост")</f>
        <v/>
      </c>
      <c r="D892" s="31" t="inlineStr">
        <is>
          <t>Выставки, экскурсии и культурные выходы</t>
        </is>
      </c>
      <c r="E892" s="31" t="inlineStr">
        <is>
          <t>Выставки, экскурсии и культурные выходы</t>
        </is>
      </c>
      <c r="F892" s="31" t="inlineStr">
        <is>
          <t>Подростки и взрослые с ментальными особенностями и ОВЗ (ПНИ / Социальные дома)</t>
        </is>
      </c>
      <c r="G892" s="31" t="inlineStr">
        <is>
          <t>ПНИ № 16</t>
        </is>
      </c>
      <c r="H892" s="31" t="inlineStr">
        <is>
          <t>Коммуникативные навыки, эмпатия и тьюторское сопровождение</t>
        </is>
      </c>
      <c r="I892" s="32" t="inlineStr">
        <is>
          <t>По формату занятия</t>
        </is>
      </c>
      <c r="J892" s="31" t="inlineStr">
        <is>
          <t>В пятницу ребята из ПНИ № 16 побывали на удивительном Ш.О.У. Люминум в музее Экспериментариум, где наглядно рассказали и показали, что такое свет. Огромное, большое спасибо компании Skadden, Arps, Slate, Meagher &amp; Flom LLP.</t>
        </is>
      </c>
    </row>
    <row r="893" ht="30" customHeight="1">
      <c r="A893" s="23" t="n">
        <v>4533</v>
      </c>
      <c r="B893" s="24" t="inlineStr">
        <is>
          <t>2019-04-13</t>
        </is>
      </c>
      <c r="C893" s="25">
        <f>HYPERLINK("https://vk.com/wall-1825701_4533", "Открыть пост")</f>
        <v/>
      </c>
      <c r="D893" s="26" t="inlineStr">
        <is>
          <t>Творческие мастер-классы и художественные студии</t>
        </is>
      </c>
      <c r="E893" s="26" t="inlineStr">
        <is>
          <t>Творческие мастер-классы и художественные студии</t>
        </is>
      </c>
      <c r="F893" s="26" t="inlineStr">
        <is>
          <t>Подростки и взрослые с ментальными особенностями и ОВЗ (ПНИ / Социальные дома)</t>
        </is>
      </c>
      <c r="G893" s="26" t="inlineStr">
        <is>
          <t>ПНИ №16</t>
        </is>
      </c>
      <c r="H893" s="26" t="inlineStr">
        <is>
          <t>Художественно-прикладные и ремесленные навыки; Артистические, музыкальные и спортивно-игровые навыки</t>
        </is>
      </c>
      <c r="I893" s="27" t="inlineStr">
        <is>
          <t>По формату занятия</t>
        </is>
      </c>
      <c r="J893" s="26" t="inlineStr">
        <is>
          <t>ПНИ №16 вчера утром занимались на Тверской 15: лепили, пели, начали фон для новой большой картины про зачарованное русалочье болото.</t>
        </is>
      </c>
    </row>
    <row r="894" ht="30" customHeight="1">
      <c r="A894" s="28" t="n">
        <v>4520</v>
      </c>
      <c r="B894" s="29" t="inlineStr">
        <is>
          <t>2019-04-11</t>
        </is>
      </c>
      <c r="C894" s="30">
        <f>HYPERLINK("https://vk.com/wall-1825701_4520", "Открыть пост")</f>
        <v/>
      </c>
      <c r="D894" s="31" t="inlineStr">
        <is>
          <t>Творческие мастер-классы и художественные студии</t>
        </is>
      </c>
      <c r="E894" s="31" t="inlineStr">
        <is>
          <t>Творческие мастер-классы и художественные студии; Спектакли, концерты и музыкально-театральные занятия</t>
        </is>
      </c>
      <c r="F894" s="31" t="inlineStr">
        <is>
          <t>Выпускники интернатов и детских домов (молодые взрослые); Дети и семьи (в т.ч. приёмные семьи и программа в Беслане)</t>
        </is>
      </c>
      <c r="G894" s="31" t="inlineStr">
        <is>
          <t>Беслан</t>
        </is>
      </c>
      <c r="H894" s="31" t="inlineStr">
        <is>
          <t>Артистические, музыкальные и спортивно-игровые навыки; Педагогические и наставнические навыки (кулинария, быт, учёба)</t>
        </is>
      </c>
      <c r="I894" s="32" t="inlineStr">
        <is>
          <t>Да (в тексте)</t>
        </is>
      </c>
      <c r="J894" s="31" t="inlineStr">
        <is>
          <t>Вчера был последний день пребывания команды наших волонтёров в Беслане. Утром ещё шли мастер-классы. Потом был общий концерт — на нём ребята из школы показывали нам свои многочисленные таланты и то, чему научились и что сделали на мастер-классах. Шоу было ярким, шумным, праздничн...</t>
        </is>
      </c>
    </row>
    <row r="895" ht="30" customHeight="1">
      <c r="A895" s="23" t="n">
        <v>4518</v>
      </c>
      <c r="B895" s="24" t="inlineStr">
        <is>
          <t>2019-04-11</t>
        </is>
      </c>
      <c r="C895" s="25">
        <f>HYPERLINK("https://vk.com/wall-1825701_4518", "Открыть пост")</f>
        <v/>
      </c>
      <c r="D895" s="26" t="inlineStr">
        <is>
          <t>Волонтёрские встречи, обучение и дни открытых дверей</t>
        </is>
      </c>
      <c r="E895" s="26" t="inlineStr">
        <is>
          <t>Волонтёрские встречи, обучение и дни открытых дверей</t>
        </is>
      </c>
      <c r="F895" s="26" t="inlineStr">
        <is>
          <t>Подопечные фонда «Дети Марии» (общая группа детей и подростков)</t>
        </is>
      </c>
      <c r="G895" s="26" t="inlineStr">
        <is>
          <t>Студия фонда / выездная площадка</t>
        </is>
      </c>
      <c r="H895" s="26" t="inlineStr">
        <is>
          <t>Организационные, ивент- и ярмарочные навыки</t>
        </is>
      </c>
      <c r="I895" s="27" t="inlineStr">
        <is>
          <t>По формату занятия</t>
        </is>
      </c>
      <c r="J895" s="26" t="inlineStr">
        <is>
          <t>Приглашаем на необычный субботник — экологический. Поговорим и узнаем о том, как каждый из нас может улучшить экологию города. https://youtu.be/jxiit6rMxoU</t>
        </is>
      </c>
    </row>
    <row r="896" ht="30" customHeight="1">
      <c r="A896" s="28" t="n">
        <v>4516</v>
      </c>
      <c r="B896" s="29" t="inlineStr">
        <is>
          <t>2019-04-10</t>
        </is>
      </c>
      <c r="C896" s="30">
        <f>HYPERLINK("https://vk.com/wall-1825701_4516", "Открыть пост")</f>
        <v/>
      </c>
      <c r="D896" s="31" t="inlineStr">
        <is>
          <t>Творческие мастер-классы и художественные студии</t>
        </is>
      </c>
      <c r="E896" s="31" t="inlineStr">
        <is>
          <t>Творческие мастер-классы и художественные студии</t>
        </is>
      </c>
      <c r="F896" s="31" t="inlineStr">
        <is>
          <t>Подростки и взрослые с ментальными особенностями и ОВЗ (ПНИ / Социальные дома)</t>
        </is>
      </c>
      <c r="G896" s="31" t="inlineStr">
        <is>
          <t>ПНИ №20</t>
        </is>
      </c>
      <c r="H896" s="31" t="inlineStr">
        <is>
          <t>Художественно-прикладные и ремесленные навыки; Артистические, музыкальные и спортивно-игровые навыки</t>
        </is>
      </c>
      <c r="I896" s="32" t="inlineStr">
        <is>
          <t>По формату занятия</t>
        </is>
      </c>
      <c r="J896" s="31" t="inlineStr">
        <is>
          <t>Сегодня утром в студию приехали на занятия взрослые люди с особенностями развития. Все разделились на две группы — кто-то лепил и раскрашивал с Николаем Михайловичем, а кто-то в другой комнате рисовал с Аней Андреевой. Любовь Ивановна с музыкой, песнями и улыбкой была вместо солн...</t>
        </is>
      </c>
    </row>
    <row r="897" ht="30" customHeight="1">
      <c r="A897" s="23" t="n">
        <v>4510</v>
      </c>
      <c r="B897" s="24" t="inlineStr">
        <is>
          <t>2019-04-10</t>
        </is>
      </c>
      <c r="C897" s="25">
        <f>HYPERLINK("https://vk.com/wall-1825701_4510", "Открыть пост")</f>
        <v/>
      </c>
      <c r="D897" s="26" t="inlineStr">
        <is>
          <t>Творческие мастер-классы и художественные студии</t>
        </is>
      </c>
      <c r="E897" s="26" t="inlineStr">
        <is>
          <t>Творческие мастер-классы и художественные студии</t>
        </is>
      </c>
      <c r="F897" s="26" t="inlineStr">
        <is>
          <t>Подростки и взрослые с ментальными особенностями и ОВЗ (ПНИ / Социальные дома)</t>
        </is>
      </c>
      <c r="G897" s="26" t="inlineStr">
        <is>
          <t>ПНИ №16</t>
        </is>
      </c>
      <c r="H897" s="26" t="inlineStr">
        <is>
          <t>Художественно-прикладные и ремесленные навыки; Артистические, музыкальные и спортивно-игровые навыки; Педагогические и наставнические навыки (кулинария, быт, учёба)</t>
        </is>
      </c>
      <c r="I897" s="27" t="inlineStr">
        <is>
          <t>Да (в тексте)</t>
        </is>
      </c>
      <c r="J897" s="26" t="inlineStr">
        <is>
          <t>Во вторник приезжали на занятия ребята из ПНИ №16. С Николаем Михайловичем лепили Сову, Мария Ивановна учила валять петельки для будущего коллективного панно. Остальные ребята рисовали на свободную тему. Волонтёр Мария занималась с Сашей Матвеевым математикой. Песни тоже были в п...</t>
        </is>
      </c>
    </row>
    <row r="898" ht="30" customHeight="1">
      <c r="A898" s="28" t="n">
        <v>4507</v>
      </c>
      <c r="B898" s="29" t="inlineStr">
        <is>
          <t>2019-04-10</t>
        </is>
      </c>
      <c r="C898" s="30">
        <f>HYPERLINK("https://vk.com/wall-1825701_4507", "Открыть пост")</f>
        <v/>
      </c>
      <c r="D898" s="31" t="inlineStr">
        <is>
          <t>Творческие мастер-классы и художественные студии</t>
        </is>
      </c>
      <c r="E898" s="31" t="inlineStr">
        <is>
          <t>Творческие мастер-классы и художественные студии</t>
        </is>
      </c>
      <c r="F898" s="31" t="inlineStr">
        <is>
          <t>Дети и семьи (в т.ч. приёмные семьи и программа в Беслане)</t>
        </is>
      </c>
      <c r="G898" s="31" t="inlineStr">
        <is>
          <t>беслан</t>
        </is>
      </c>
      <c r="H898" s="31" t="inlineStr">
        <is>
          <t>Педагогические и наставнические навыки (кулинария, быт, учёба)</t>
        </is>
      </c>
      <c r="I898" s="32" t="inlineStr">
        <is>
          <t>По формату занятия</t>
        </is>
      </c>
      <c r="J898" s="31" t="inlineStr">
        <is>
          <t>Мастер-класс в бесланской школе от Лены Свистовой и Наташи Жерновой «Розы из фоамирана». Получилось здорово! Дети довольны, учителя счастливы, всё цветёт🌹🌹🌹</t>
        </is>
      </c>
    </row>
    <row r="899" ht="30" customHeight="1">
      <c r="A899" s="23" t="n">
        <v>4506</v>
      </c>
      <c r="B899" s="24" t="inlineStr">
        <is>
          <t>2019-04-10</t>
        </is>
      </c>
      <c r="C899" s="25">
        <f>HYPERLINK("https://vk.com/wall-1825701_4506", "Открыть пост")</f>
        <v/>
      </c>
      <c r="D899" s="26" t="inlineStr">
        <is>
          <t>Творческие мастер-классы и художественные студии</t>
        </is>
      </c>
      <c r="E899" s="26" t="inlineStr">
        <is>
          <t>Творческие мастер-классы и художественные студии</t>
        </is>
      </c>
      <c r="F899" s="26" t="inlineStr">
        <is>
          <t>Дети и семьи (в т.ч. приёмные семьи и программа в Беслане)</t>
        </is>
      </c>
      <c r="G899" s="26" t="inlineStr">
        <is>
          <t>Беслан</t>
        </is>
      </c>
      <c r="H899" s="26" t="inlineStr">
        <is>
          <t>Коммуникативные навыки, эмпатия и тьюторское сопровождение</t>
        </is>
      </c>
      <c r="I899" s="27" t="inlineStr">
        <is>
          <t>По формату занятия</t>
        </is>
      </c>
      <c r="J899" s="26" t="inlineStr">
        <is>
          <t>Один мастер-класс волшебное другого! Ещё в Первой школе Беслана вчера было сразу два занятия по литью в формы. Ирина Скимбаторь, Ясин Омар и Александр Семёнов научили детей делать свечи и сувениры из эпоксидной смолы. Настоящее небольшое производство в масштабах одного класса))</t>
        </is>
      </c>
    </row>
    <row r="900" ht="30" customHeight="1">
      <c r="A900" s="28" t="n">
        <v>4505</v>
      </c>
      <c r="B900" s="29" t="inlineStr">
        <is>
          <t>2019-04-10</t>
        </is>
      </c>
      <c r="C900" s="30">
        <f>HYPERLINK("https://vk.com/wall-1825701_4505", "Открыть пост")</f>
        <v/>
      </c>
      <c r="D900" s="31" t="inlineStr">
        <is>
          <t>Творческие мастер-классы и художественные студии</t>
        </is>
      </c>
      <c r="E900" s="31" t="inlineStr">
        <is>
          <t>Творческие мастер-классы и художественные студии</t>
        </is>
      </c>
      <c r="F900" s="31" t="inlineStr">
        <is>
          <t>Дети и семьи (в т.ч. приёмные семьи и программа в Беслане)</t>
        </is>
      </c>
      <c r="G900" s="31" t="inlineStr">
        <is>
          <t>беслан, Тверская 15</t>
        </is>
      </c>
      <c r="H900" s="31" t="inlineStr">
        <is>
          <t>Коммуникативные навыки, эмпатия и тьюторское сопровождение</t>
        </is>
      </c>
      <c r="I900" s="32" t="inlineStr">
        <is>
          <t>По формату занятия</t>
        </is>
      </c>
      <c r="J900" s="31" t="inlineStr">
        <is>
          <t>Вчера в бесланской школе мастер-класс по стеклу в технике Тиффани проводила Мария Дермичёва и её коллеги из Пространства творчества и развития «Тверская 15». Дети в полном восторге! И красота получается необычайная!</t>
        </is>
      </c>
    </row>
    <row r="901" ht="30" customHeight="1">
      <c r="A901" s="23" t="n">
        <v>4501</v>
      </c>
      <c r="B901" s="24" t="inlineStr">
        <is>
          <t>2019-04-10</t>
        </is>
      </c>
      <c r="C901" s="25">
        <f>HYPERLINK("https://vk.com/wall-1825701_4501", "Открыть пост")</f>
        <v/>
      </c>
      <c r="D901" s="26" t="inlineStr">
        <is>
          <t>Творческие мастер-классы и художественные студии</t>
        </is>
      </c>
      <c r="E901" s="26" t="inlineStr">
        <is>
          <t>Творческие мастер-классы и художественные студии</t>
        </is>
      </c>
      <c r="F901" s="26" t="inlineStr">
        <is>
          <t>Дети и семьи (в т.ч. приёмные семьи и программа в Беслане)</t>
        </is>
      </c>
      <c r="G901" s="26" t="inlineStr">
        <is>
          <t>беслан</t>
        </is>
      </c>
      <c r="H901" s="26" t="inlineStr">
        <is>
          <t>Коммуникативные навыки, эмпатия и тьюторское сопровождение</t>
        </is>
      </c>
      <c r="I901" s="27" t="inlineStr">
        <is>
          <t>Да (в тексте)</t>
        </is>
      </c>
      <c r="J901" s="26" t="inlineStr">
        <is>
          <t>Во вторник утром в бесланской школе наши волонтёры продолжали вести мастер-классы. Эбру от Александра Семёнова и Ирины Скимбаторь при участии Рухи, Олега и Ислама. Обыкновенное чудо!</t>
        </is>
      </c>
    </row>
    <row r="902" ht="30" customHeight="1">
      <c r="A902" s="28" t="n">
        <v>4496</v>
      </c>
      <c r="B902" s="29" t="inlineStr">
        <is>
          <t>2019-04-09</t>
        </is>
      </c>
      <c r="C902" s="30">
        <f>HYPERLINK("https://vk.com/wall-1825701_4496", "Открыть пост")</f>
        <v/>
      </c>
      <c r="D902" s="31" t="inlineStr">
        <is>
          <t>Выездные лагеря, дача и сезонные программы</t>
        </is>
      </c>
      <c r="E902" s="31" t="inlineStr">
        <is>
          <t>Выездные лагеря, дача и сезонные программы; Творческие мастер-классы и художественные студии; Спектакли, концерты и музыкально-театральные занятия</t>
        </is>
      </c>
      <c r="F902" s="31" t="inlineStr">
        <is>
          <t>Подопечные фонда «Дети Марии» (общая группа детей и подростков)</t>
        </is>
      </c>
      <c r="G902" s="31" t="inlineStr">
        <is>
          <t>Студия фонда / выездная площадка</t>
        </is>
      </c>
      <c r="H902" s="31" t="inlineStr">
        <is>
          <t>Художественно-прикладные и ремесленные навыки; Артистические, музыкальные и спортивно-игровые навыки</t>
        </is>
      </c>
      <c r="I902" s="32" t="inlineStr">
        <is>
          <t>По формату занятия</t>
        </is>
      </c>
      <c r="J902" s="31" t="inlineStr">
        <is>
          <t>Приезжая в гости в Северную Осетию, мы каждый раз восхищаемся красотой природы и красотой людей. В воскресенье ездили в знаменитый «Город мёртвых» — историческую реликвию в Даргавсе. Обедали у Батика в Фиагдоне, где нас угощали вкуснейшими шашлыками. А вчера после школы мы все, с...</t>
        </is>
      </c>
    </row>
    <row r="903" ht="30" customHeight="1">
      <c r="A903" s="23" t="n">
        <v>4495</v>
      </c>
      <c r="B903" s="24" t="inlineStr">
        <is>
          <t>2019-04-09</t>
        </is>
      </c>
      <c r="C903" s="25">
        <f>HYPERLINK("https://vk.com/wall-1825701_4495", "Открыть пост")</f>
        <v/>
      </c>
      <c r="D903" s="26" t="inlineStr">
        <is>
          <t>Выездные лагеря, дача и сезонные программы</t>
        </is>
      </c>
      <c r="E903" s="26" t="inlineStr">
        <is>
          <t>Выездные лагеря, дача и сезонные программы; Творческие мастер-классы и художественные студии</t>
        </is>
      </c>
      <c r="F903" s="26" t="inlineStr">
        <is>
          <t>Дети и семьи (в т.ч. приёмные семьи и программа в Беслане)</t>
        </is>
      </c>
      <c r="G903" s="26" t="inlineStr">
        <is>
          <t>Беслан, Тверская 15, беслан</t>
        </is>
      </c>
      <c r="H903" s="26" t="inlineStr">
        <is>
          <t>Мобильность, выездное сопровождение и автоволонтёрство</t>
        </is>
      </c>
      <c r="I903" s="27" t="inlineStr">
        <is>
          <t>Да (в тексте)</t>
        </is>
      </c>
      <c r="J903" s="26" t="inlineStr">
        <is>
          <t>Продолжаем рассказывать про поездку в Беслан и его окрестности. Утром в понедельник наша волонтёрская команда (усиленная теперь и командой Пространства творчества и развития «Тверская 15») побывала в реабилитационном центре «Ир» для детей с ДЦП, где мы в лучших традициях студии п...</t>
        </is>
      </c>
    </row>
    <row r="904" ht="30" customHeight="1">
      <c r="A904" s="28" t="n">
        <v>4494</v>
      </c>
      <c r="B904" s="29" t="inlineStr">
        <is>
          <t>2019-04-09</t>
        </is>
      </c>
      <c r="C904" s="30">
        <f>HYPERLINK("https://vk.com/wall-1825701_4494", "Открыть пост")</f>
        <v/>
      </c>
      <c r="D904" s="31" t="inlineStr">
        <is>
          <t>Выставки, экскурсии и культурные выходы</t>
        </is>
      </c>
      <c r="E904" s="31" t="inlineStr">
        <is>
          <t>Выставки, экскурсии и культурные выходы</t>
        </is>
      </c>
      <c r="F904" s="31" t="inlineStr">
        <is>
          <t>Подопечные фонда «Дети Марии» (общая группа детей и подростков)</t>
        </is>
      </c>
      <c r="G904" s="31" t="inlineStr">
        <is>
          <t>Студия фонда / выездная площадка</t>
        </is>
      </c>
      <c r="H904" s="31" t="inlineStr">
        <is>
          <t>Педагогические и наставнические навыки (кулинария, быт, учёба)</t>
        </is>
      </c>
      <c r="I904" s="32" t="inlineStr">
        <is>
          <t>По формату занятия</t>
        </is>
      </c>
      <c r="J904" s="31" t="inlineStr">
        <is>
          <t>Вечером в керамической мастерской собрались взрослые. Занятие началось с импровизированной выставки работ нашего мастера и преподавателя, Николая Михайловича. Вдохновляющий пример мотивирует: кого на подсвечник, кого на бусы, кого на блюдо. Выбрать что-то одно, когда идей так мно...</t>
        </is>
      </c>
    </row>
    <row r="905" ht="30" customHeight="1">
      <c r="A905" s="23" t="n">
        <v>4490</v>
      </c>
      <c r="B905" s="24" t="inlineStr">
        <is>
          <t>2019-04-08</t>
        </is>
      </c>
      <c r="C905" s="25">
        <f>HYPERLINK("https://vk.com/wall-1825701_4490", "Открыть пост")</f>
        <v/>
      </c>
      <c r="D905" s="26" t="inlineStr">
        <is>
          <t>Спектакли, концерты и музыкально-театральные занятия</t>
        </is>
      </c>
      <c r="E905" s="26" t="inlineStr">
        <is>
          <t>Спектакли, концерты и музыкально-театральные занятия</t>
        </is>
      </c>
      <c r="F905" s="26" t="inlineStr">
        <is>
          <t>Подопечные фонда «Дети Марии» (общая группа детей и подростков)</t>
        </is>
      </c>
      <c r="G905" s="26" t="inlineStr">
        <is>
          <t>Студия фонда / выездная площадка</t>
        </is>
      </c>
      <c r="H905" s="26" t="inlineStr">
        <is>
          <t>Артистические, музыкальные и спортивно-игровые навыки</t>
        </is>
      </c>
      <c r="I905" s="27" t="inlineStr">
        <is>
          <t>Да (в тексте)</t>
        </is>
      </c>
      <c r="J905" s="26" t="inlineStr">
        <is>
          <t>А это салют после спектакля в Тамиске. Спонсор салюта — снова волонтёр Олег Фогель.</t>
        </is>
      </c>
    </row>
    <row r="906" ht="30" customHeight="1">
      <c r="A906" s="28" t="n">
        <v>4489</v>
      </c>
      <c r="B906" s="29" t="inlineStr">
        <is>
          <t>2019-04-08</t>
        </is>
      </c>
      <c r="C906" s="30">
        <f>HYPERLINK("https://vk.com/wall-1825701_4489", "Открыть пост")</f>
        <v/>
      </c>
      <c r="D906" s="31" t="inlineStr">
        <is>
          <t>Выездные лагеря, дача и сезонные программы</t>
        </is>
      </c>
      <c r="E906" s="31" t="inlineStr">
        <is>
          <t>Выездные лагеря, дача и сезонные программы; Спектакли, концерты и музыкально-театральные занятия</t>
        </is>
      </c>
      <c r="F906" s="31" t="inlineStr">
        <is>
          <t>Воспитанники ЦССВ, ДДИ и детских домов-интернатов</t>
        </is>
      </c>
      <c r="G906" s="31" t="inlineStr">
        <is>
          <t>Студия фонда / выездная площадка</t>
        </is>
      </c>
      <c r="H906" s="31" t="inlineStr">
        <is>
          <t>Артистические, музыкальные и спортивно-игровые навыки; Мобильность, выездное сопровождение и автоволонтёрство; Медиа, фото/видеосъёмка и культурная медиация</t>
        </is>
      </c>
      <c r="I906" s="32" t="inlineStr">
        <is>
          <t>Да (в тексте)</t>
        </is>
      </c>
      <c r="J906" s="31" t="inlineStr">
        <is>
          <t>Три видеофрагмента и новые фото спектакля «Али-Баба и сорок разбойников» театра теней в лагере в Тамиске. Это наши волонтёры во главе с Олегом Фогелем и дети из детского дома Моздока.</t>
        </is>
      </c>
    </row>
    <row r="907" ht="30" customHeight="1">
      <c r="A907" s="23" t="n">
        <v>4486</v>
      </c>
      <c r="B907" s="24" t="inlineStr">
        <is>
          <t>2019-04-07</t>
        </is>
      </c>
      <c r="C907" s="25">
        <f>HYPERLINK("https://vk.com/wall-1825701_4486", "Открыть пост")</f>
        <v/>
      </c>
      <c r="D907" s="26" t="inlineStr">
        <is>
          <t>Творческие мастер-классы и художественные студии</t>
        </is>
      </c>
      <c r="E907" s="26" t="inlineStr">
        <is>
          <t>Творческие мастер-классы и художественные студии</t>
        </is>
      </c>
      <c r="F907" s="26" t="inlineStr">
        <is>
          <t>Воспитанники ЦССВ, ДДИ и детских домов-интернатов</t>
        </is>
      </c>
      <c r="G907" s="26" t="inlineStr">
        <is>
          <t>Студия фонда / выездная площадка</t>
        </is>
      </c>
      <c r="H907" s="26" t="inlineStr">
        <is>
          <t>Художественно-прикладные и ремесленные навыки</t>
        </is>
      </c>
      <c r="I907" s="27" t="inlineStr">
        <is>
          <t>Да (в тексте)</t>
        </is>
      </c>
      <c r="J907" s="26" t="inlineStr">
        <is>
          <t>По расписанию в субботу в студии проходят занятия с детьми из окрестных домов Тверского района. В этот раз художник Нюся заболела, но рисовать очень хочется! На помощь пришёл наш волонтер Миша, и в результате у Гриши получился барсук, у Лизы радуга 🌈 А в керамической — аншлаг. Ле...</t>
        </is>
      </c>
    </row>
    <row r="908" ht="30" customHeight="1">
      <c r="A908" s="28" t="n">
        <v>4483</v>
      </c>
      <c r="B908" s="29" t="inlineStr">
        <is>
          <t>2019-04-07</t>
        </is>
      </c>
      <c r="C908" s="30">
        <f>HYPERLINK("https://vk.com/wall-1825701_4483", "Открыть пост")</f>
        <v/>
      </c>
      <c r="D908" s="31" t="inlineStr">
        <is>
          <t>Творческие мастер-классы и художественные студии</t>
        </is>
      </c>
      <c r="E908" s="31" t="inlineStr">
        <is>
          <t>Творческие мастер-классы и художественные студии; Спортивные и активные мероприятия</t>
        </is>
      </c>
      <c r="F908" s="31" t="inlineStr">
        <is>
          <t>Подростки и взрослые с ментальными особенностями и ОВЗ (ПНИ / Социальные дома)</t>
        </is>
      </c>
      <c r="G908" s="31" t="inlineStr">
        <is>
          <t>Студия фонда / выездная площадка</t>
        </is>
      </c>
      <c r="H908" s="31" t="inlineStr">
        <is>
          <t>Художественно-прикладные и ремесленные навыки; Артистические, музыкальные и спортивно-игровые навыки</t>
        </is>
      </c>
      <c r="I908" s="32" t="inlineStr">
        <is>
          <t>Да (в тексте)</t>
        </is>
      </c>
      <c r="J908" s="31" t="inlineStr">
        <is>
          <t>По пятницам занятие ребят из ПНИ 16 начинается с танцев. С каждым занятием получается всё лучше! Спасибо волонтёру Марине! После танцевального разогрева — рисование, керамика, пение — у кого к чему душа лежит. Спасибо «Тверской 15» за гостеприимство.</t>
        </is>
      </c>
    </row>
    <row r="909" ht="30" customHeight="1">
      <c r="A909" s="23" t="n">
        <v>4482</v>
      </c>
      <c r="B909" s="24" t="inlineStr">
        <is>
          <t>2019-04-07</t>
        </is>
      </c>
      <c r="C909" s="25">
        <f>HYPERLINK("https://vk.com/wall-1825701_4482", "Открыть пост")</f>
        <v/>
      </c>
      <c r="D909" s="26" t="inlineStr">
        <is>
          <t>Выездные лагеря, дача и сезонные программы</t>
        </is>
      </c>
      <c r="E909" s="26" t="inlineStr">
        <is>
          <t>Выездные лагеря, дача и сезонные программы; Спектакли, концерты и музыкально-театральные занятия</t>
        </is>
      </c>
      <c r="F909" s="26" t="inlineStr">
        <is>
          <t>Воспитанники ЦССВ, ДДИ и детских домов-интернатов; Дети и семьи (в т.ч. приёмные семьи и программа в Беслане)</t>
        </is>
      </c>
      <c r="G909" s="26" t="inlineStr">
        <is>
          <t>Беслан</t>
        </is>
      </c>
      <c r="H909" s="26" t="inlineStr">
        <is>
          <t>Артистические, музыкальные и спортивно-игровые навыки; Мобильность, выездное сопровождение и автоволонтёрство</t>
        </is>
      </c>
      <c r="I909" s="27" t="inlineStr">
        <is>
          <t>Да (в тексте)</t>
        </is>
      </c>
      <c r="J909" s="26" t="inlineStr">
        <is>
          <t>В субботу из Беслана наши волонтёры на весь день поехали в Тамиск. Это детский лагерь в горах, где сейчас находятся наши знакомые дети из детского дома города Моздока. Ставили вместе спектакль теневого театра «Али-Баба и сорок разбойников». Всё за один день — приехали, обсудили с...</t>
        </is>
      </c>
    </row>
    <row r="910" ht="30" customHeight="1">
      <c r="A910" s="28" t="n">
        <v>4479</v>
      </c>
      <c r="B910" s="29" t="inlineStr">
        <is>
          <t>2019-04-07</t>
        </is>
      </c>
      <c r="C910" s="30">
        <f>HYPERLINK("https://vk.com/wall-1825701_4479", "Открыть пост")</f>
        <v/>
      </c>
      <c r="D910" s="31" t="inlineStr">
        <is>
          <t>Творческие мастер-классы и художественные студии</t>
        </is>
      </c>
      <c r="E910" s="31" t="inlineStr">
        <is>
          <t>Творческие мастер-классы и художественные студии</t>
        </is>
      </c>
      <c r="F910" s="31" t="inlineStr">
        <is>
          <t>Выпускники интернатов и детских домов (молодые взрослые); Дети и семьи (в т.ч. приёмные семьи и программа в Беслане)</t>
        </is>
      </c>
      <c r="G910" s="31" t="inlineStr">
        <is>
          <t>Беслан</t>
        </is>
      </c>
      <c r="H910" s="31" t="inlineStr">
        <is>
          <t>Коммуникативные навыки, эмпатия и тьюторское сопровождение</t>
        </is>
      </c>
      <c r="I910" s="32" t="inlineStr">
        <is>
          <t>Да (в тексте)</t>
        </is>
      </c>
      <c r="J910" s="31" t="inlineStr">
        <is>
          <t>Наша любимая Оксана Юшко сегодня празднует день рождения. Оксана — наш дорогой друг и волонтёр уже 15 лет. Сейчас Оксана в Беслане, куда она и наши волонтёры и выпускники ездят каждый год с мастер-классами. Оксана создала самое первое событие в нашу пользу на платформе «Пользуясь...</t>
        </is>
      </c>
    </row>
    <row r="911" ht="30" customHeight="1">
      <c r="A911" s="23" t="n">
        <v>4472</v>
      </c>
      <c r="B911" s="24" t="inlineStr">
        <is>
          <t>2019-04-06</t>
        </is>
      </c>
      <c r="C911" s="25">
        <f>HYPERLINK("https://vk.com/wall-1825701_4472", "Открыть пост")</f>
        <v/>
      </c>
      <c r="D911" s="26" t="inlineStr">
        <is>
          <t>Творческие мастер-классы и художественные студии</t>
        </is>
      </c>
      <c r="E911" s="26" t="inlineStr">
        <is>
          <t>Творческие мастер-классы и художественные студии</t>
        </is>
      </c>
      <c r="F911" s="26" t="inlineStr">
        <is>
          <t>Подопечные фонда «Дети Марии» (общая группа детей и подростков)</t>
        </is>
      </c>
      <c r="G911" s="26" t="inlineStr">
        <is>
          <t>Студия фонда / выездная площадка</t>
        </is>
      </c>
      <c r="H911" s="26" t="inlineStr">
        <is>
          <t>Коммуникативные навыки, эмпатия и тьюторское сопровождение</t>
        </is>
      </c>
      <c r="I911" s="27" t="inlineStr">
        <is>
          <t>Да (в тексте)</t>
        </is>
      </c>
      <c r="J911" s="26" t="inlineStr">
        <is>
          <t>Эбру-волны. Мастер-класс от прекрасной Анны Ивы для нашего преподавтеля-волонтёра Александра Семёнова.</t>
        </is>
      </c>
    </row>
    <row r="912" ht="30" customHeight="1">
      <c r="A912" s="28" t="n">
        <v>4470</v>
      </c>
      <c r="B912" s="29" t="inlineStr">
        <is>
          <t>2019-04-06</t>
        </is>
      </c>
      <c r="C912" s="30">
        <f>HYPERLINK("https://vk.com/wall-1825701_4470", "Открыть пост")</f>
        <v/>
      </c>
      <c r="D912" s="31" t="inlineStr">
        <is>
          <t>Творческие мастер-классы и художественные студии</t>
        </is>
      </c>
      <c r="E912" s="31" t="inlineStr">
        <is>
          <t>Творческие мастер-классы и художественные студии</t>
        </is>
      </c>
      <c r="F912" s="31" t="inlineStr">
        <is>
          <t>Дети и семьи (в т.ч. приёмные семьи и программа в Беслане)</t>
        </is>
      </c>
      <c r="G912" s="31" t="inlineStr">
        <is>
          <t>Беслан</t>
        </is>
      </c>
      <c r="H912" s="31" t="inlineStr">
        <is>
          <t>Художественно-прикладные и ремесленные навыки; Артистические, музыкальные и спортивно-игровые навыки; Организационные, ивент- и ярмарочные навыки; Мобильность, выездное сопровождение и автоволонтёрство</t>
        </is>
      </c>
      <c r="I912" s="32" t="inlineStr">
        <is>
          <t>Да (в тексте)</t>
        </is>
      </c>
      <c r="J912" s="31" t="inlineStr">
        <is>
          <t>Вчера началась ежегодная поездка «Детей Марии» в Беслан. Осетинские друзья встречали гостей любимыми пирогами! А сегодня в Первой школе Беслана с утра шли мастер-классы — эбру и тай-дай, изготовление скафандра космонавтов (да-да!) и основы визажа, керамика и цветочная мастерская....</t>
        </is>
      </c>
    </row>
    <row r="913" ht="30" customHeight="1">
      <c r="A913" s="23" t="n">
        <v>4469</v>
      </c>
      <c r="B913" s="24" t="inlineStr">
        <is>
          <t>2019-04-06</t>
        </is>
      </c>
      <c r="C913" s="25">
        <f>HYPERLINK("https://vk.com/wall-1825701_4469", "Открыть пост")</f>
        <v/>
      </c>
      <c r="D913" s="26" t="inlineStr">
        <is>
          <t>Спектакли, концерты и музыкально-театральные занятия</t>
        </is>
      </c>
      <c r="E913" s="26" t="inlineStr">
        <is>
          <t>Спектакли, концерты и музыкально-театральные занятия; Творческие мастер-классы и художественные студии</t>
        </is>
      </c>
      <c r="F913" s="26" t="inlineStr">
        <is>
          <t>Воспитанники ЦССВ, ДДИ и детских домов-интернатов</t>
        </is>
      </c>
      <c r="G913" s="26" t="inlineStr">
        <is>
          <t>ЦССВ «Юнона»</t>
        </is>
      </c>
      <c r="H913" s="26" t="inlineStr">
        <is>
          <t>Художественно-прикладные и ремесленные навыки; Артистические, музыкальные и спортивно-игровые навыки</t>
        </is>
      </c>
      <c r="I913" s="27" t="inlineStr">
        <is>
          <t>По формату занятия</t>
        </is>
      </c>
      <c r="J913" s="26" t="inlineStr">
        <is>
          <t>По четвергам приезжают в студию дети из ЦССВ «Юнона». В этот раз занимались с Николаем Михайловичем керамикой: расписывали орнаментами посуду, делали сказочных зверей. И без музыки не обошлось, ведь так здорово петь песни под аккомпанемент фортепиано, гитары и барабанов одновреме...</t>
        </is>
      </c>
    </row>
    <row r="914" ht="30" customHeight="1">
      <c r="A914" s="28" t="n">
        <v>4465</v>
      </c>
      <c r="B914" s="29" t="inlineStr">
        <is>
          <t>2019-04-05</t>
        </is>
      </c>
      <c r="C914" s="30">
        <f>HYPERLINK("https://vk.com/wall-1825701_4465", "Открыть пост")</f>
        <v/>
      </c>
      <c r="D914" s="31" t="inlineStr">
        <is>
          <t>Спектакли, концерты и музыкально-театральные занятия</t>
        </is>
      </c>
      <c r="E914" s="31" t="inlineStr">
        <is>
          <t>Спектакли, концерты и музыкально-театральные занятия</t>
        </is>
      </c>
      <c r="F914" s="31" t="inlineStr">
        <is>
          <t>Воспитанники ЦССВ, ДДИ и детских домов-интернатов; Выпускники интернатов и детских домов (молодые взрослые); Дети и семьи (в т.ч. приёмные семьи и программа в Беслане)</t>
        </is>
      </c>
      <c r="G914" s="31" t="inlineStr">
        <is>
          <t>интерната № 31</t>
        </is>
      </c>
      <c r="H914" s="31" t="inlineStr">
        <is>
          <t>Коммуникативные навыки, эмпатия и тьюторское сопровождение; Артистические, музыкальные и спортивно-игровые навыки</t>
        </is>
      </c>
      <c r="I914" s="32" t="inlineStr">
        <is>
          <t>По формату занятия</t>
        </is>
      </c>
      <c r="J914" s="31" t="inlineStr">
        <is>
          <t>Смотреть кино любят все. Оказывается, кино можно слушать. Музыку к фильмам играют симфонические оркестры. Благодаря проекту «Открытые репетиции» и компании «Ланит» подопечные студии побывали на благотворительном концерте «Легенды мирового кино» в Большом зале Московской консерват...</t>
        </is>
      </c>
    </row>
    <row r="915" ht="30" customHeight="1">
      <c r="A915" s="23" t="n">
        <v>4463</v>
      </c>
      <c r="B915" s="24" t="inlineStr">
        <is>
          <t>2019-04-04</t>
        </is>
      </c>
      <c r="C915" s="25">
        <f>HYPERLINK("https://vk.com/wall-1825701_4463", "Открыть пост")</f>
        <v/>
      </c>
      <c r="D915" s="26" t="inlineStr">
        <is>
          <t>Выездные лагеря, дача и сезонные программы</t>
        </is>
      </c>
      <c r="E915" s="26" t="inlineStr">
        <is>
          <t>Выездные лагеря, дача и сезонные программы; Творческие мастер-классы и художественные студии</t>
        </is>
      </c>
      <c r="F915" s="26" t="inlineStr">
        <is>
          <t>Подростки и взрослые с ментальными особенностями и ОВЗ (ПНИ / Социальные дома)</t>
        </is>
      </c>
      <c r="G915" s="26" t="inlineStr">
        <is>
          <t>Студия фонда / выездная площадка</t>
        </is>
      </c>
      <c r="H915" s="26" t="inlineStr">
        <is>
          <t>Художественно-прикладные и ремесленные навыки; Артистические, музыкальные и спортивно-игровые навыки; Организационные, ивент- и ярмарочные навыки</t>
        </is>
      </c>
      <c r="I915" s="27" t="inlineStr">
        <is>
          <t>По формату занятия</t>
        </is>
      </c>
      <c r="J915" s="26" t="inlineStr">
        <is>
          <t>В среду в загородных мастерских на даче у Марии собрались ребята из Филимонок и Егорьевского ПНИ, приехали клоуны: Чип, Джой, Деби из США и Марлин из Голландии. Дети делали мозаику, рисовали, водили хоровод, а потом был общий обед. Радость от встречи старых друзей, солнечная пого...</t>
        </is>
      </c>
    </row>
    <row r="916" ht="30" customHeight="1">
      <c r="A916" s="28" t="n">
        <v>4460</v>
      </c>
      <c r="B916" s="29" t="inlineStr">
        <is>
          <t>2019-04-03</t>
        </is>
      </c>
      <c r="C916" s="30">
        <f>HYPERLINK("https://vk.com/wall-1825701_4460", "Открыть пост")</f>
        <v/>
      </c>
      <c r="D916" s="31" t="inlineStr">
        <is>
          <t>Творческие мастер-классы и художественные студии</t>
        </is>
      </c>
      <c r="E916" s="31" t="inlineStr">
        <is>
          <t>Творческие мастер-классы и художественные студии; Кулинарные, образовательные и социально-бытовые занятия</t>
        </is>
      </c>
      <c r="F916" s="31" t="inlineStr">
        <is>
          <t>Воспитанники ЦССВ, ДДИ и детских домов-интернатов</t>
        </is>
      </c>
      <c r="G916" s="31" t="inlineStr">
        <is>
          <t>Студия фонда / выездная площадка</t>
        </is>
      </c>
      <c r="H916" s="31" t="inlineStr">
        <is>
          <t>Артистические, музыкальные и спортивно-игровые навыки; Педагогические и наставнические навыки (кулинария, быт, учёба)</t>
        </is>
      </c>
      <c r="I916" s="32" t="inlineStr">
        <is>
          <t>Да (в тексте)</t>
        </is>
      </c>
      <c r="J916" s="31" t="inlineStr">
        <is>
          <t>На Тверской 15 друзья студии — Сьюзан с мужем и дочкой — провели мастер-класс. С собой они привезли настоящий французский сыр Раклет, печенье, рецепты салатов и даже французский чай. В пространстве творчества собралась большая компания: Фонд Пеликан, дети из Филимоновского детско...</t>
        </is>
      </c>
    </row>
    <row r="917" ht="30" customHeight="1">
      <c r="A917" s="23" t="n">
        <v>4458</v>
      </c>
      <c r="B917" s="24" t="inlineStr">
        <is>
          <t>2019-04-03</t>
        </is>
      </c>
      <c r="C917" s="25">
        <f>HYPERLINK("https://vk.com/wall-1825701_4458", "Открыть пост")</f>
        <v/>
      </c>
      <c r="D917" s="26" t="inlineStr">
        <is>
          <t>Творческие мастер-классы и художественные студии</t>
        </is>
      </c>
      <c r="E917" s="26" t="inlineStr">
        <is>
          <t>Творческие мастер-классы и художественные студии; Спектакли, концерты и музыкально-театральные занятия</t>
        </is>
      </c>
      <c r="F917" s="26" t="inlineStr">
        <is>
          <t>Подростки и взрослые с ментальными особенностями и ОВЗ (ПНИ / Социальные дома)</t>
        </is>
      </c>
      <c r="G917" s="26" t="inlineStr">
        <is>
          <t>ПНИ №16</t>
        </is>
      </c>
      <c r="H917" s="26" t="inlineStr">
        <is>
          <t>Художественно-прикладные и ремесленные навыки; Артистические, музыкальные и спортивно-игровые навыки</t>
        </is>
      </c>
      <c r="I917" s="27" t="inlineStr">
        <is>
          <t>По формату занятия</t>
        </is>
      </c>
      <c r="J917" s="26" t="inlineStr">
        <is>
          <t>Во вторник утром в студии занимались ребята из ПНИ №16 — взрослые с особенностями развития. Образовались три группы по интересам: кто-то лепил, кто-то ткал гобелен, а остальные валяли. Лучший отдых — это смена занятий, так что в паузах все пели песни с Любовью Ивановной.</t>
        </is>
      </c>
    </row>
    <row r="918" ht="30" customHeight="1">
      <c r="A918" s="28" t="n">
        <v>4456</v>
      </c>
      <c r="B918" s="29" t="inlineStr">
        <is>
          <t>2019-04-03</t>
        </is>
      </c>
      <c r="C918" s="30">
        <f>HYPERLINK("https://vk.com/wall-1825701_4456", "Открыть пост")</f>
        <v/>
      </c>
      <c r="D918" s="31" t="inlineStr">
        <is>
          <t>Спектакли, концерты и музыкально-театральные занятия</t>
        </is>
      </c>
      <c r="E918" s="31" t="inlineStr">
        <is>
          <t>Спектакли, концерты и музыкально-театральные занятия</t>
        </is>
      </c>
      <c r="F918" s="31" t="inlineStr">
        <is>
          <t>Подопечные фонда «Дети Марии» (общая группа детей и подростков)</t>
        </is>
      </c>
      <c r="G918" s="31" t="inlineStr">
        <is>
          <t>Студия фонда / выездная площадка</t>
        </is>
      </c>
      <c r="H918" s="31" t="inlineStr">
        <is>
          <t>Артистические, музыкальные и спортивно-игровые навыки; Педагогические и наставнические навыки (кулинария, быт, учёба)</t>
        </is>
      </c>
      <c r="I918" s="32" t="inlineStr">
        <is>
          <t>По формату занятия</t>
        </is>
      </c>
      <c r="J918" s="31" t="inlineStr">
        <is>
          <t>Вот такое творческое музыкальное занятие Наташа Хасанова провела для Алексея Ждамирова. До того, как Лёша стал студентом Щуки, мы думали, что самое трудное — туда поступить. Оказалось, учиться не проще...</t>
        </is>
      </c>
    </row>
    <row r="919" ht="30" customHeight="1">
      <c r="A919" s="23" t="n">
        <v>4453</v>
      </c>
      <c r="B919" s="24" t="inlineStr">
        <is>
          <t>2019-04-03</t>
        </is>
      </c>
      <c r="C919" s="25">
        <f>HYPERLINK("https://vk.com/wall-1825701_4453", "Открыть пост")</f>
        <v/>
      </c>
      <c r="D919" s="26" t="inlineStr">
        <is>
          <t>Творческие мастер-классы и художественные студии</t>
        </is>
      </c>
      <c r="E919" s="26" t="inlineStr">
        <is>
          <t>Творческие мастер-классы и художественные студии</t>
        </is>
      </c>
      <c r="F919" s="26" t="inlineStr">
        <is>
          <t>Подопечные фонда «Дети Марии» (общая группа детей и подростков)</t>
        </is>
      </c>
      <c r="G919" s="26" t="inlineStr">
        <is>
          <t>Студия фонда / выездная площадка</t>
        </is>
      </c>
      <c r="H919" s="26" t="inlineStr">
        <is>
          <t>Коммуникативные навыки, эмпатия и тьюторское сопровождение</t>
        </is>
      </c>
      <c r="I919" s="27" t="inlineStr">
        <is>
          <t>По формату занятия</t>
        </is>
      </c>
      <c r="J919" s="26" t="inlineStr">
        <is>
          <t>Мастер-класс по стеклу в технике «Тиффани» последнее время собирает всё новых желающих научиться работать с этим хрупким материалом. Хотите попробовать, приходите в студию на Дмитровку!</t>
        </is>
      </c>
    </row>
    <row r="920" ht="30" customHeight="1">
      <c r="A920" s="28" t="n">
        <v>4448</v>
      </c>
      <c r="B920" s="29" t="inlineStr">
        <is>
          <t>2019-04-02</t>
        </is>
      </c>
      <c r="C920" s="30">
        <f>HYPERLINK("https://vk.com/wall-1825701_4448", "Открыть пост")</f>
        <v/>
      </c>
      <c r="D920" s="31" t="inlineStr">
        <is>
          <t>Выставки, экскурсии и культурные выходы</t>
        </is>
      </c>
      <c r="E920" s="31" t="inlineStr">
        <is>
          <t>Выставки, экскурсии и культурные выходы; Кулинарные, образовательные и социально-бытовые занятия; Спектакли, концерты и музыкально-театральные занятия; Спортивные и активные мероприятия</t>
        </is>
      </c>
      <c r="F920" s="31" t="inlineStr">
        <is>
          <t>Подопечные фонда «Дети Марии» (общая группа детей и подростков)</t>
        </is>
      </c>
      <c r="G920" s="31" t="inlineStr">
        <is>
          <t>Студия фонда / выездная площадка</t>
        </is>
      </c>
      <c r="H920" s="31" t="inlineStr">
        <is>
          <t>Артистические, музыкальные и спортивно-игровые навыки; Организационные, ивент- и ярмарочные навыки</t>
        </is>
      </c>
      <c r="I920" s="32" t="inlineStr">
        <is>
          <t>Да (в тексте)</t>
        </is>
      </c>
      <c r="J920" s="31" t="inlineStr">
        <is>
          <t>Апрель встретили в городском парке на Делегатской праздником в честь Дня Птиц. Жители вместе с участниками от досуговых клубов Тверского района читали стихи, пели песни, танцевали, устроили выставку детских рисунков, весёлый квест и конкурс скворечников. Гвоздём программы стали к...</t>
        </is>
      </c>
    </row>
    <row r="921" ht="30" customHeight="1">
      <c r="A921" s="23" t="n">
        <v>4445</v>
      </c>
      <c r="B921" s="24" t="inlineStr">
        <is>
          <t>2019-04-01</t>
        </is>
      </c>
      <c r="C921" s="25">
        <f>HYPERLINK("https://vk.com/wall-1825701_4445", "Открыть пост")</f>
        <v/>
      </c>
      <c r="D921" s="26" t="inlineStr">
        <is>
          <t>Творческие мастер-классы и художественные студии</t>
        </is>
      </c>
      <c r="E921" s="26" t="inlineStr">
        <is>
          <t>Творческие мастер-классы и художественные студии; Праздники, дни рождения и клубные встречи</t>
        </is>
      </c>
      <c r="F921" s="26" t="inlineStr">
        <is>
          <t>Подростки и взрослые с ментальными особенностями и ОВЗ (ПНИ / Социальные дома)</t>
        </is>
      </c>
      <c r="G921" s="26" t="inlineStr">
        <is>
          <t>Студия фонда / выездная площадка</t>
        </is>
      </c>
      <c r="H921"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t>
        </is>
      </c>
      <c r="I921" s="27" t="inlineStr">
        <is>
          <t>По формату занятия</t>
        </is>
      </c>
      <c r="J921" s="26" t="inlineStr">
        <is>
          <t>В субботу Ваня слепил из глины коллекцию мыльниц, а его брат Андрей приступил к работе над новым керамическим панно. Наши художники тоже потрудились на славу. Валя с помощью мальчиков нарисовала кораблик «Дружба». И это не просто рисунок, а целая декорация к празднику. А ещё ребя...</t>
        </is>
      </c>
    </row>
    <row r="922" ht="30" customHeight="1">
      <c r="A922" s="28" t="n">
        <v>4437</v>
      </c>
      <c r="B922" s="29" t="inlineStr">
        <is>
          <t>2019-03-29</t>
        </is>
      </c>
      <c r="C922" s="30">
        <f>HYPERLINK("https://vk.com/wall-1825701_4437", "Открыть пост")</f>
        <v/>
      </c>
      <c r="D922" s="31" t="inlineStr">
        <is>
          <t>Творческие мастер-классы и художественные студии</t>
        </is>
      </c>
      <c r="E922" s="31" t="inlineStr">
        <is>
          <t>Творческие мастер-классы и художественные студии; Спортивные и активные мероприятия</t>
        </is>
      </c>
      <c r="F922" s="31" t="inlineStr">
        <is>
          <t>Подростки и взрослые с ментальными особенностями и ОВЗ (ПНИ / Социальные дома)</t>
        </is>
      </c>
      <c r="G922" s="31" t="inlineStr">
        <is>
          <t>Тверская 15</t>
        </is>
      </c>
      <c r="H922" s="31" t="inlineStr">
        <is>
          <t>Художественно-прикладные и ремесленные навыки; Артистические, музыкальные и спортивно-игровые навыки</t>
        </is>
      </c>
      <c r="I922" s="32" t="inlineStr">
        <is>
          <t>Да (в тексте)</t>
        </is>
      </c>
      <c r="J922" s="31" t="inlineStr">
        <is>
          <t>В пятницу утром кто как, а мы танцуем! Занятие у ребят из ПНИ 16 начинается с танцевальной зарядки. А потом, своим чередом — рисование, керамика, пение. Спасибо Пространству творчества и развития «Тверская 15» за гостеприимство, а волонтёру Марине за танцы!</t>
        </is>
      </c>
    </row>
    <row r="923" ht="30" customHeight="1">
      <c r="A923" s="23" t="n">
        <v>4432</v>
      </c>
      <c r="B923" s="24" t="inlineStr">
        <is>
          <t>2019-03-29</t>
        </is>
      </c>
      <c r="C923" s="25">
        <f>HYPERLINK("https://vk.com/wall-1825701_4432", "Открыть пост")</f>
        <v/>
      </c>
      <c r="D923" s="26" t="inlineStr">
        <is>
          <t>Кулинарные, образовательные и социально-бытовые занятия</t>
        </is>
      </c>
      <c r="E923" s="26" t="inlineStr">
        <is>
          <t>Кулинарные, образовательные и социально-бытовые занятия; Творческие мастер-классы и художественные студии</t>
        </is>
      </c>
      <c r="F923" s="26" t="inlineStr">
        <is>
          <t>Подопечные фонда «Дети Марии» (общая группа детей и подростков)</t>
        </is>
      </c>
      <c r="G923" s="26" t="inlineStr">
        <is>
          <t>Студия фонда / выездная площадка</t>
        </is>
      </c>
      <c r="H923" s="26" t="inlineStr">
        <is>
          <t>Педагогические и наставнические навыки (кулинария, быт, учёба)</t>
        </is>
      </c>
      <c r="I923" s="27" t="inlineStr">
        <is>
          <t>Да (в тексте)</t>
        </is>
      </c>
      <c r="J923" s="26" t="inlineStr">
        <is>
          <t>В понедельник Центр равных возможностей «Вверх» пригласили нас на кулинарный мастер-класс. Ребята из 16-го интерната и помощники-волонтёры готовили тыквенный суп, кесадилью и шарлотку. Все остались довольны, узнали много нового и интересного. Ребята почувствовали себя настоящими ...</t>
        </is>
      </c>
    </row>
    <row r="924" ht="30" customHeight="1">
      <c r="A924" s="28" t="n">
        <v>4431</v>
      </c>
      <c r="B924" s="29" t="inlineStr">
        <is>
          <t>2019-03-28</t>
        </is>
      </c>
      <c r="C924" s="30">
        <f>HYPERLINK("https://vk.com/wall-1825701_4431", "Открыть пост")</f>
        <v/>
      </c>
      <c r="D924" s="31" t="inlineStr">
        <is>
          <t>Выездные лагеря, дача и сезонные программы</t>
        </is>
      </c>
      <c r="E924" s="31" t="inlineStr">
        <is>
          <t>Выездные лагеря, дача и сезонные программы; Творческие мастер-классы и художественные студии</t>
        </is>
      </c>
      <c r="F924" s="31" t="inlineStr">
        <is>
          <t>Подопечные фонда «Дети Марии» (общая группа детей и подростков)</t>
        </is>
      </c>
      <c r="G924" s="31" t="inlineStr">
        <is>
          <t>Студия фонда / выездная площадка</t>
        </is>
      </c>
      <c r="H924" s="31" t="inlineStr">
        <is>
          <t>Коммуникативные навыки, эмпатия и тьюторское сопровождение</t>
        </is>
      </c>
      <c r="I924" s="32" t="inlineStr">
        <is>
          <t>По формату занятия</t>
        </is>
      </c>
      <c r="J924" s="31" t="inlineStr">
        <is>
          <t>Детям из Филимонок очень повезло. Вчера, в загородных мастерских, Александр Михайлов провёл для них ледяной мастер-класс. На глазах у ребят, Александр вырезал настоящую скульптуру из цельного и прозрачного куска льда! При этом, ребята тоже смогли поучаствовать в процессе. В резул...</t>
        </is>
      </c>
    </row>
    <row r="925" ht="30" customHeight="1">
      <c r="A925" s="23" t="n">
        <v>4430</v>
      </c>
      <c r="B925" s="24" t="inlineStr">
        <is>
          <t>2019-03-28</t>
        </is>
      </c>
      <c r="C925" s="25">
        <f>HYPERLINK("https://vk.com/wall-1825701_4430", "Открыть пост")</f>
        <v/>
      </c>
      <c r="D925" s="26" t="inlineStr">
        <is>
          <t>Кулинарные, образовательные и социально-бытовые занятия</t>
        </is>
      </c>
      <c r="E925" s="26" t="inlineStr">
        <is>
          <t>Кулинарные, образовательные и социально-бытовые занятия; Творческие мастер-классы и художественные студии</t>
        </is>
      </c>
      <c r="F925" s="26" t="inlineStr">
        <is>
          <t>Подопечные фонда «Дети Марии» (общая группа детей и подростков)</t>
        </is>
      </c>
      <c r="G925" s="26" t="inlineStr">
        <is>
          <t>Студия фонда / выездная площадка</t>
        </is>
      </c>
      <c r="H925" s="26" t="inlineStr">
        <is>
          <t>Педагогические и наставнические навыки (кулинария, быт, учёба)</t>
        </is>
      </c>
      <c r="I925" s="27" t="inlineStr">
        <is>
          <t>По формату занятия</t>
        </is>
      </c>
      <c r="J925" s="26" t="inlineStr">
        <is>
          <t>В среду вечером наш талантливый шеф-повар Ольга Сулавко провела кулинарный мастер-класс. Учились готовить блюда китайской кухни: крылышки в кисло-сладком соусе, острый салат из китайской капусты, кукурузы и фунчозы, ло-мейн с гречневой лапшой, грибами и овощами, а ещё пирог на де...</t>
        </is>
      </c>
    </row>
    <row r="926" ht="30" customHeight="1">
      <c r="A926" s="28" t="n">
        <v>4429</v>
      </c>
      <c r="B926" s="29" t="inlineStr">
        <is>
          <t>2019-03-28</t>
        </is>
      </c>
      <c r="C926" s="30">
        <f>HYPERLINK("https://vk.com/wall-1825701_4429", "Открыть пост")</f>
        <v/>
      </c>
      <c r="D926" s="31" t="inlineStr">
        <is>
          <t>Творческие мастер-классы и художественные студии</t>
        </is>
      </c>
      <c r="E926" s="31" t="inlineStr">
        <is>
          <t>Творческие мастер-классы и художественные студии</t>
        </is>
      </c>
      <c r="F926" s="31" t="inlineStr">
        <is>
          <t>Подростки и взрослые с ментальными особенностями и ОВЗ (ПНИ / Социальные дома); Воспитанники ЦССВ, ДДИ и детских домов-интернатов</t>
        </is>
      </c>
      <c r="G926" s="31" t="inlineStr">
        <is>
          <t>ЦССВ «Юнона»</t>
        </is>
      </c>
      <c r="H926" s="31" t="inlineStr">
        <is>
          <t>Художественно-прикладные и ремесленные навыки</t>
        </is>
      </c>
      <c r="I926" s="32" t="inlineStr">
        <is>
          <t>По формату занятия</t>
        </is>
      </c>
      <c r="J926" s="31" t="inlineStr">
        <is>
          <t>В среду утром в студии на Дмитровке встретились ребята из ЦССВ «Юнона» и ПНИ 20. Делали красочную аппликацию и рисовали солнечные цветы. А днём в студии занималась вторая группа ребят из ЦССВ «Юнона». Узнав, что скоро День птиц, Ваня начал рисовать петуха.</t>
        </is>
      </c>
    </row>
    <row r="927" ht="30" customHeight="1">
      <c r="A927" s="23" t="n">
        <v>4427</v>
      </c>
      <c r="B927" s="24" t="inlineStr">
        <is>
          <t>2019-03-27</t>
        </is>
      </c>
      <c r="C927" s="25">
        <f>HYPERLINK("https://vk.com/wall-1825701_4427", "Открыть пост")</f>
        <v/>
      </c>
      <c r="D927" s="26" t="inlineStr">
        <is>
          <t>Творческие мастер-классы и художественные студии</t>
        </is>
      </c>
      <c r="E927" s="26" t="inlineStr">
        <is>
          <t>Творческие мастер-классы и художественные студии</t>
        </is>
      </c>
      <c r="F927" s="26" t="inlineStr">
        <is>
          <t>Подопечные фонда «Дети Марии» (общая группа детей и подростков)</t>
        </is>
      </c>
      <c r="G927" s="26" t="inlineStr">
        <is>
          <t>Студия фонда / выездная площадка</t>
        </is>
      </c>
      <c r="H927" s="26" t="inlineStr">
        <is>
          <t>Художественно-прикладные и ремесленные навыки; Коммуникативные навыки, эмпатия и тьюторское сопровождение</t>
        </is>
      </c>
      <c r="I927" s="27" t="inlineStr">
        <is>
          <t>По формату занятия</t>
        </is>
      </c>
      <c r="J927" s="26" t="inlineStr">
        <is>
          <t>Эбру. Этот особый метод рисования, при котором в качестве холста используют необычную поверхность – воду. Конечно, вода должна быть подготовленна специальным образом. Краски тоже особенные: на натуральной основе. В результате получаются невероятные по красоте картины, повторить к...</t>
        </is>
      </c>
    </row>
    <row r="928" ht="30" customHeight="1">
      <c r="A928" s="28" t="n">
        <v>4426</v>
      </c>
      <c r="B928" s="29" t="inlineStr">
        <is>
          <t>2019-03-27</t>
        </is>
      </c>
      <c r="C928" s="30">
        <f>HYPERLINK("https://vk.com/wall-1825701_4426", "Открыть пост")</f>
        <v/>
      </c>
      <c r="D928" s="31" t="inlineStr">
        <is>
          <t>Кулинарные, образовательные и социально-бытовые занятия</t>
        </is>
      </c>
      <c r="E928" s="31" t="inlineStr">
        <is>
          <t>Кулинарные, образовательные и социально-бытовые занятия; Творческие мастер-классы и художественные студии</t>
        </is>
      </c>
      <c r="F928" s="31" t="inlineStr">
        <is>
          <t>Подопечные фонда «Дети Марии» (общая группа детей и подростков)</t>
        </is>
      </c>
      <c r="G928" s="31" t="inlineStr">
        <is>
          <t>Студия фонда / выездная площадка</t>
        </is>
      </c>
      <c r="H928" s="31" t="inlineStr">
        <is>
          <t>Педагогические и наставнические навыки (кулинария, быт, учёба)</t>
        </is>
      </c>
      <c r="I928" s="32" t="inlineStr">
        <is>
          <t>Да (в тексте)</t>
        </is>
      </c>
      <c r="J928" s="31" t="inlineStr">
        <is>
          <t>Наш новый волонтер, ведущая кулинарный курс, Ольга Владимировна Сулавко пришла вчера, чтобы вместе с ребятами подготовится к мастер-классу, на котором мы будем готовить блюда китайской кухни. Надо было закупить необходимые продукты и приготовить специальный маринад для куриных кр...</t>
        </is>
      </c>
    </row>
    <row r="929" ht="30" customHeight="1">
      <c r="A929" s="23" t="n">
        <v>4424</v>
      </c>
      <c r="B929" s="24" t="inlineStr">
        <is>
          <t>2019-03-26</t>
        </is>
      </c>
      <c r="C929" s="25">
        <f>HYPERLINK("https://vk.com/wall-1825701_4424", "Открыть пост")</f>
        <v/>
      </c>
      <c r="D929" s="26" t="inlineStr">
        <is>
          <t>Творческие мастер-классы и художественные студии</t>
        </is>
      </c>
      <c r="E929" s="26" t="inlineStr">
        <is>
          <t>Творческие мастер-классы и художественные студии</t>
        </is>
      </c>
      <c r="F929" s="26" t="inlineStr">
        <is>
          <t>Подопечные фонда «Дети Марии» (общая группа детей и подростков)</t>
        </is>
      </c>
      <c r="G929" s="26" t="inlineStr">
        <is>
          <t>Студия фонда / выездная площадка</t>
        </is>
      </c>
      <c r="H929" s="26" t="inlineStr">
        <is>
          <t>Художественно-прикладные и ремесленные навыки</t>
        </is>
      </c>
      <c r="I929" s="27" t="inlineStr">
        <is>
          <t>По формату занятия</t>
        </is>
      </c>
      <c r="J929" s="26" t="inlineStr">
        <is>
          <t>На занятиях керамикой для взрослых в понедельник вечером творили под старинные русские романсы, совмещая приятное с приятным во всех отношениях!</t>
        </is>
      </c>
    </row>
    <row r="930" ht="30" customHeight="1">
      <c r="A930" s="28" t="n">
        <v>4422</v>
      </c>
      <c r="B930" s="29" t="inlineStr">
        <is>
          <t>2019-03-25</t>
        </is>
      </c>
      <c r="C930" s="30">
        <f>HYPERLINK("https://vk.com/wall-1825701_4422", "Открыть пост")</f>
        <v/>
      </c>
      <c r="D930" s="31" t="inlineStr">
        <is>
          <t>Творческие мастер-классы и художественные студии</t>
        </is>
      </c>
      <c r="E930" s="31" t="inlineStr">
        <is>
          <t>Творческие мастер-классы и художественные студии</t>
        </is>
      </c>
      <c r="F930" s="31" t="inlineStr">
        <is>
          <t>Подростки и взрослые с ментальными особенностями и ОВЗ (ПНИ / Социальные дома)</t>
        </is>
      </c>
      <c r="G930" s="31" t="inlineStr">
        <is>
          <t>Студия фонда / выездная площадка</t>
        </is>
      </c>
      <c r="H930" s="31" t="inlineStr">
        <is>
          <t>Художественно-прикладные и ремесленные навыки; Артистические, музыкальные и спортивно-игровые навыки</t>
        </is>
      </c>
      <c r="I930" s="32" t="inlineStr">
        <is>
          <t>По формату занятия</t>
        </is>
      </c>
      <c r="J930" s="31" t="inlineStr">
        <is>
          <t>Сегодня днём взрослые с особенностями развития из ПНИ 11 под звуки лирической музыки ткали гобелен, вышивали, валяли и рисовали птиц, занимались керамикой. В руках этих особенных ребят глина обретает форму обитателей подводного мира, юрких ящериц, причудливых ваз, а нитки для тка...</t>
        </is>
      </c>
    </row>
    <row r="931" ht="30" customHeight="1">
      <c r="A931" s="23" t="n">
        <v>4419</v>
      </c>
      <c r="B931" s="24" t="inlineStr">
        <is>
          <t>2019-03-25</t>
        </is>
      </c>
      <c r="C931" s="25">
        <f>HYPERLINK("https://vk.com/wall-1825701_4419", "Открыть пост")</f>
        <v/>
      </c>
      <c r="D931" s="26" t="inlineStr">
        <is>
          <t>Творческие мастер-классы и художественные студии</t>
        </is>
      </c>
      <c r="E931" s="26" t="inlineStr">
        <is>
          <t>Творческие мастер-классы и художественные студии</t>
        </is>
      </c>
      <c r="F931" s="26" t="inlineStr">
        <is>
          <t>Подопечные фонда «Дети Марии» (общая группа детей и подростков)</t>
        </is>
      </c>
      <c r="G931" s="26" t="inlineStr">
        <is>
          <t>Студия фонда / выездная площадка</t>
        </is>
      </c>
      <c r="H931" s="26" t="inlineStr">
        <is>
          <t>Художественно-прикладные и ремесленные навыки; Педагогические и наставнические навыки (кулинария, быт, учёба)</t>
        </is>
      </c>
      <c r="I931" s="27" t="inlineStr">
        <is>
          <t>По формату занятия</t>
        </is>
      </c>
      <c r="J931" s="26" t="inlineStr">
        <is>
          <t>В воскресенье в студии дети из окрестных домов. На валяние продолжили субботнюю птичью тему. Рисовали всё больше зверей — котика, щенков возле дома. При этом учились работать с палитрой, изменять цвета и оттенки. Творческие занятия — это и увлекательно, и развивает сразу многие п...</t>
        </is>
      </c>
    </row>
    <row r="932" ht="30" customHeight="1">
      <c r="A932" s="28" t="n">
        <v>4417</v>
      </c>
      <c r="B932" s="29" t="inlineStr">
        <is>
          <t>2019-03-24</t>
        </is>
      </c>
      <c r="C932" s="30">
        <f>HYPERLINK("https://vk.com/wall-1825701_4417", "Открыть пост")</f>
        <v/>
      </c>
      <c r="D932" s="31" t="inlineStr">
        <is>
          <t>Творческие мастер-классы и художественные студии</t>
        </is>
      </c>
      <c r="E932" s="31" t="inlineStr">
        <is>
          <t>Творческие мастер-классы и художественные студии</t>
        </is>
      </c>
      <c r="F932" s="31" t="inlineStr">
        <is>
          <t>Подопечные фонда «Дети Марии» (общая группа детей и подростков)</t>
        </is>
      </c>
      <c r="G932" s="31" t="inlineStr">
        <is>
          <t>Студия фонда / выездная площадка</t>
        </is>
      </c>
      <c r="H932" s="31" t="inlineStr">
        <is>
          <t>Художественно-прикладные и ремесленные навыки; Артистические, музыкальные и спортивно-игровые навыки</t>
        </is>
      </c>
      <c r="I932" s="32" t="inlineStr">
        <is>
          <t>По формату занятия</t>
        </is>
      </c>
      <c r="J932" s="31" t="inlineStr">
        <is>
          <t>В субботу в студии дети из Тверского и других ближних районов. Темой дня стали попугаи — каждый ушёл домой со своей валяной птицей. А ещё, конечно, рисовали, лепили и пели. Приглашаем детей от пяти лет на бесплатные творческие занятия.</t>
        </is>
      </c>
    </row>
    <row r="933" ht="30" customHeight="1">
      <c r="A933" s="23" t="n">
        <v>4414</v>
      </c>
      <c r="B933" s="24" t="inlineStr">
        <is>
          <t>2019-03-23</t>
        </is>
      </c>
      <c r="C933" s="25">
        <f>HYPERLINK("https://vk.com/wall-1825701_4414", "Открыть пост")</f>
        <v/>
      </c>
      <c r="D933" s="26" t="inlineStr">
        <is>
          <t>Творческие мастер-классы и художественные студии</t>
        </is>
      </c>
      <c r="E933" s="26" t="inlineStr">
        <is>
          <t>Творческие мастер-классы и художественные студии</t>
        </is>
      </c>
      <c r="F933" s="26" t="inlineStr">
        <is>
          <t>Подростки и взрослые с ментальными особенностями и ОВЗ (ПНИ / Социальные дома)</t>
        </is>
      </c>
      <c r="G933" s="26" t="inlineStr">
        <is>
          <t>Студия фонда / выездная площадка</t>
        </is>
      </c>
      <c r="H933" s="26" t="inlineStr">
        <is>
          <t>Артистические, музыкальные и спортивно-игровые навыки; Организационные, ивент- и ярмарочные навыки</t>
        </is>
      </c>
      <c r="I933" s="27" t="inlineStr">
        <is>
          <t>По формату занятия</t>
        </is>
      </c>
      <c r="J933" s="26" t="inlineStr">
        <is>
          <t>Благодаря нашим добрым друзьям, ребята из ПНИ 16 смогли попасть в волшебный мир музыки и анимации. Сегодня они побывали в Московской государственной консерватории имени П. И. Чайковского, на киноконцерте «Лучшая музыка Disney и Pixar». Прекрасная музыка в исполнении симфоническог...</t>
        </is>
      </c>
    </row>
    <row r="934" ht="30" customHeight="1">
      <c r="A934" s="28" t="n">
        <v>4409</v>
      </c>
      <c r="B934" s="29" t="inlineStr">
        <is>
          <t>2019-03-21</t>
        </is>
      </c>
      <c r="C934" s="30">
        <f>HYPERLINK("https://vk.com/wall-1825701_4409", "Открыть пост")</f>
        <v/>
      </c>
      <c r="D934" s="31" t="inlineStr">
        <is>
          <t>Кулинарные, образовательные и социально-бытовые занятия</t>
        </is>
      </c>
      <c r="E934" s="31" t="inlineStr">
        <is>
          <t>Кулинарные, образовательные и социально-бытовые занятия; Творческие мастер-классы и художественные студии</t>
        </is>
      </c>
      <c r="F934" s="31" t="inlineStr">
        <is>
          <t>Подопечные фонда «Дети Марии» (общая группа детей и подростков)</t>
        </is>
      </c>
      <c r="G934" s="31" t="inlineStr">
        <is>
          <t>Студия фонда / выездная площадка</t>
        </is>
      </c>
      <c r="H934" s="31" t="inlineStr">
        <is>
          <t>Педагогические и наставнические навыки (кулинария, быт, учёба); Медиа, фото/видеосъёмка и культурная медиация</t>
        </is>
      </c>
      <c r="I934" s="32" t="inlineStr">
        <is>
          <t>По формату занятия</t>
        </is>
      </c>
      <c r="J934" s="31" t="inlineStr">
        <is>
          <t>Мясная лазанья, вегетарианская и комбинированная получились необыкновенно вкусными на мастер-классе под руководством Ольги Сулавко. Готовили все. И знакомились. Ольга очень творческий человек. Её профессия — дизайнер интерьеров, а кулинария — давнее, серьезное увлечение. Мы узнал...</t>
        </is>
      </c>
    </row>
    <row r="935" ht="30" customHeight="1">
      <c r="A935" s="23" t="n">
        <v>4407</v>
      </c>
      <c r="B935" s="24" t="inlineStr">
        <is>
          <t>2019-03-21</t>
        </is>
      </c>
      <c r="C935" s="25">
        <f>HYPERLINK("https://vk.com/wall-1825701_4407", "Открыть пост")</f>
        <v/>
      </c>
      <c r="D935" s="26" t="inlineStr">
        <is>
          <t>Творческие мастер-классы и художественные студии</t>
        </is>
      </c>
      <c r="E935" s="26" t="inlineStr">
        <is>
          <t>Творческие мастер-классы и художественные студии; Выездные лагеря, дача и сезонные программы</t>
        </is>
      </c>
      <c r="F935" s="26" t="inlineStr">
        <is>
          <t>Подопечные фонда «Дети Марии» (общая группа детей и подростков)</t>
        </is>
      </c>
      <c r="G935" s="26" t="inlineStr">
        <is>
          <t>Студия фонда / выездная площадка</t>
        </is>
      </c>
      <c r="H935" s="26" t="inlineStr">
        <is>
          <t>Художественно-прикладные и ремесленные навыки</t>
        </is>
      </c>
      <c r="I935" s="27" t="inlineStr">
        <is>
          <t>По формату занятия</t>
        </is>
      </c>
      <c r="J935" s="26" t="inlineStr">
        <is>
          <t>Детям из Филимонок нравится бывать в загородных мастерских. Здесь они всегда находят себе занятие по душе. Вчера снова чудно провели время - рисовали, лепили из глины, пили чай с вкусняшками). И, конечно же, не обошлось без обнимашек с лохматым другом))</t>
        </is>
      </c>
    </row>
    <row r="936" ht="30" customHeight="1">
      <c r="A936" s="28" t="n">
        <v>4405</v>
      </c>
      <c r="B936" s="29" t="inlineStr">
        <is>
          <t>2019-03-21</t>
        </is>
      </c>
      <c r="C936" s="30">
        <f>HYPERLINK("https://vk.com/wall-1825701_4405", "Открыть пост")</f>
        <v/>
      </c>
      <c r="D936" s="31" t="inlineStr">
        <is>
          <t>Творческие мастер-классы и художественные студии</t>
        </is>
      </c>
      <c r="E936" s="31" t="inlineStr">
        <is>
          <t>Творческие мастер-классы и художественные студии</t>
        </is>
      </c>
      <c r="F936" s="31" t="inlineStr">
        <is>
          <t>Подопечные фонда «Дети Марии» (общая группа детей и подростков)</t>
        </is>
      </c>
      <c r="G936" s="31" t="inlineStr">
        <is>
          <t>Студия фонда / выездная площадка</t>
        </is>
      </c>
      <c r="H936" s="31" t="inlineStr">
        <is>
          <t>Художественно-прикладные и ремесленные навыки; Педагогические и наставнические навыки (кулинария, быт, учёба)</t>
        </is>
      </c>
      <c r="I936" s="32" t="inlineStr">
        <is>
          <t>По формату занятия</t>
        </is>
      </c>
      <c r="J936" s="31" t="inlineStr">
        <is>
          <t>В среду вечером на занятии рисованием для взрослых продолжили учиться изображать человеческую фигуру, на это раз в разных положениях, статичных и в движении. Но пытаясь соблюдать правильные пропорции. Нюся вдохновляла нас как картинками из учебника по живописи, так и репродукциям...</t>
        </is>
      </c>
    </row>
    <row r="937" ht="30" customHeight="1">
      <c r="A937" s="23" t="n">
        <v>4398</v>
      </c>
      <c r="B937" s="24" t="inlineStr">
        <is>
          <t>2019-03-19</t>
        </is>
      </c>
      <c r="C937" s="25">
        <f>HYPERLINK("https://vk.com/wall-1825701_4398", "Открыть пост")</f>
        <v/>
      </c>
      <c r="D937" s="26" t="inlineStr">
        <is>
          <t>Выставки, экскурсии и культурные выходы</t>
        </is>
      </c>
      <c r="E937" s="26" t="inlineStr">
        <is>
          <t>Выставки, экскурсии и культурные выходы; Творческие мастер-классы и художественные студии</t>
        </is>
      </c>
      <c r="F937" s="26" t="inlineStr">
        <is>
          <t>Подростки и взрослые с ментальными особенностями и ОВЗ (ПНИ / Социальные дома)</t>
        </is>
      </c>
      <c r="G937" s="26" t="inlineStr">
        <is>
          <t>Студия фонда / выездная площадка</t>
        </is>
      </c>
      <c r="H937" s="26" t="inlineStr">
        <is>
          <t>Художественно-прикладные и ремесленные навыки</t>
        </is>
      </c>
      <c r="I937" s="27" t="inlineStr">
        <is>
          <t>По формату занятия</t>
        </is>
      </c>
      <c r="J937" s="26" t="inlineStr">
        <is>
          <t>Сегодня библиотека «Притяжение» распахнула свои двери для ребят из ПНИ 16, которым не удалось посетить выставку картин художника А. И. Сухорукова «Калевала» на прошлой неделе. На выставке ребята не только знакомились с работами художника, но и рисовали сами. А ещё чаёвничали, дар...</t>
        </is>
      </c>
    </row>
    <row r="938" ht="30" customHeight="1">
      <c r="A938" s="28" t="n">
        <v>4395</v>
      </c>
      <c r="B938" s="29" t="inlineStr">
        <is>
          <t>2019-03-19</t>
        </is>
      </c>
      <c r="C938" s="30">
        <f>HYPERLINK("https://vk.com/wall-1825701_4395", "Открыть пост")</f>
        <v/>
      </c>
      <c r="D938" s="31" t="inlineStr">
        <is>
          <t>Творческие мастер-классы и художественные студии</t>
        </is>
      </c>
      <c r="E938" s="31" t="inlineStr">
        <is>
          <t>Творческие мастер-классы и художественные студии</t>
        </is>
      </c>
      <c r="F938" s="31" t="inlineStr">
        <is>
          <t>Подопечные фонда «Дети Марии» (общая группа детей и подростков)</t>
        </is>
      </c>
      <c r="G938" s="31" t="inlineStr">
        <is>
          <t>Студия фонда / выездная площадка</t>
        </is>
      </c>
      <c r="H938" s="31" t="inlineStr">
        <is>
          <t>Художественно-прикладные и ремесленные навыки</t>
        </is>
      </c>
      <c r="I938" s="32" t="inlineStr">
        <is>
          <t>По формату занятия</t>
        </is>
      </c>
      <c r="J938" s="31" t="inlineStr">
        <is>
          <t>Керамика для взрослых вчера прошла с аншлагом) Лепили тарелки и чашки, гранаты и бусы, мышку и миску. Вдохновлялись работами и идеями друг друга. Это так здорово — чувствовать себя среди единомышленников. Продолжение через неделю.</t>
        </is>
      </c>
    </row>
    <row r="939" ht="30" customHeight="1">
      <c r="A939" s="23" t="n">
        <v>4391</v>
      </c>
      <c r="B939" s="24" t="inlineStr">
        <is>
          <t>2019-03-18</t>
        </is>
      </c>
      <c r="C939" s="25">
        <f>HYPERLINK("https://vk.com/wall-1825701_4391", "Открыть пост")</f>
        <v/>
      </c>
      <c r="D939" s="26" t="inlineStr">
        <is>
          <t>Творческие мастер-классы и художественные студии</t>
        </is>
      </c>
      <c r="E939" s="26" t="inlineStr">
        <is>
          <t>Творческие мастер-классы и художественные студии</t>
        </is>
      </c>
      <c r="F939" s="26" t="inlineStr">
        <is>
          <t>Подопечные фонда «Дети Марии» (общая группа детей и подростков)</t>
        </is>
      </c>
      <c r="G939" s="26" t="inlineStr">
        <is>
          <t>Студия фонда / выездная площадка</t>
        </is>
      </c>
      <c r="H939"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t>
        </is>
      </c>
      <c r="I939" s="27" t="inlineStr">
        <is>
          <t>По формату занятия</t>
        </is>
      </c>
      <c r="J939" s="26" t="inlineStr">
        <is>
          <t>Как же все ждут весны и соскучились по теплу, солнышку, цветам и птицам! Пока воплощаем ожидания в творчестве: птички на ветках на фоне синего-синего неба, пышные цветки для коллективного панно, глиняные птички и всё это под музыку Моцарта. А Маша вспоминала лето и море, лепила и...</t>
        </is>
      </c>
    </row>
    <row r="940" ht="30" customHeight="1">
      <c r="A940" s="28" t="n">
        <v>4390</v>
      </c>
      <c r="B940" s="29" t="inlineStr">
        <is>
          <t>2019-03-17</t>
        </is>
      </c>
      <c r="C940" s="30">
        <f>HYPERLINK("https://vk.com/wall-1825701_4390", "Открыть пост")</f>
        <v/>
      </c>
      <c r="D940" s="31" t="inlineStr">
        <is>
          <t>Творческие мастер-классы и художественные студии</t>
        </is>
      </c>
      <c r="E940" s="31" t="inlineStr">
        <is>
          <t>Творческие мастер-классы и художественные студии</t>
        </is>
      </c>
      <c r="F940" s="31" t="inlineStr">
        <is>
          <t>Подопечные фонда «Дети Марии» (общая группа детей и подростков)</t>
        </is>
      </c>
      <c r="G940" s="31" t="inlineStr">
        <is>
          <t>Студия фонда / выездная площадка</t>
        </is>
      </c>
      <c r="H940" s="31" t="inlineStr">
        <is>
          <t>Художественно-прикладные и ремесленные навыки; Коммуникативные навыки, эмпатия и тьюторское сопровождение</t>
        </is>
      </c>
      <c r="I940" s="32" t="inlineStr">
        <is>
          <t>Да (в тексте)</t>
        </is>
      </c>
      <c r="J940" s="31" t="inlineStr">
        <is>
          <t>В субботу в студию все приходили парами. Илюша с бабушкой, Соня с подружкой-одноклассницей, Гриша с сестрой Лизой, Рома с сестрой Лилей. И все нашли занятия — лепили из глины, валяли из шерсти, общались. А волонтёр Миша побывал в роли модели))</t>
        </is>
      </c>
    </row>
    <row r="941" ht="30" customHeight="1">
      <c r="A941" s="23" t="n">
        <v>4389</v>
      </c>
      <c r="B941" s="24" t="inlineStr">
        <is>
          <t>2019-03-17</t>
        </is>
      </c>
      <c r="C941" s="25">
        <f>HYPERLINK("https://vk.com/wall-1825701_4389", "Открыть пост")</f>
        <v/>
      </c>
      <c r="D941" s="26" t="inlineStr">
        <is>
          <t>Кулинарные, образовательные и социально-бытовые занятия</t>
        </is>
      </c>
      <c r="E941" s="26" t="inlineStr">
        <is>
          <t>Кулинарные, образовательные и социально-бытовые занятия</t>
        </is>
      </c>
      <c r="F941" s="26" t="inlineStr">
        <is>
          <t>Подростки и взрослые с ментальными особенностями и ОВЗ (ПНИ / Социальные дома); Выпускники интернатов и детских домов (молодые взрослые)</t>
        </is>
      </c>
      <c r="G941" s="26" t="inlineStr">
        <is>
          <t>Студия фонда / выездная площадка</t>
        </is>
      </c>
      <c r="H941" s="26" t="inlineStr">
        <is>
          <t>Педагогические и наставнические навыки (кулинария, быт, учёба)</t>
        </is>
      </c>
      <c r="I941" s="27" t="inlineStr">
        <is>
          <t>По формату занятия</t>
        </is>
      </c>
      <c r="J941" s="26" t="inlineStr">
        <is>
          <t>Замечательная история случилась в жизни нашего художника Тимоши. Тимофей Карандеев живет самостоятельно! Пока всего на один месяц, потому что Тимоша выступает в качестве эксперта и тестирует новую программу по подготовке ребят из ПНИ к самостоятельной жизни. Днём у него серьёзные...</t>
        </is>
      </c>
    </row>
    <row r="942" ht="30" customHeight="1">
      <c r="A942" s="28" t="n">
        <v>4384</v>
      </c>
      <c r="B942" s="29" t="inlineStr">
        <is>
          <t>2019-03-15</t>
        </is>
      </c>
      <c r="C942" s="30">
        <f>HYPERLINK("https://vk.com/wall-1825701_4384", "Открыть пост")</f>
        <v/>
      </c>
      <c r="D942" s="31" t="inlineStr">
        <is>
          <t>Творческие мастер-классы и художественные студии</t>
        </is>
      </c>
      <c r="E942" s="31" t="inlineStr">
        <is>
          <t>Творческие мастер-классы и художественные студии</t>
        </is>
      </c>
      <c r="F942" s="31" t="inlineStr">
        <is>
          <t>Подопечные фонда «Дети Марии» (общая группа детей и подростков)</t>
        </is>
      </c>
      <c r="G942" s="31" t="inlineStr">
        <is>
          <t>Студия фонда / выездная площадка</t>
        </is>
      </c>
      <c r="H942" s="31" t="inlineStr">
        <is>
          <t>Коммуникативные навыки, эмпатия и тьюторское сопровождение</t>
        </is>
      </c>
      <c r="I942" s="32" t="inlineStr">
        <is>
          <t>Да (в тексте)</t>
        </is>
      </c>
      <c r="J942" s="31" t="inlineStr">
        <is>
          <t>На мастер-классе по стеклу у Иры и Димы новые ученицы. Наши волонтёры Лена и Ксюша осваивают технику «Тиффани».</t>
        </is>
      </c>
    </row>
    <row r="943" ht="30" customHeight="1">
      <c r="A943" s="23" t="n">
        <v>4381</v>
      </c>
      <c r="B943" s="24" t="inlineStr">
        <is>
          <t>2019-03-14</t>
        </is>
      </c>
      <c r="C943" s="25">
        <f>HYPERLINK("https://vk.com/wall-1825701_4381", "Открыть пост")</f>
        <v/>
      </c>
      <c r="D943" s="26" t="inlineStr">
        <is>
          <t>Творческие мастер-классы и художественные студии</t>
        </is>
      </c>
      <c r="E943" s="26" t="inlineStr">
        <is>
          <t>Творческие мастер-классы и художественные студии</t>
        </is>
      </c>
      <c r="F943" s="26" t="inlineStr">
        <is>
          <t>Воспитанники ЦССВ, ДДИ и детских домов-интернатов</t>
        </is>
      </c>
      <c r="G943" s="26" t="inlineStr">
        <is>
          <t>ЦССВ «Юнона»</t>
        </is>
      </c>
      <c r="H943" s="26" t="inlineStr">
        <is>
          <t>Художественно-прикладные и ремесленные навыки; Артистические, музыкальные и спортивно-игровые навыки</t>
        </is>
      </c>
      <c r="I943" s="27" t="inlineStr">
        <is>
          <t>По формату занятия</t>
        </is>
      </c>
      <c r="J943" s="26" t="inlineStr">
        <is>
          <t>Многие дети из ЦССВ «Юнона» не могут надолго сосредоточиться на чём-то одном. На занятиях в студии у них есть возможность сменить вид активности, как только они устают. Порисовал, потом песню спел, потом цветок свалял, из глины полепил, чаю попил — всё за один приезд. И пообщался...</t>
        </is>
      </c>
    </row>
    <row r="944" ht="30" customHeight="1">
      <c r="A944" s="28" t="n">
        <v>4380</v>
      </c>
      <c r="B944" s="29" t="inlineStr">
        <is>
          <t>2019-03-14</t>
        </is>
      </c>
      <c r="C944" s="30">
        <f>HYPERLINK("https://vk.com/wall-1825701_4380", "Открыть пост")</f>
        <v/>
      </c>
      <c r="D944" s="31" t="inlineStr">
        <is>
          <t>Выездные лагеря, дача и сезонные программы</t>
        </is>
      </c>
      <c r="E944" s="31" t="inlineStr">
        <is>
          <t>Выездные лагеря, дача и сезонные программы</t>
        </is>
      </c>
      <c r="F944" s="31" t="inlineStr">
        <is>
          <t>Подопечные фонда «Дети Марии» (общая группа детей и подростков)</t>
        </is>
      </c>
      <c r="G944" s="31" t="inlineStr">
        <is>
          <t>Студия фонда / выездная площадка</t>
        </is>
      </c>
      <c r="H944" s="31" t="inlineStr">
        <is>
          <t>Художественно-прикладные и ремесленные навыки</t>
        </is>
      </c>
      <c r="I944" s="32" t="inlineStr">
        <is>
          <t>По формату занятия</t>
        </is>
      </c>
      <c r="J944" s="31" t="inlineStr">
        <is>
          <t>Из куска глины может выйти что угодно — главное придумать. Хотя бывает, что задумывались одно, а вышло что-то совсем другое. Тем и интересно творчество. Обсудить, что получилось, можно за чаем после занятия. В загородных мастерских в среду дети из Филимонок.</t>
        </is>
      </c>
    </row>
    <row r="945" ht="30" customHeight="1">
      <c r="A945" s="23" t="n">
        <v>4376</v>
      </c>
      <c r="B945" s="24" t="inlineStr">
        <is>
          <t>2019-03-12</t>
        </is>
      </c>
      <c r="C945" s="25">
        <f>HYPERLINK("https://vk.com/wall-1825701_4376", "Открыть пост")</f>
        <v/>
      </c>
      <c r="D945" s="26" t="inlineStr">
        <is>
          <t>Творческие мастер-классы и художественные студии</t>
        </is>
      </c>
      <c r="E945" s="26" t="inlineStr">
        <is>
          <t>Творческие мастер-классы и художественные студии; Кулинарные, образовательные и социально-бытовые занятия</t>
        </is>
      </c>
      <c r="F945" s="26" t="inlineStr">
        <is>
          <t>Подростки и взрослые с ментальными особенностями и ОВЗ (ПНИ / Социальные дома)</t>
        </is>
      </c>
      <c r="G945" s="26" t="inlineStr">
        <is>
          <t>Студия фонда / выездная площадка</t>
        </is>
      </c>
      <c r="H945" s="26" t="inlineStr">
        <is>
          <t>Коммуникативные навыки, эмпатия и тьюторское сопровождение; Педагогические и наставнические навыки (кулинария, быт, учёба); Мобильность, выездное сопровождение и автоволонтёрство</t>
        </is>
      </c>
      <c r="I945" s="27" t="inlineStr">
        <is>
          <t>Да (в тексте)</t>
        </is>
      </c>
      <c r="J945" s="26" t="inlineStr">
        <is>
          <t>Вчера наши прекрасные и героические волонтёры Ирина, Вера и Решма возили ребят из ПНИ 16 на кулинарный мастер-класс в клуб «Короли и капуста» по приглашению Центра равных возможностей «Вверх». В этот вечер ребята готовили куриный суп и настоящую итальянскую лазанью, в процессе че...</t>
        </is>
      </c>
    </row>
    <row r="946" ht="30" customHeight="1">
      <c r="A946" s="28" t="n">
        <v>4375</v>
      </c>
      <c r="B946" s="29" t="inlineStr">
        <is>
          <t>2019-03-12</t>
        </is>
      </c>
      <c r="C946" s="30">
        <f>HYPERLINK("https://vk.com/wall-1825701_4375", "Открыть пост")</f>
        <v/>
      </c>
      <c r="D946" s="31" t="inlineStr">
        <is>
          <t>Выставки, экскурсии и культурные выходы</t>
        </is>
      </c>
      <c r="E946" s="31" t="inlineStr">
        <is>
          <t>Выставки, экскурсии и культурные выходы; Творческие мастер-классы и художественные студии</t>
        </is>
      </c>
      <c r="F946" s="31" t="inlineStr">
        <is>
          <t>Подростки и взрослые с ментальными особенностями и ОВЗ (ПНИ / Социальные дома)</t>
        </is>
      </c>
      <c r="G946" s="31" t="inlineStr">
        <is>
          <t>Студия фонда / выездная площадка</t>
        </is>
      </c>
      <c r="H946" s="31" t="inlineStr">
        <is>
          <t>Художественно-прикладные и ремесленные навыки; Артистические, музыкальные и спортивно-игровые навыки</t>
        </is>
      </c>
      <c r="I946" s="32" t="inlineStr">
        <is>
          <t>По формату занятия</t>
        </is>
      </c>
      <c r="J946" s="31" t="inlineStr">
        <is>
          <t>Сегодня у ребят из ПНИ 16 необычное занятие — в библиотеке «Притяжение» на выставке картин художника А.И.Сухорукова «Калевала». Знакомились с произведениями художника, а потом сами рисовали Карелию в графике. Рисунки подарили библиотеке, а руководитель библиотеки Марина Викторовн...</t>
        </is>
      </c>
    </row>
    <row r="947" ht="30" customHeight="1">
      <c r="A947" s="23" t="n">
        <v>4374</v>
      </c>
      <c r="B947" s="24" t="inlineStr">
        <is>
          <t>2019-03-12</t>
        </is>
      </c>
      <c r="C947" s="25">
        <f>HYPERLINK("https://vk.com/wall-1825701_4374", "Открыть пост")</f>
        <v/>
      </c>
      <c r="D947" s="26" t="inlineStr">
        <is>
          <t>Спектакли, концерты и музыкально-театральные занятия</t>
        </is>
      </c>
      <c r="E947" s="26" t="inlineStr">
        <is>
          <t>Спектакли, концерты и музыкально-театральные занятия</t>
        </is>
      </c>
      <c r="F947" s="26" t="inlineStr">
        <is>
          <t>Подопечные фонда «Дети Марии» (общая группа детей и подростков)</t>
        </is>
      </c>
      <c r="G947" s="26" t="inlineStr">
        <is>
          <t>Студия фонда / выездная площадка</t>
        </is>
      </c>
      <c r="H947" s="26" t="inlineStr">
        <is>
          <t>Артистические, музыкальные и спортивно-игровые навыки; Медиа, фото/видеосъёмка и культурная медиация</t>
        </is>
      </c>
      <c r="I947" s="27" t="inlineStr">
        <is>
          <t>По формату занятия</t>
        </is>
      </c>
      <c r="J947" s="26" t="inlineStr">
        <is>
          <t>Видео концерта «Встречаем весну» теперь на нашем канале в youtube Cпасибо, Майя и Виктория! https://www.youtube.com/watch?v=4vhlMRcGJxw</t>
        </is>
      </c>
    </row>
    <row r="948" ht="30" customHeight="1">
      <c r="A948" s="28" t="n">
        <v>4373</v>
      </c>
      <c r="B948" s="29" t="inlineStr">
        <is>
          <t>2019-03-12</t>
        </is>
      </c>
      <c r="C948" s="30">
        <f>HYPERLINK("https://vk.com/wall-1825701_4373", "Открыть пост")</f>
        <v/>
      </c>
      <c r="D948" s="31" t="inlineStr">
        <is>
          <t>Творческие мастер-классы и художественные студии</t>
        </is>
      </c>
      <c r="E948" s="31" t="inlineStr">
        <is>
          <t>Творческие мастер-классы и художественные студии</t>
        </is>
      </c>
      <c r="F948" s="31" t="inlineStr">
        <is>
          <t>Подопечные фонда «Дети Марии» (общая группа детей и подростков)</t>
        </is>
      </c>
      <c r="G948" s="31" t="inlineStr">
        <is>
          <t>Студия фонда / выездная площадка</t>
        </is>
      </c>
      <c r="H948" s="31" t="inlineStr">
        <is>
          <t>Художественно-прикладные и ремесленные навыки</t>
        </is>
      </c>
      <c r="I948" s="32" t="inlineStr">
        <is>
          <t>По формату занятия</t>
        </is>
      </c>
      <c r="J948" s="31" t="inlineStr">
        <is>
          <t>Чтобы миска вышла ровной, помогут гипсовая форма и фен. Продолжаем познавать хитрости технологии на занятиях керамикой для взрослых по понедельникам вечером с Николаем Панюковым. Приглашаем присоединиться всех, кому интересно попробовать себя в этом ремесле и искусстве. Занятия б...</t>
        </is>
      </c>
    </row>
    <row r="949" ht="30" customHeight="1">
      <c r="A949" s="23" t="n">
        <v>4370</v>
      </c>
      <c r="B949" s="24" t="inlineStr">
        <is>
          <t>2019-03-11</t>
        </is>
      </c>
      <c r="C949" s="25">
        <f>HYPERLINK("https://vk.com/wall-1825701_4370", "Открыть пост")</f>
        <v/>
      </c>
      <c r="D949" s="26" t="inlineStr">
        <is>
          <t>Праздники, дни рождения и клубные встречи</t>
        </is>
      </c>
      <c r="E949" s="26" t="inlineStr">
        <is>
          <t>Праздники, дни рождения и клубные встречи; Творческие мастер-классы и художественные студии</t>
        </is>
      </c>
      <c r="F949" s="26" t="inlineStr">
        <is>
          <t>Подопечные фонда «Дети Марии» (общая группа детей и подростков)</t>
        </is>
      </c>
      <c r="G949" s="26" t="inlineStr">
        <is>
          <t>Студия фонда / выездная площадка</t>
        </is>
      </c>
      <c r="H949" s="26" t="inlineStr">
        <is>
          <t>Художественно-прикладные и ремесленные навыки</t>
        </is>
      </c>
      <c r="I949" s="27" t="inlineStr">
        <is>
          <t>По формату занятия</t>
        </is>
      </c>
      <c r="J949" s="26" t="inlineStr">
        <is>
          <t>В студии на занятиях с семейном формате вчера тоже провожали масленицу — семья Яценко напекла блинов. Рисовали вид из окна. Оказалось, некоторые хотели бы наблюдать за окном оранжевого дракона :) В керамической расписывали фигурки, которые слепили на прошлом занятии. Было очень п...</t>
        </is>
      </c>
    </row>
    <row r="950" ht="30" customHeight="1">
      <c r="A950" s="28" t="n">
        <v>4369</v>
      </c>
      <c r="B950" s="29" t="inlineStr">
        <is>
          <t>2019-03-10</t>
        </is>
      </c>
      <c r="C950" s="30">
        <f>HYPERLINK("https://vk.com/wall-1825701_4369", "Открыть пост")</f>
        <v/>
      </c>
      <c r="D950" s="31" t="inlineStr">
        <is>
          <t>Праздники, дни рождения и клубные встречи</t>
        </is>
      </c>
      <c r="E950" s="31" t="inlineStr">
        <is>
          <t>Праздники, дни рождения и клубные встречи</t>
        </is>
      </c>
      <c r="F950" s="31" t="inlineStr">
        <is>
          <t>Подростки и взрослые с ментальными особенностями и ОВЗ (ПНИ / Социальные дома)</t>
        </is>
      </c>
      <c r="G950" s="31" t="inlineStr">
        <is>
          <t>Тверская 15</t>
        </is>
      </c>
      <c r="H950"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t>
        </is>
      </c>
      <c r="I950" s="32" t="inlineStr">
        <is>
          <t>Да (в тексте)</t>
        </is>
      </c>
      <c r="J950" s="31" t="inlineStr">
        <is>
          <t>Вот и закончилась самая вкусная и яркая неделя в году — Масленица! Последний день Масленицы ребята из ПНИ 16 отпраздновали в кругу друзей, волонтеров, старых и новых знакомых в Пространстве творчества и развития «Тверская 15». Большой и шумной компанией погуляли на славу! Спасибо...</t>
        </is>
      </c>
    </row>
    <row r="951" ht="30" customHeight="1">
      <c r="A951" s="23" t="n">
        <v>4367</v>
      </c>
      <c r="B951" s="24" t="inlineStr">
        <is>
          <t>2019-03-10</t>
        </is>
      </c>
      <c r="C951" s="25">
        <f>HYPERLINK("https://vk.com/wall-1825701_4367", "Открыть пост")</f>
        <v/>
      </c>
      <c r="D951" s="26" t="inlineStr">
        <is>
          <t>Выездные лагеря, дача и сезонные программы</t>
        </is>
      </c>
      <c r="E951" s="26" t="inlineStr">
        <is>
          <t>Выездные лагеря, дача и сезонные программы; Выставки, экскурсии и культурные выходы; Спектакли, концерты и музыкально-театральные занятия</t>
        </is>
      </c>
      <c r="F951" s="26" t="inlineStr">
        <is>
          <t>Подростки и взрослые с ментальными особенностями и ОВЗ (ПНИ / Социальные дома)</t>
        </is>
      </c>
      <c r="G951" s="26" t="inlineStr">
        <is>
          <t>Студия фонда / выездная площадка</t>
        </is>
      </c>
      <c r="H951" s="26" t="inlineStr">
        <is>
          <t>Артистические, музыкальные и спортивно-игровые навыки; Мобильность, выездное сопровождение и автоволонтёрство; Медиа, фото/видеосъёмка и культурная медиация</t>
        </is>
      </c>
      <c r="I951" s="27" t="inlineStr">
        <is>
          <t>По формату занятия</t>
        </is>
      </c>
      <c r="J951" s="26" t="inlineStr">
        <is>
          <t>Посмотреть спектакль Томасина, который показали нашим ребятам из 16го ПНИ ученики школы Святого Геогия победоносца, можно здесь https://youtu.be/0nHkTj_p4dk Кстати, на нашем канале Marias Children в youtube выложены и другие фильмы и ролики разных лет о нас, наших занятиях, выста...</t>
        </is>
      </c>
    </row>
    <row r="952" ht="30" customHeight="1">
      <c r="A952" s="28" t="n">
        <v>4364</v>
      </c>
      <c r="B952" s="29" t="inlineStr">
        <is>
          <t>2019-03-08</t>
        </is>
      </c>
      <c r="C952" s="30">
        <f>HYPERLINK("https://vk.com/wall-1825701_4364", "Открыть пост")</f>
        <v/>
      </c>
      <c r="D952" s="31" t="inlineStr">
        <is>
          <t>Праздники, дни рождения и клубные встречи</t>
        </is>
      </c>
      <c r="E952" s="31" t="inlineStr">
        <is>
          <t>Праздники, дни рождения и клубные встречи; Творческие мастер-классы и художественные студии</t>
        </is>
      </c>
      <c r="F952" s="31" t="inlineStr">
        <is>
          <t>Подопечные фонда «Дети Марии» (общая группа детей и подростков)</t>
        </is>
      </c>
      <c r="G952" s="31" t="inlineStr">
        <is>
          <t>Студия фонда / выездная площадка</t>
        </is>
      </c>
      <c r="H952" s="31" t="inlineStr">
        <is>
          <t>Организационные, ивент- и ярмарочные навыки</t>
        </is>
      </c>
      <c r="I952" s="32" t="inlineStr">
        <is>
          <t>По формату занятия</t>
        </is>
      </c>
      <c r="J952" s="31" t="inlineStr">
        <is>
          <t>В субботу, 9 марта, с 12:00 до 18:00 в саду «Эрмитаж» (ул. Каретный ряд, д.3) пройдет окружной праздник «Широкая Масленица». Участвующих в мероприятии ждут всевозможные развлечения, мастер-классы, традиционные состязания и выступления творческих коллективов! Программа мероприятия...</t>
        </is>
      </c>
    </row>
    <row r="953" ht="30" customHeight="1">
      <c r="A953" s="23" t="n">
        <v>4362</v>
      </c>
      <c r="B953" s="24" t="inlineStr">
        <is>
          <t>2019-03-07</t>
        </is>
      </c>
      <c r="C953" s="25">
        <f>HYPERLINK("https://vk.com/wall-1825701_4362", "Открыть пост")</f>
        <v/>
      </c>
      <c r="D953" s="26" t="inlineStr">
        <is>
          <t>Творческие мастер-классы и художественные студии</t>
        </is>
      </c>
      <c r="E953" s="26" t="inlineStr">
        <is>
          <t>Творческие мастер-классы и художественные студии</t>
        </is>
      </c>
      <c r="F953" s="26" t="inlineStr">
        <is>
          <t>Подопечные фонда «Дети Марии» (общая группа детей и подростков)</t>
        </is>
      </c>
      <c r="G953" s="26" t="inlineStr">
        <is>
          <t>Студия фонда / выездная площадка</t>
        </is>
      </c>
      <c r="H953" s="26" t="inlineStr">
        <is>
          <t>Художественно-прикладные и ремесленные навыки; Педагогические и наставнические навыки (кулинария, быт, учёба)</t>
        </is>
      </c>
      <c r="I953" s="27" t="inlineStr">
        <is>
          <t>По формату занятия</t>
        </is>
      </c>
      <c r="J953" s="26" t="inlineStr">
        <is>
          <t>На занятиях рисованием для взрослых в среду вечером изучали пропорции человеческой фигуры. Согласно классическим канонам рост взрослого человека равен восьми длинам его же головы. Не удержались от перепроверки теории на практике.📏📐 И хоть соответствие эталонам в жизни встречается...</t>
        </is>
      </c>
    </row>
    <row r="954" ht="30" customHeight="1">
      <c r="A954" s="28" t="n">
        <v>4360</v>
      </c>
      <c r="B954" s="29" t="inlineStr">
        <is>
          <t>2019-03-07</t>
        </is>
      </c>
      <c r="C954" s="30">
        <f>HYPERLINK("https://vk.com/wall-1825701_4360", "Открыть пост")</f>
        <v/>
      </c>
      <c r="D954" s="31" t="inlineStr">
        <is>
          <t>Кулинарные, образовательные и социально-бытовые занятия</t>
        </is>
      </c>
      <c r="E954" s="31" t="inlineStr">
        <is>
          <t>Кулинарные, образовательные и социально-бытовые занятия; Праздники, дни рождения и клубные встречи; Творческие мастер-классы и художественные студии</t>
        </is>
      </c>
      <c r="F954" s="31" t="inlineStr">
        <is>
          <t>Подопечные фонда «Дети Марии» (общая группа детей и подростков)</t>
        </is>
      </c>
      <c r="G954" s="31" t="inlineStr">
        <is>
          <t>Студия фонда / выездная площадка</t>
        </is>
      </c>
      <c r="H954" s="31" t="inlineStr">
        <is>
          <t>Педагогические и наставнические навыки (кулинария, быт, учёба)</t>
        </is>
      </c>
      <c r="I954" s="32" t="inlineStr">
        <is>
          <t>По формату занятия</t>
        </is>
      </c>
      <c r="J954" s="31" t="inlineStr">
        <is>
          <t>Масленица. Кулинарный мастер-класс в среду вечером, конечно, про блины — их пекли Дима, Оксана и Оля. Все вкусные безумно, а Олины были признаны самыми красивыми — ажурными, кружавчатыми)) Спасибо всем кто готовил разные начинки и Наде с Лилей за гору перемытой посуды!</t>
        </is>
      </c>
    </row>
    <row r="955" ht="30" customHeight="1">
      <c r="A955" s="23" t="n">
        <v>4359</v>
      </c>
      <c r="B955" s="24" t="inlineStr">
        <is>
          <t>2019-03-07</t>
        </is>
      </c>
      <c r="C955" s="25">
        <f>HYPERLINK("https://vk.com/wall-1825701_4359", "Открыть пост")</f>
        <v/>
      </c>
      <c r="D955" s="26" t="inlineStr">
        <is>
          <t>Праздники, дни рождения и клубные встречи</t>
        </is>
      </c>
      <c r="E955" s="26" t="inlineStr">
        <is>
          <t>Праздники, дни рождения и клубные встречи; Творческие мастер-классы и художественные студии; Спортивные и активные мероприятия</t>
        </is>
      </c>
      <c r="F955" s="26" t="inlineStr">
        <is>
          <t>Подростки и взрослые с ментальными особенностями и ОВЗ (ПНИ / Социальные дома); Широкая аудитория, гости и благотворители (открытые события)</t>
        </is>
      </c>
      <c r="G955" s="26" t="inlineStr">
        <is>
          <t>Студия фонда / выездная площадка</t>
        </is>
      </c>
      <c r="H955" s="26" t="inlineStr">
        <is>
          <t>Артистические, музыкальные и спортивно-игровые навыки</t>
        </is>
      </c>
      <c r="I955" s="27" t="inlineStr">
        <is>
          <t>Да (в тексте)</t>
        </is>
      </c>
      <c r="J955" s="26" t="inlineStr">
        <is>
          <t>Весело и задорно прошла вчера Масленица-Лакомка. Из-за холодного ветра (ох, уж эта зима, не спешит уходить) провожали зиму и встречали весну не на улице, как собирались, а в гостях у наших друзей ТК «Детское Ателье» и АНО ДО «Шапо-Синтез». Спасибо им, что приютили в непогоду мног...</t>
        </is>
      </c>
    </row>
    <row r="956" ht="30" customHeight="1">
      <c r="A956" s="28" t="n">
        <v>4358</v>
      </c>
      <c r="B956" s="29" t="inlineStr">
        <is>
          <t>2019-03-07</t>
        </is>
      </c>
      <c r="C956" s="30">
        <f>HYPERLINK("https://vk.com/wall-1825701_4358", "Открыть пост")</f>
        <v/>
      </c>
      <c r="D956" s="31" t="inlineStr">
        <is>
          <t>Творческие мастер-классы и художественные студии</t>
        </is>
      </c>
      <c r="E956" s="31" t="inlineStr">
        <is>
          <t>Творческие мастер-классы и художественные студии; Выездные лагеря, дача и сезонные программы</t>
        </is>
      </c>
      <c r="F956" s="31" t="inlineStr">
        <is>
          <t>Подопечные фонда «Дети Марии» (общая группа детей и подростков)</t>
        </is>
      </c>
      <c r="G956" s="31" t="inlineStr">
        <is>
          <t>Студия фонда / выездная площадка</t>
        </is>
      </c>
      <c r="H956" s="31" t="inlineStr">
        <is>
          <t>Художественно-прикладные и ремесленные навыки</t>
        </is>
      </c>
      <c r="I956" s="32" t="inlineStr">
        <is>
          <t>По формату занятия</t>
        </is>
      </c>
      <c r="J956" s="31" t="inlineStr">
        <is>
          <t>Мозаика и керамика, и рисование — что же выбрать? Можно всё занятие посвятить чему-то одному, а можно успеть всего понемногу — каждый решает сам. В загородных мастерских дети из Филимонок.</t>
        </is>
      </c>
    </row>
    <row r="957" ht="30" customHeight="1">
      <c r="A957" s="23" t="n">
        <v>4349</v>
      </c>
      <c r="B957" s="24" t="inlineStr">
        <is>
          <t>2019-03-05</t>
        </is>
      </c>
      <c r="C957" s="25">
        <f>HYPERLINK("https://vk.com/wall-1825701_4349", "Открыть пост")</f>
        <v/>
      </c>
      <c r="D957" s="26" t="inlineStr">
        <is>
          <t>Творческие мастер-классы и художественные студии</t>
        </is>
      </c>
      <c r="E957" s="26" t="inlineStr">
        <is>
          <t>Творческие мастер-классы и художественные студии; Кулинарные, образовательные и социально-бытовые занятия</t>
        </is>
      </c>
      <c r="F957" s="26" t="inlineStr">
        <is>
          <t>Подопечные фонда «Дети Марии» (общая группа детей и подростков)</t>
        </is>
      </c>
      <c r="G957" s="26" t="inlineStr">
        <is>
          <t>Студия фонда / выездная площадка</t>
        </is>
      </c>
      <c r="H957" s="26" t="inlineStr">
        <is>
          <t>Художественно-прикладные и ремесленные навыки; Педагогические и наставнические навыки (кулинария, быт, учёба)</t>
        </is>
      </c>
      <c r="I957" s="27" t="inlineStr">
        <is>
          <t>По формату занятия</t>
        </is>
      </c>
      <c r="J957" s="26" t="inlineStr">
        <is>
          <t>На занятиях керамикой для взрослых разброс интересов от бус до изразцов. Горшки для цветов тоже популярны — весна грядёт. Нам нравится, что можно прийти на урок со своей идеей, а преподаватель Николай Панюков всегда подскажет и поможет воплотить её в жизнь. Занятия керамикой прох...</t>
        </is>
      </c>
    </row>
    <row r="958" ht="30" customHeight="1">
      <c r="A958" s="28" t="n">
        <v>4346</v>
      </c>
      <c r="B958" s="29" t="inlineStr">
        <is>
          <t>2019-03-04</t>
        </is>
      </c>
      <c r="C958" s="30">
        <f>HYPERLINK("https://vk.com/wall-1825701_4346", "Открыть пост")</f>
        <v/>
      </c>
      <c r="D958" s="31" t="inlineStr">
        <is>
          <t>Творческие мастер-классы и художественные студии</t>
        </is>
      </c>
      <c r="E958" s="31" t="inlineStr">
        <is>
          <t>Творческие мастер-классы и художественные студии</t>
        </is>
      </c>
      <c r="F958" s="31" t="inlineStr">
        <is>
          <t>Воспитанники ЦССВ, ДДИ и детских домов-интернатов</t>
        </is>
      </c>
      <c r="G958" s="31" t="inlineStr">
        <is>
          <t>ЦССВ «Юнона»</t>
        </is>
      </c>
      <c r="H958" s="31"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t>
        </is>
      </c>
      <c r="I958" s="32" t="inlineStr">
        <is>
          <t>По формату занятия</t>
        </is>
      </c>
      <c r="J958" s="31" t="inlineStr">
        <is>
          <t>Утром в студии дети из ЦССВ «Юнона». В этой группе дети с тяжёлыми нарушениями, многие не умеют говорить. Наши преподаватели ищут и находят способы взаимодействия, и даже непростые дети идут на контакт, осваиваются и начинают лепить из глины, рисовать, подпевать и отбивать ритм. ...</t>
        </is>
      </c>
    </row>
    <row r="959" ht="30" customHeight="1">
      <c r="A959" s="23" t="n">
        <v>4344</v>
      </c>
      <c r="B959" s="24" t="inlineStr">
        <is>
          <t>2019-03-04</t>
        </is>
      </c>
      <c r="C959" s="25">
        <f>HYPERLINK("https://vk.com/wall-1825701_4344", "Открыть пост")</f>
        <v/>
      </c>
      <c r="D959" s="26" t="inlineStr">
        <is>
          <t>Творческие мастер-классы и художественные студии</t>
        </is>
      </c>
      <c r="E959" s="26" t="inlineStr">
        <is>
          <t>Творческие мастер-классы и художественные студии</t>
        </is>
      </c>
      <c r="F959" s="26" t="inlineStr">
        <is>
          <t>Подопечные фонда «Дети Марии» (общая группа детей и подростков)</t>
        </is>
      </c>
      <c r="G959" s="26" t="inlineStr">
        <is>
          <t>Студия фонда / выездная площадка</t>
        </is>
      </c>
      <c r="H959" s="26" t="inlineStr">
        <is>
          <t>Художественно-прикладные и ремесленные навыки</t>
        </is>
      </c>
      <c r="I959" s="27" t="inlineStr">
        <is>
          <t>По формату занятия</t>
        </is>
      </c>
      <c r="J959" s="26" t="inlineStr">
        <is>
          <t>В субботу и воскресенье в студии занятия в семейном формате. Дети и родители могут заниматься творчеством вместе. Нам очень приятно, когда семьи зовут на наши занятия друзей, соседей, одноклассников своих детей, а это происходит регулярно. Мы рады видеть на занятиях новые лица. С...</t>
        </is>
      </c>
    </row>
    <row r="960" ht="30" customHeight="1">
      <c r="A960" s="28" t="n">
        <v>4336</v>
      </c>
      <c r="B960" s="29" t="inlineStr">
        <is>
          <t>2019-03-01</t>
        </is>
      </c>
      <c r="C960" s="30">
        <f>HYPERLINK("https://vk.com/wall-1825701_4336", "Открыть пост")</f>
        <v/>
      </c>
      <c r="D960" s="31" t="inlineStr">
        <is>
          <t>Творческие мастер-классы и художественные студии</t>
        </is>
      </c>
      <c r="E960" s="31" t="inlineStr">
        <is>
          <t>Творческие мастер-классы и художественные студии</t>
        </is>
      </c>
      <c r="F960" s="31" t="inlineStr">
        <is>
          <t>Подростки и взрослые с ментальными особенностями и ОВЗ (ПНИ / Социальные дома)</t>
        </is>
      </c>
      <c r="G960" s="31" t="inlineStr">
        <is>
          <t>Студия фонда / выездная площадка</t>
        </is>
      </c>
      <c r="H960" s="31" t="inlineStr">
        <is>
          <t>Художественно-прикладные и ремесленные навыки</t>
        </is>
      </c>
      <c r="I960" s="32" t="inlineStr">
        <is>
          <t>По формату занятия</t>
        </is>
      </c>
      <c r="J960" s="31" t="inlineStr">
        <is>
          <t>Занятие рисованием в ПНИ 16 сегодня проводила Анна Митина. Братья Савельева: один раскрашивает цветными карандашами, а другой их точит. А ещё мы дали вторую жизнь нашим картинам и пустили некоторые на детали для больших коллективных панно — у нас ничего не пропадает!</t>
        </is>
      </c>
    </row>
    <row r="961" ht="30" customHeight="1">
      <c r="A961" s="23" t="n">
        <v>4334</v>
      </c>
      <c r="B961" s="24" t="inlineStr">
        <is>
          <t>2019-03-01</t>
        </is>
      </c>
      <c r="C961" s="25">
        <f>HYPERLINK("https://vk.com/wall-1825701_4334", "Открыть пост")</f>
        <v/>
      </c>
      <c r="D961" s="26" t="inlineStr">
        <is>
          <t>Кулинарные, образовательные и социально-бытовые занятия</t>
        </is>
      </c>
      <c r="E961" s="26" t="inlineStr">
        <is>
          <t>Кулинарные, образовательные и социально-бытовые занятия</t>
        </is>
      </c>
      <c r="F961" s="26" t="inlineStr">
        <is>
          <t>Подопечные фонда «Дети Марии» (общая группа детей и подростков)</t>
        </is>
      </c>
      <c r="G961" s="26" t="inlineStr">
        <is>
          <t>Студия фонда / выездная площадка</t>
        </is>
      </c>
      <c r="H961"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t>
        </is>
      </c>
      <c r="I961" s="27" t="inlineStr">
        <is>
          <t>По формату занятия</t>
        </is>
      </c>
      <c r="J961" s="26" t="inlineStr">
        <is>
          <t>Необычное занятие было сегодня у детей из 31й школы-интерната. Его провели студенты Геологоразведочного университета — того самого вуза, где учился Илья Сегалович. Будущие геологи рассказали ребятам о разных минералах, причём можно было потрогать и посмотреть образцы — студенты п...</t>
        </is>
      </c>
    </row>
    <row r="962" ht="30" customHeight="1">
      <c r="A962" s="28" t="n">
        <v>4333</v>
      </c>
      <c r="B962" s="29" t="inlineStr">
        <is>
          <t>2019-02-28</t>
        </is>
      </c>
      <c r="C962" s="30">
        <f>HYPERLINK("https://vk.com/wall-1825701_4333", "Открыть пост")</f>
        <v/>
      </c>
      <c r="D962" s="31" t="inlineStr">
        <is>
          <t>Кулинарные, образовательные и социально-бытовые занятия</t>
        </is>
      </c>
      <c r="E962" s="31" t="inlineStr">
        <is>
          <t>Кулинарные, образовательные и социально-бытовые занятия; Творческие мастер-классы и художественные студии</t>
        </is>
      </c>
      <c r="F962" s="31" t="inlineStr">
        <is>
          <t>Подопечные фонда «Дети Марии» (общая группа детей и подростков)</t>
        </is>
      </c>
      <c r="G962" s="31" t="inlineStr">
        <is>
          <t>Студия фонда / выездная площадка</t>
        </is>
      </c>
      <c r="H962" s="31" t="inlineStr">
        <is>
          <t>Педагогические и наставнические навыки (кулинария, быт, учёба)</t>
        </is>
      </c>
      <c r="I962" s="32" t="inlineStr">
        <is>
          <t>По формату занятия</t>
        </is>
      </c>
      <c r="J962" s="31" t="inlineStr">
        <is>
          <t>Кулинарное занятие в студии на Дмитровке вчера вечером было посвящено «повторению пройденного материала»: вегетарианский борщ, жульен, салат и традиционные макароны с сыром. Все приготовили самостоятельно, накормили себя и друзей)</t>
        </is>
      </c>
    </row>
    <row r="963" ht="30" customHeight="1">
      <c r="A963" s="23" t="n">
        <v>4328</v>
      </c>
      <c r="B963" s="24" t="inlineStr">
        <is>
          <t>2019-02-27</t>
        </is>
      </c>
      <c r="C963" s="25">
        <f>HYPERLINK("https://vk.com/wall-1825701_4328", "Открыть пост")</f>
        <v/>
      </c>
      <c r="D963" s="26" t="inlineStr">
        <is>
          <t>Праздники, дни рождения и клубные встречи</t>
        </is>
      </c>
      <c r="E963" s="26" t="inlineStr">
        <is>
          <t>Праздники, дни рождения и клубные встречи</t>
        </is>
      </c>
      <c r="F963" s="26" t="inlineStr">
        <is>
          <t>Воспитанники ЦССВ, ДДИ и детских домов-интернатов</t>
        </is>
      </c>
      <c r="G963" s="26" t="inlineStr">
        <is>
          <t>ЦССВ «Юнона»</t>
        </is>
      </c>
      <c r="H963" s="26" t="inlineStr">
        <is>
          <t>Коммуникативные навыки, эмпатия и тьюторское сопровождение; Организационные, ивент- и ярмарочные навыки</t>
        </is>
      </c>
      <c r="I963" s="27" t="inlineStr">
        <is>
          <t>По формату занятия</t>
        </is>
      </c>
      <c r="J963" s="26" t="inlineStr">
        <is>
          <t>Сегодня в студии две группы детей из ЦССВ «Юнона» — утром и днём. Рисуем Масленицу и котов. После каждого занятия у нас чаепитие — это тоже часть занятия — момент общения и отдыха. А ещё ребята приучаются сами накрывать на стол и убирать, мыть посуду.</t>
        </is>
      </c>
    </row>
    <row r="964" ht="30" customHeight="1">
      <c r="A964" s="28" t="n">
        <v>4327</v>
      </c>
      <c r="B964" s="29" t="inlineStr">
        <is>
          <t>2019-02-27</t>
        </is>
      </c>
      <c r="C964" s="30">
        <f>HYPERLINK("https://vk.com/wall-1825701_4327", "Открыть пост")</f>
        <v/>
      </c>
      <c r="D964" s="31" t="inlineStr">
        <is>
          <t>Творческие мастер-классы и художественные студии</t>
        </is>
      </c>
      <c r="E964" s="31" t="inlineStr">
        <is>
          <t>Творческие мастер-классы и художественные студии</t>
        </is>
      </c>
      <c r="F964" s="31" t="inlineStr">
        <is>
          <t>Воспитанники ЦССВ, ДДИ и детских домов-интернатов</t>
        </is>
      </c>
      <c r="G964" s="31" t="inlineStr">
        <is>
          <t>ЦССВ «Юнона»</t>
        </is>
      </c>
      <c r="H964" s="31" t="inlineStr">
        <is>
          <t>Художественно-прикладные и ремесленные навыки; Артистические, музыкальные и спортивно-игровые навыки</t>
        </is>
      </c>
      <c r="I964" s="32" t="inlineStr">
        <is>
          <t>По формату занятия</t>
        </is>
      </c>
      <c r="J964" s="31" t="inlineStr">
        <is>
          <t>Колокольня Ивана Великого, Большой театр, ретро автомобиль, лабиринт-загадка: строим, лепим, склеиваем, думаем, как соединить, вырезаем... Артель мальчишек из ЦССВ «Юнона» плодотворна как никогда) Развивающее занятие в интернате провели Ясин, Дима и Алевтина.</t>
        </is>
      </c>
    </row>
    <row r="965" ht="30" customHeight="1">
      <c r="A965" s="23" t="n">
        <v>4325</v>
      </c>
      <c r="B965" s="24" t="inlineStr">
        <is>
          <t>2019-02-26</t>
        </is>
      </c>
      <c r="C965" s="25">
        <f>HYPERLINK("https://vk.com/wall-1825701_4325", "Открыть пост")</f>
        <v/>
      </c>
      <c r="D965" s="26" t="inlineStr">
        <is>
          <t>Спектакли, концерты и музыкально-театральные занятия</t>
        </is>
      </c>
      <c r="E965" s="26" t="inlineStr">
        <is>
          <t>Спектакли, концерты и музыкально-театральные занятия</t>
        </is>
      </c>
      <c r="F965" s="26" t="inlineStr">
        <is>
          <t>Подростки и взрослые с ментальными особенностями и ОВЗ (ПНИ / Социальные дома)</t>
        </is>
      </c>
      <c r="G965" s="26" t="inlineStr">
        <is>
          <t>Студия фонда / выездная площадка</t>
        </is>
      </c>
      <c r="H965" s="26" t="inlineStr">
        <is>
          <t>Артистические, музыкальные и спортивно-игровые навыки; Педагогические и наставнические навыки (кулинария, быт, учёба)</t>
        </is>
      </c>
      <c r="I965" s="27" t="inlineStr">
        <is>
          <t>По формату занятия</t>
        </is>
      </c>
      <c r="J965" s="26" t="inlineStr">
        <is>
          <t>Занятие для взрослых с особенностями развития из ПНИ 16 сегодня началось с концерта. Певица Виктория Зяблицкая и пианистка Майя Андреевская исполнили несколько произведений и тем вдохновили ребят на творчество в разных жанрах. Музыкальная встреча была посвящена приходу весны. В о...</t>
        </is>
      </c>
    </row>
    <row r="966" ht="30" customHeight="1">
      <c r="A966" s="28" t="n">
        <v>4321</v>
      </c>
      <c r="B966" s="29" t="inlineStr">
        <is>
          <t>2019-02-26</t>
        </is>
      </c>
      <c r="C966" s="30">
        <f>HYPERLINK("https://vk.com/wall-1825701_4321", "Открыть пост")</f>
        <v/>
      </c>
      <c r="D966" s="31" t="inlineStr">
        <is>
          <t>Творческие мастер-классы и художественные студии</t>
        </is>
      </c>
      <c r="E966" s="31" t="inlineStr">
        <is>
          <t>Творческие мастер-классы и художественные студии</t>
        </is>
      </c>
      <c r="F966" s="31" t="inlineStr">
        <is>
          <t>Подопечные фонда «Дети Марии» (общая группа детей и подростков)</t>
        </is>
      </c>
      <c r="G966" s="31" t="inlineStr">
        <is>
          <t>Студия фонда / выездная площадка</t>
        </is>
      </c>
      <c r="H966" s="31" t="inlineStr">
        <is>
          <t>Художественно-прикладные и ремесленные навыки</t>
        </is>
      </c>
      <c r="I966" s="32" t="inlineStr">
        <is>
          <t>По формату занятия</t>
        </is>
      </c>
      <c r="J966" s="31" t="inlineStr">
        <is>
          <t>Керамика для взрослых по понедельникам вечером, как всегда, проходит с аншлагом. Ещё бы, ведь работать с глиной и творить своими руками красоту — занятие благотворное для глаз и души! Хотите сделать себе подарок — приходите по понедельникам к семи вечера в студию на Дмитровском п...</t>
        </is>
      </c>
    </row>
    <row r="967" ht="30" customHeight="1">
      <c r="A967" s="23" t="n">
        <v>4316</v>
      </c>
      <c r="B967" s="24" t="inlineStr">
        <is>
          <t>2019-02-24</t>
        </is>
      </c>
      <c r="C967" s="25">
        <f>HYPERLINK("https://vk.com/wall-1825701_4316", "Открыть пост")</f>
        <v/>
      </c>
      <c r="D967" s="26" t="inlineStr">
        <is>
          <t>Выездные лагеря, дача и сезонные программы</t>
        </is>
      </c>
      <c r="E967" s="26" t="inlineStr">
        <is>
          <t>Выездные лагеря, дача и сезонные программы; Спектакли, концерты и музыкально-театральные занятия</t>
        </is>
      </c>
      <c r="F967" s="26" t="inlineStr">
        <is>
          <t>Подопечные фонда «Дети Марии» (общая группа детей и подростков)</t>
        </is>
      </c>
      <c r="G967" s="26" t="inlineStr">
        <is>
          <t>Студия фонда / выездная площадка</t>
        </is>
      </c>
      <c r="H967" s="26" t="inlineStr">
        <is>
          <t>Артистические, музыкальные и спортивно-игровые навыки; Мобильность, выездное сопровождение и автоволонтёрство</t>
        </is>
      </c>
      <c r="I967" s="27" t="inlineStr">
        <is>
          <t>По формату занятия</t>
        </is>
      </c>
      <c r="J967" s="26" t="inlineStr">
        <is>
          <t>Ни один наш лагерь не обходится без «Театра с колёс» — это любимый формат быстрой постановки спектакля, разделённого на части. Каждую часть репетирует своя команда — а вместе получается целая сказка. В этот раз — «Золотая рыбка» — немного переработанная «Сказка о рыбалке и рыбке»...</t>
        </is>
      </c>
    </row>
    <row r="968" ht="30" customHeight="1">
      <c r="A968" s="28" t="n">
        <v>4313</v>
      </c>
      <c r="B968" s="29" t="inlineStr">
        <is>
          <t>2019-02-24</t>
        </is>
      </c>
      <c r="C968" s="30">
        <f>HYPERLINK("https://vk.com/wall-1825701_4313", "Открыть пост")</f>
        <v/>
      </c>
      <c r="D968" s="31" t="inlineStr">
        <is>
          <t>Выездные лагеря, дача и сезонные программы</t>
        </is>
      </c>
      <c r="E968" s="31" t="inlineStr">
        <is>
          <t>Выездные лагеря, дача и сезонные программы</t>
        </is>
      </c>
      <c r="F968" s="31" t="inlineStr">
        <is>
          <t>Подопечные фонда «Дети Марии» (общая группа детей и подростков)</t>
        </is>
      </c>
      <c r="G968" s="31" t="inlineStr">
        <is>
          <t>Студия фонда / выездная площадка</t>
        </is>
      </c>
      <c r="H968" s="31" t="inlineStr">
        <is>
          <t>Артистические, музыкальные и спортивно-игровые навыки; Мобильность, выездное сопровождение и автоволонтёрство</t>
        </is>
      </c>
      <c r="I968" s="32" t="inlineStr">
        <is>
          <t>По формату занятия</t>
        </is>
      </c>
      <c r="J968" s="31" t="inlineStr">
        <is>
          <t>В зимнем лагере кроме лыж и сноубордов ещё катается на тюбинге. Это не требует навыков, зато сколько эмоций и удовольствия!</t>
        </is>
      </c>
    </row>
    <row r="969" ht="30" customHeight="1">
      <c r="A969" s="23" t="n">
        <v>4312</v>
      </c>
      <c r="B969" s="24" t="inlineStr">
        <is>
          <t>2019-02-23</t>
        </is>
      </c>
      <c r="C969" s="25">
        <f>HYPERLINK("https://vk.com/wall-1825701_4312", "Открыть пост")</f>
        <v/>
      </c>
      <c r="D969" s="26" t="inlineStr">
        <is>
          <t>Выездные лагеря, дача и сезонные программы</t>
        </is>
      </c>
      <c r="E969" s="26" t="inlineStr">
        <is>
          <t>Выездные лагеря, дача и сезонные программы; Творческие мастер-классы и художественные студии</t>
        </is>
      </c>
      <c r="F969" s="26" t="inlineStr">
        <is>
          <t>Воспитанники ЦССВ, ДДИ и детских домов-интернатов</t>
        </is>
      </c>
      <c r="G969" s="26" t="inlineStr">
        <is>
          <t>Студия фонда / выездная площадка</t>
        </is>
      </c>
      <c r="H969" s="26" t="inlineStr">
        <is>
          <t>Художественно-прикладные и ремесленные навыки; Артистические, музыкальные и спортивно-игровые навыки; Мобильность, выездное сопровождение и автоволонтёрство</t>
        </is>
      </c>
      <c r="I969" s="27" t="inlineStr">
        <is>
          <t>Да (в тексте)</t>
        </is>
      </c>
      <c r="J969" s="26" t="inlineStr">
        <is>
          <t>А в зимнем лагере у нас не только спорт! Вместе с детьми из Филимонок наши волонтёры вчера ездили в Дмитровский детский дом, где расписывали стену в коридоре спального корпуса. Филимоновский и Дмитровский детский дом — давние друзья. Мы тоже давно знакомы — в наши летние лагеря д...</t>
        </is>
      </c>
    </row>
    <row r="970" ht="30" customHeight="1">
      <c r="A970" s="28" t="n">
        <v>4309</v>
      </c>
      <c r="B970" s="29" t="inlineStr">
        <is>
          <t>2019-02-22</t>
        </is>
      </c>
      <c r="C970" s="30">
        <f>HYPERLINK("https://vk.com/wall-1825701_4309", "Открыть пост")</f>
        <v/>
      </c>
      <c r="D970" s="31" t="inlineStr">
        <is>
          <t>Выездные лагеря, дача и сезонные программы</t>
        </is>
      </c>
      <c r="E970" s="31" t="inlineStr">
        <is>
          <t>Выездные лагеря, дача и сезонные программы; Творческие мастер-классы и художественные студии</t>
        </is>
      </c>
      <c r="F970" s="31" t="inlineStr">
        <is>
          <t>Подростки и взрослые с ментальными особенностями и ОВЗ (ПНИ / Социальные дома); Воспитанники ЦССВ, ДДИ и детских домов-интернатов</t>
        </is>
      </c>
      <c r="G970" s="31" t="inlineStr">
        <is>
          <t>Студия фонда / выездная площадка</t>
        </is>
      </c>
      <c r="H970" s="31" t="inlineStr">
        <is>
          <t>Мобильность, выездное сопровождение и автоволонтёрство</t>
        </is>
      </c>
      <c r="I970" s="32" t="inlineStr">
        <is>
          <t>Да (в тексте)</t>
        </is>
      </c>
      <c r="J970" s="31" t="inlineStr">
        <is>
          <t>Что такое раклет, для чего служит раклетница, какое самое популярное блюдо в Швейцарии? Такой мастер-класс провела волонтёр Светлана из Швейцарии в нашем лагере для ребят из Филимонковского детского дома.</t>
        </is>
      </c>
    </row>
    <row r="971" ht="30" customHeight="1">
      <c r="A971" s="23" t="n">
        <v>4307</v>
      </c>
      <c r="B971" s="24" t="inlineStr">
        <is>
          <t>2019-02-22</t>
        </is>
      </c>
      <c r="C971" s="25">
        <f>HYPERLINK("https://vk.com/wall-1825701_4307", "Открыть пост")</f>
        <v/>
      </c>
      <c r="D971" s="26" t="inlineStr">
        <is>
          <t>Выездные лагеря, дача и сезонные программы</t>
        </is>
      </c>
      <c r="E971" s="26" t="inlineStr">
        <is>
          <t>Выездные лагеря, дача и сезонные программы</t>
        </is>
      </c>
      <c r="F971" s="26" t="inlineStr">
        <is>
          <t>Подопечные фонда «Дети Марии» (общая группа детей и подростков)</t>
        </is>
      </c>
      <c r="G971" s="26" t="inlineStr">
        <is>
          <t>Сорочанах</t>
        </is>
      </c>
      <c r="H971" s="26" t="inlineStr">
        <is>
          <t>Педагогические и наставнические навыки (кулинария, быт, учёба); Мобильность, выездное сопровождение и автоволонтёрство</t>
        </is>
      </c>
      <c r="I971" s="27" t="inlineStr">
        <is>
          <t>По формату занятия</t>
        </is>
      </c>
      <c r="J971" s="26" t="inlineStr">
        <is>
          <t>В зимнем лагере в Сорочанах катаемся и готовим обед — аппетит после катания у всех отличный!</t>
        </is>
      </c>
    </row>
    <row r="972" ht="30" customHeight="1">
      <c r="A972" s="28" t="n">
        <v>4306</v>
      </c>
      <c r="B972" s="29" t="inlineStr">
        <is>
          <t>2019-02-22</t>
        </is>
      </c>
      <c r="C972" s="30">
        <f>HYPERLINK("https://vk.com/wall-1825701_4306", "Открыть пост")</f>
        <v/>
      </c>
      <c r="D972" s="31" t="inlineStr">
        <is>
          <t>Кулинарные, образовательные и социально-бытовые занятия</t>
        </is>
      </c>
      <c r="E972" s="31" t="inlineStr">
        <is>
          <t>Кулинарные, образовательные и социально-бытовые занятия</t>
        </is>
      </c>
      <c r="F972" s="31" t="inlineStr">
        <is>
          <t>Подростки и взрослые с ментальными особенностями и ОВЗ (ПНИ / Социальные дома)</t>
        </is>
      </c>
      <c r="G972" s="31" t="inlineStr">
        <is>
          <t>Тверская 15</t>
        </is>
      </c>
      <c r="H972" s="31" t="inlineStr">
        <is>
          <t>Артистические, музыкальные и спортивно-игровые навыки; Педагогические и наставнические навыки (кулинария, быт, учёба)</t>
        </is>
      </c>
      <c r="I972" s="32" t="inlineStr">
        <is>
          <t>Да (в тексте)</t>
        </is>
      </c>
      <c r="J972" s="31" t="inlineStr">
        <is>
          <t>Необычное занятие сегодня у ребят из ПНИ 16. Смотрите, как лихо танцуют! Сегодня они «зажигали» с волонтёром Мариной, которая учила их движениям в ритме диско. Всем очень понравилось! Спасибо Марине за урок и пространству творчества и развития «Тверская 15» за площадку.</t>
        </is>
      </c>
    </row>
    <row r="973" ht="30" customHeight="1">
      <c r="A973" s="23" t="n">
        <v>4304</v>
      </c>
      <c r="B973" s="24" t="inlineStr">
        <is>
          <t>2019-02-22</t>
        </is>
      </c>
      <c r="C973" s="25">
        <f>HYPERLINK("https://vk.com/wall-1825701_4304", "Открыть пост")</f>
        <v/>
      </c>
      <c r="D973" s="26" t="inlineStr">
        <is>
          <t>Выездные лагеря, дача и сезонные программы</t>
        </is>
      </c>
      <c r="E973" s="26" t="inlineStr">
        <is>
          <t>Выездные лагеря, дача и сезонные программы; Ярмарки, фестивали и благотворительные базары; Кулинарные, образовательные и социально-бытовые занятия</t>
        </is>
      </c>
      <c r="F973" s="26" t="inlineStr">
        <is>
          <t>Подопечные фонда «Дети Марии» (общая группа детей и подростков)</t>
        </is>
      </c>
      <c r="G973" s="26" t="inlineStr">
        <is>
          <t>Студия фонда / выездная площадка</t>
        </is>
      </c>
      <c r="H973" s="26" t="inlineStr">
        <is>
          <t>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 Мобильность, выездное сопровождение и автоволонтёрство</t>
        </is>
      </c>
      <c r="I973" s="27" t="inlineStr">
        <is>
          <t>По формату занятия</t>
        </is>
      </c>
      <c r="J973" s="26" t="inlineStr">
        <is>
          <t>В первый день нашего зимнего лагеря все ребята из Филимонок и их физрук Руслан начали впервые в жизни кататься на горных лыжах. А вечером по традиции — развивающие настольные игры. Зимний лагерь проводится при поддержке Комитета общественных связей и молодёжной политики города Мо...</t>
        </is>
      </c>
    </row>
    <row r="974" ht="30" customHeight="1">
      <c r="A974" s="28" t="n">
        <v>4302</v>
      </c>
      <c r="B974" s="29" t="inlineStr">
        <is>
          <t>2019-02-21</t>
        </is>
      </c>
      <c r="C974" s="30">
        <f>HYPERLINK("https://vk.com/wall-1825701_4302", "Открыть пост")</f>
        <v/>
      </c>
      <c r="D974" s="31" t="inlineStr">
        <is>
          <t>Выездные лагеря, дача и сезонные программы</t>
        </is>
      </c>
      <c r="E974" s="31" t="inlineStr">
        <is>
          <t>Выездные лагеря, дача и сезонные программы</t>
        </is>
      </c>
      <c r="F974" s="31" t="inlineStr">
        <is>
          <t>Подопечные фонда «Дети Марии» (общая группа детей и подростков)</t>
        </is>
      </c>
      <c r="G974" s="31" t="inlineStr">
        <is>
          <t>Сорочанах</t>
        </is>
      </c>
      <c r="H974" s="31" t="inlineStr">
        <is>
          <t>Мобильность, выездное сопровождение и автоволонтёрство</t>
        </is>
      </c>
      <c r="I974" s="32" t="inlineStr">
        <is>
          <t>По формату занятия</t>
        </is>
      </c>
      <c r="J974" s="31" t="inlineStr">
        <is>
          <t>В зимнем лагере в Сорочанах делают мячики для жонглирования. И сразу начинают жонглировать!</t>
        </is>
      </c>
    </row>
    <row r="975" ht="30" customHeight="1">
      <c r="A975" s="23" t="n">
        <v>4300</v>
      </c>
      <c r="B975" s="24" t="inlineStr">
        <is>
          <t>2019-02-21</t>
        </is>
      </c>
      <c r="C975" s="25">
        <f>HYPERLINK("https://vk.com/wall-1825701_4300", "Открыть пост")</f>
        <v/>
      </c>
      <c r="D975" s="26" t="inlineStr">
        <is>
          <t>Выездные лагеря, дача и сезонные программы</t>
        </is>
      </c>
      <c r="E975" s="26" t="inlineStr">
        <is>
          <t>Выездные лагеря, дача и сезонные программы</t>
        </is>
      </c>
      <c r="F975" s="26" t="inlineStr">
        <is>
          <t>Подопечные фонда «Дети Марии» (общая группа детей и подростков)</t>
        </is>
      </c>
      <c r="G975" s="26" t="inlineStr">
        <is>
          <t>Студия фонда / выездная площадка</t>
        </is>
      </c>
      <c r="H975" s="26" t="inlineStr">
        <is>
          <t>Артистические, музыкальные и спортивно-игровые навыки; Мобильность, выездное сопровождение и автоволонтёрство</t>
        </is>
      </c>
      <c r="I975" s="27" t="inlineStr">
        <is>
          <t>По формату занятия</t>
        </is>
      </c>
      <c r="J975" s="26" t="inlineStr">
        <is>
          <t>В зимнем лагере Руслан, физрук из Филимонок, научил ребят новой игре «100», для которой нужен только кубик, ручка и листик бумаги. Страсти разгорелись нешуточные!</t>
        </is>
      </c>
    </row>
    <row r="976" ht="30" customHeight="1">
      <c r="A976" s="28" t="n">
        <v>4298</v>
      </c>
      <c r="B976" s="29" t="inlineStr">
        <is>
          <t>2019-02-21</t>
        </is>
      </c>
      <c r="C976" s="30">
        <f>HYPERLINK("https://vk.com/wall-1825701_4298", "Открыть пост")</f>
        <v/>
      </c>
      <c r="D976" s="31" t="inlineStr">
        <is>
          <t>Выездные лагеря, дача и сезонные программы</t>
        </is>
      </c>
      <c r="E976" s="31" t="inlineStr">
        <is>
          <t>Выездные лагеря, дача и сезонные программы</t>
        </is>
      </c>
      <c r="F976" s="31" t="inlineStr">
        <is>
          <t>Подопечные фонда «Дети Марии» (общая группа детей и подростков)</t>
        </is>
      </c>
      <c r="G976" s="31" t="inlineStr">
        <is>
          <t>Сорочанах</t>
        </is>
      </c>
      <c r="H976" s="31" t="inlineStr">
        <is>
          <t>Мобильность, выездное сопровождение и автоволонтёрство</t>
        </is>
      </c>
      <c r="I976" s="32" t="inlineStr">
        <is>
          <t>По формату занятия</t>
        </is>
      </c>
      <c r="J976" s="31" t="inlineStr">
        <is>
          <t>В Сорочанах в нашем зимнем лагере сразу после завтрака начинаем осваивать склоны. Дети из Филимонок полны решимости и энтузиазма, а склоны полны снега, так что нас ждёт отличное катание!</t>
        </is>
      </c>
    </row>
    <row r="977" ht="30" customHeight="1">
      <c r="A977" s="23" t="n">
        <v>4296</v>
      </c>
      <c r="B977" s="24" t="inlineStr">
        <is>
          <t>2019-02-21</t>
        </is>
      </c>
      <c r="C977" s="25">
        <f>HYPERLINK("https://vk.com/wall-1825701_4296", "Открыть пост")</f>
        <v/>
      </c>
      <c r="D977" s="26" t="inlineStr">
        <is>
          <t>Творческие мастер-классы и художественные студии</t>
        </is>
      </c>
      <c r="E977" s="26" t="inlineStr">
        <is>
          <t>Творческие мастер-классы и художественные студии</t>
        </is>
      </c>
      <c r="F977" s="26" t="inlineStr">
        <is>
          <t>Подопечные фонда «Дети Марии» (общая группа детей и подростков)</t>
        </is>
      </c>
      <c r="G977" s="26" t="inlineStr">
        <is>
          <t>Студия фонда / выездная площадка</t>
        </is>
      </c>
      <c r="H977" s="26" t="inlineStr">
        <is>
          <t>Художественно-прикладные и ремесленные навыки</t>
        </is>
      </c>
      <c r="I977" s="27" t="inlineStr">
        <is>
          <t>По формату занятия</t>
        </is>
      </c>
      <c r="J977" s="26" t="inlineStr">
        <is>
          <t>На занятиях рисованием для взрослых вчера рисовали гипсовые шары. По всем канонам академического рисунка. Быть, может, провожаем зиму, ведь белые шары так похожи на снежки? Приглашаем всех желающих научиться рисовать на наши занятия по средам с 19 часов.</t>
        </is>
      </c>
    </row>
    <row r="978" ht="30" customHeight="1">
      <c r="A978" s="28" t="n">
        <v>4294</v>
      </c>
      <c r="B978" s="29" t="inlineStr">
        <is>
          <t>2019-02-21</t>
        </is>
      </c>
      <c r="C978" s="30">
        <f>HYPERLINK("https://vk.com/wall-1825701_4294", "Открыть пост")</f>
        <v/>
      </c>
      <c r="D978" s="31" t="inlineStr">
        <is>
          <t>Выездные лагеря, дача и сезонные программы</t>
        </is>
      </c>
      <c r="E978" s="31" t="inlineStr">
        <is>
          <t>Выездные лагеря, дача и сезонные программы</t>
        </is>
      </c>
      <c r="F978" s="31" t="inlineStr">
        <is>
          <t>Подопечные фонда «Дети Марии» (общая группа детей и подростков)</t>
        </is>
      </c>
      <c r="G978" s="31" t="inlineStr">
        <is>
          <t>Сорочанах</t>
        </is>
      </c>
      <c r="H978" s="31" t="inlineStr">
        <is>
          <t>Артистические, музыкальные и спортивно-игровые навыки; Педагогические и наставнические навыки (кулинария, быт, учёба); Мобильность, выездное сопровождение и автоволонтёрство</t>
        </is>
      </c>
      <c r="I978" s="32" t="inlineStr">
        <is>
          <t>По формату занятия</t>
        </is>
      </c>
      <c r="J978" s="31" t="inlineStr">
        <is>
          <t>Сегодня начинается наш традиционный зимний лагерь в Сорочанах. В этом году осваивать горные лыжи будут мальчишки и девчонки из Филимонок. А также учиться готовить. Первый ужин и первый инструктаж.</t>
        </is>
      </c>
    </row>
    <row r="979" ht="30" customHeight="1">
      <c r="A979" s="23" t="n">
        <v>4291</v>
      </c>
      <c r="B979" s="24" t="inlineStr">
        <is>
          <t>2019-02-19</t>
        </is>
      </c>
      <c r="C979" s="25">
        <f>HYPERLINK("https://vk.com/wall-1825701_4291", "Открыть пост")</f>
        <v/>
      </c>
      <c r="D979" s="26" t="inlineStr">
        <is>
          <t>Спектакли, концерты и музыкально-театральные занятия</t>
        </is>
      </c>
      <c r="E979" s="26" t="inlineStr">
        <is>
          <t>Спектакли, концерты и музыкально-театральные занятия</t>
        </is>
      </c>
      <c r="F979" s="26" t="inlineStr">
        <is>
          <t>Подростки и взрослые с ментальными особенностями и ОВЗ (ПНИ / Социальные дома)</t>
        </is>
      </c>
      <c r="G979" s="26" t="inlineStr">
        <is>
          <t>Тверская 15</t>
        </is>
      </c>
      <c r="H979" s="26" t="inlineStr">
        <is>
          <t>Коммуникативные навыки, эмпатия и тьюторское сопровождение; Артистические, музыкальные и спортивно-игровые навыки</t>
        </is>
      </c>
      <c r="I979" s="27" t="inlineStr">
        <is>
          <t>По формату занятия</t>
        </is>
      </c>
      <c r="J979" s="26" t="inlineStr">
        <is>
          <t>Сегодня ребята из ПНИ 16 приехали на занятие, а попали в театр! Трогательный и красивый спектакль «Томасина» показали нам дети и взрослые из Школы Святого Георгия Победоносца. История о любви и дружбе, о людях и животных отозвалась каждому. Спасибо вам, друзья! Спасибо творческом...</t>
        </is>
      </c>
    </row>
    <row r="980" ht="30" customHeight="1">
      <c r="A980" s="28" t="n">
        <v>4290</v>
      </c>
      <c r="B980" s="29" t="inlineStr">
        <is>
          <t>2019-02-19</t>
        </is>
      </c>
      <c r="C980" s="30">
        <f>HYPERLINK("https://vk.com/wall-1825701_4290", "Открыть пост")</f>
        <v/>
      </c>
      <c r="D980" s="31" t="inlineStr">
        <is>
          <t>Творческие мастер-классы и художественные студии</t>
        </is>
      </c>
      <c r="E980" s="31" t="inlineStr">
        <is>
          <t>Творческие мастер-классы и художественные студии</t>
        </is>
      </c>
      <c r="F980" s="31" t="inlineStr">
        <is>
          <t>Подопечные фонда «Дети Марии» (общая группа детей и подростков)</t>
        </is>
      </c>
      <c r="G980" s="31" t="inlineStr">
        <is>
          <t>Студия фонда / выездная площадка</t>
        </is>
      </c>
      <c r="H980" s="31" t="inlineStr">
        <is>
          <t>Художественно-прикладные и ремесленные навыки</t>
        </is>
      </c>
      <c r="I980" s="32" t="inlineStr">
        <is>
          <t>По формату занятия</t>
        </is>
      </c>
      <c r="J980" s="31" t="inlineStr">
        <is>
          <t>Каждый понедельник в студии вечером керамика для взрослых. Сегодня не было определенной темы, лепили и расписывали в своё удовольствие – подсвечник, тарелочки, стилизованные под фрукты и рыбку, изразцы и даже турку! Понедельник– день тяжёлый. Очень приятно закончить его творчески...</t>
        </is>
      </c>
    </row>
    <row r="981" ht="30" customHeight="1">
      <c r="A981" s="23" t="n">
        <v>4288</v>
      </c>
      <c r="B981" s="24" t="inlineStr">
        <is>
          <t>2019-02-19</t>
        </is>
      </c>
      <c r="C981" s="25">
        <f>HYPERLINK("https://vk.com/wall-1825701_4288", "Открыть пост")</f>
        <v/>
      </c>
      <c r="D981" s="26" t="inlineStr">
        <is>
          <t>Творческие мастер-классы и художественные студии</t>
        </is>
      </c>
      <c r="E981" s="26" t="inlineStr">
        <is>
          <t>Творческие мастер-классы и художественные студии</t>
        </is>
      </c>
      <c r="F981" s="26" t="inlineStr">
        <is>
          <t>Подростки и взрослые с ментальными особенностями и ОВЗ (ПНИ / Социальные дома); Воспитанники ЦССВ, ДДИ и детских домов-интернатов</t>
        </is>
      </c>
      <c r="G981" s="26" t="inlineStr">
        <is>
          <t>ЦССВ «Юнона»</t>
        </is>
      </c>
      <c r="H981" s="26" t="inlineStr">
        <is>
          <t>Художественно-прикладные и ремесленные навыки</t>
        </is>
      </c>
      <c r="I981" s="27" t="inlineStr">
        <is>
          <t>По формату занятия</t>
        </is>
      </c>
      <c r="J981" s="26" t="inlineStr">
        <is>
          <t>Вика Косякова и её маленький сын Лука помогали сегодня в занятиях с детьми из ЦССВ «Юнона». Кажется, Луке удалось то, что не удавалось взрослым — увлечь рисованием девочку с особенностями развития, которая недавно начала приезжать в студию и пока никак не включалась в занятия. Не...</t>
        </is>
      </c>
    </row>
    <row r="982" ht="30" customHeight="1">
      <c r="A982" s="28" t="n">
        <v>4286</v>
      </c>
      <c r="B982" s="29" t="inlineStr">
        <is>
          <t>2019-02-18</t>
        </is>
      </c>
      <c r="C982" s="30">
        <f>HYPERLINK("https://vk.com/wall-1825701_4286", "Открыть пост")</f>
        <v/>
      </c>
      <c r="D982" s="31" t="inlineStr">
        <is>
          <t>Творческие мастер-классы и художественные студии</t>
        </is>
      </c>
      <c r="E982" s="31" t="inlineStr">
        <is>
          <t>Творческие мастер-классы и художественные студии</t>
        </is>
      </c>
      <c r="F982" s="31" t="inlineStr">
        <is>
          <t>Подопечные фонда «Дети Марии» (общая группа детей и подростков)</t>
        </is>
      </c>
      <c r="G982" s="31" t="inlineStr">
        <is>
          <t>Студия фонда / выездная площадка</t>
        </is>
      </c>
      <c r="H982" s="31" t="inlineStr">
        <is>
          <t>Художественно-прикладные и ремесленные навыки; Артистические, музыкальные и спортивно-игровые навыки</t>
        </is>
      </c>
      <c r="I982" s="32" t="inlineStr">
        <is>
          <t>По формату занятия</t>
        </is>
      </c>
      <c r="J982" s="31" t="inlineStr">
        <is>
          <t>Очень популярным в эти выходные был музыкальный класс. Тем более, что петь можно, не отвлекаясь от рукоделия! На занятиях дети из Тверского и других районов Москвы.</t>
        </is>
      </c>
    </row>
    <row r="983" ht="30" customHeight="1">
      <c r="A983" s="23" t="n">
        <v>4285</v>
      </c>
      <c r="B983" s="24" t="inlineStr">
        <is>
          <t>2019-02-18</t>
        </is>
      </c>
      <c r="C983" s="25">
        <f>HYPERLINK("https://vk.com/wall-1825701_4285", "Открыть пост")</f>
        <v/>
      </c>
      <c r="D983" s="26" t="inlineStr">
        <is>
          <t>Творческие мастер-классы и художественные студии</t>
        </is>
      </c>
      <c r="E983" s="26" t="inlineStr">
        <is>
          <t>Творческие мастер-классы и художественные студии</t>
        </is>
      </c>
      <c r="F983" s="26" t="inlineStr">
        <is>
          <t>Подопечные фонда «Дети Марии» (общая группа детей и подростков)</t>
        </is>
      </c>
      <c r="G983" s="26" t="inlineStr">
        <is>
          <t>Студия фонда / выездная площадка</t>
        </is>
      </c>
      <c r="H983" s="26" t="inlineStr">
        <is>
          <t>Коммуникативные навыки, эмпатия и тьюторское сопровождение</t>
        </is>
      </c>
      <c r="I983" s="27" t="inlineStr">
        <is>
          <t>По формату занятия</t>
        </is>
      </c>
      <c r="J983" s="26" t="inlineStr">
        <is>
          <t>В субботу и воскресенье занятия для детей из Тверского и других районов, а также их родителей. Картина про Тайланд близка к завершению. Летим лисичку, валяем самые разные фигуры — сердечко, котики, мышки, рыбки и рыбины, и даже куколка, и платье для куколки! Малыши пока рисуют на...</t>
        </is>
      </c>
    </row>
    <row r="984" ht="30" customHeight="1">
      <c r="A984" s="28" t="n">
        <v>4284</v>
      </c>
      <c r="B984" s="29" t="inlineStr">
        <is>
          <t>2019-02-17</t>
        </is>
      </c>
      <c r="C984" s="30">
        <f>HYPERLINK("https://vk.com/wall-1825701_4284", "Открыть пост")</f>
        <v/>
      </c>
      <c r="D984" s="31" t="inlineStr">
        <is>
          <t>Творческие мастер-классы и художественные студии</t>
        </is>
      </c>
      <c r="E984" s="31" t="inlineStr">
        <is>
          <t>Творческие мастер-классы и художественные студии; Выездные лагеря, дача и сезонные программы</t>
        </is>
      </c>
      <c r="F984" s="31" t="inlineStr">
        <is>
          <t>Воспитанники ЦССВ, ДДИ и детских домов-интернатов; Выпускники интернатов и детских домов (молодые взрослые)</t>
        </is>
      </c>
      <c r="G984" s="31" t="inlineStr">
        <is>
          <t>Студия фонда / выездная площадка</t>
        </is>
      </c>
      <c r="H984" s="31" t="inlineStr">
        <is>
          <t>Художественно-прикладные и ремесленные навыки; Коммуникативные навыки, эмпатия и тьюторское сопровождение; Организационные, ивент- и ярмарочные навыки; Мобильность, выездное сопровождение и автоволонтёрство</t>
        </is>
      </c>
      <c r="I984" s="32" t="inlineStr">
        <is>
          <t>По формату занятия</t>
        </is>
      </c>
      <c r="J984" s="31" t="inlineStr">
        <is>
          <t>14 февраля мы участвовали в конференции «Открытое пространство: диалог для взаимодействия центров содействия семейному воспитанию города Москвы и социально ориентированных некоммерческих организаций». На встрече представителей ЦССВ (то есть интернатов и детских домов) и НКО, кото...</t>
        </is>
      </c>
    </row>
    <row r="985" ht="30" customHeight="1">
      <c r="A985" s="23" t="n">
        <v>4282</v>
      </c>
      <c r="B985" s="24" t="inlineStr">
        <is>
          <t>2019-02-17</t>
        </is>
      </c>
      <c r="C985" s="25">
        <f>HYPERLINK("https://vk.com/wall-1825701_4282", "Открыть пост")</f>
        <v/>
      </c>
      <c r="D985" s="26" t="inlineStr">
        <is>
          <t>Творческие мастер-классы и художественные студии</t>
        </is>
      </c>
      <c r="E985" s="26" t="inlineStr">
        <is>
          <t>Творческие мастер-классы и художественные студии; Ярмарки, фестивали и благотворительные базары; Выставки, экскурсии и культурные выходы; Кулинарные, образовательные и социально-бытовые занятия</t>
        </is>
      </c>
      <c r="F985" s="26" t="inlineStr">
        <is>
          <t>Подопечные фонда «Дети Марии» (общая группа детей и подростков)</t>
        </is>
      </c>
      <c r="G985" s="26" t="inlineStr">
        <is>
          <t>Тверская 15</t>
        </is>
      </c>
      <c r="H985" s="26" t="inlineStr">
        <is>
          <t>Художественно-прикладные и ремесленные навыки; Организационные, ивент- и ярмарочные навыки</t>
        </is>
      </c>
      <c r="I985" s="27" t="inlineStr">
        <is>
          <t>По формату занятия</t>
        </is>
      </c>
      <c r="J985" s="26" t="inlineStr">
        <is>
          <t>13 февраля дети из Художественного центра «Дети Марии» в Пространстве творчества и развития «Тверская 15» участвовали в занимательном семинаре. Владельцы московского bespoke-ателье Bourbaki и их итальянский друг, знаток стиля – Джакомо Аугульяро, простым и образным языком рассказ...</t>
        </is>
      </c>
    </row>
    <row r="986" ht="30" customHeight="1">
      <c r="A986" s="28" t="n">
        <v>4275</v>
      </c>
      <c r="B986" s="29" t="inlineStr">
        <is>
          <t>2019-02-15</t>
        </is>
      </c>
      <c r="C986" s="30">
        <f>HYPERLINK("https://vk.com/wall-1825701_4275", "Открыть пост")</f>
        <v/>
      </c>
      <c r="D986" s="31" t="inlineStr">
        <is>
          <t>Кулинарные, образовательные и социально-бытовые занятия</t>
        </is>
      </c>
      <c r="E986" s="31" t="inlineStr">
        <is>
          <t>Кулинарные, образовательные и социально-бытовые занятия; Творческие мастер-классы и художественные студии</t>
        </is>
      </c>
      <c r="F986" s="31" t="inlineStr">
        <is>
          <t>Подопечные фонда «Дети Марии» (общая группа детей и подростков)</t>
        </is>
      </c>
      <c r="G986" s="31" t="inlineStr">
        <is>
          <t>Студия фонда / выездная площадка</t>
        </is>
      </c>
      <c r="H986" s="31" t="inlineStr">
        <is>
          <t>Педагогические и наставнические навыки (кулинария, быт, учёба)</t>
        </is>
      </c>
      <c r="I986" s="32" t="inlineStr">
        <is>
          <t>По формату занятия</t>
        </is>
      </c>
      <c r="J986" s="31" t="inlineStr">
        <is>
          <t>Три кулинарных мастер-класса одновременно вчера вечером в студии на Дмитровке! Ilya Zemlinsky готовил с ребятами фаршированную рыбу (гефилте фиш) по книге рецептов своей бабушки Софьи Львовны Волож. Maria Eliseeva — салат с рукколой, козьим сыром и кедровыми орехами, Александр Шу...</t>
        </is>
      </c>
    </row>
    <row r="987" ht="30" customHeight="1">
      <c r="A987" s="23" t="n">
        <v>4272</v>
      </c>
      <c r="B987" s="24" t="inlineStr">
        <is>
          <t>2019-02-14</t>
        </is>
      </c>
      <c r="C987" s="25">
        <f>HYPERLINK("https://vk.com/wall-1825701_4272", "Открыть пост")</f>
        <v/>
      </c>
      <c r="D987" s="26" t="inlineStr">
        <is>
          <t>Творческие мастер-классы и художественные студии</t>
        </is>
      </c>
      <c r="E987" s="26" t="inlineStr">
        <is>
          <t>Творческие мастер-классы и художественные студии</t>
        </is>
      </c>
      <c r="F987" s="26" t="inlineStr">
        <is>
          <t>Подопечные фонда «Дети Марии» (общая группа детей и подростков)</t>
        </is>
      </c>
      <c r="G987" s="26" t="inlineStr">
        <is>
          <t>Студия фонда / выездная площадка</t>
        </is>
      </c>
      <c r="H987" s="26" t="inlineStr">
        <is>
          <t>Художественно-прикладные и ремесленные навыки; Педагогические и наставнические навыки (кулинария, быт, учёба)</t>
        </is>
      </c>
      <c r="I987" s="27" t="inlineStr">
        <is>
          <t>По формату занятия</t>
        </is>
      </c>
      <c r="J987" s="26" t="inlineStr">
        <is>
          <t>У природы, как известно, нет плохой погоды, и для художников каждая погода — благодать. Соцсети полны фоток заснеженной Москвы, это вдохновило преподавателя Нюсю Митину задать в среду на рисовании для взрослых тему снегопада. Поговорили о равновесии в композиции и колорите — снег...</t>
        </is>
      </c>
    </row>
    <row r="988" ht="30" customHeight="1">
      <c r="A988" s="28" t="n">
        <v>4266</v>
      </c>
      <c r="B988" s="29" t="inlineStr">
        <is>
          <t>2019-02-12</t>
        </is>
      </c>
      <c r="C988" s="30">
        <f>HYPERLINK("https://vk.com/wall-1825701_4266", "Открыть пост")</f>
        <v/>
      </c>
      <c r="D988" s="31" t="inlineStr">
        <is>
          <t>Выставки, экскурсии и культурные выходы</t>
        </is>
      </c>
      <c r="E988" s="31" t="inlineStr">
        <is>
          <t>Выставки, экскурсии и культурные выходы</t>
        </is>
      </c>
      <c r="F988" s="31" t="inlineStr">
        <is>
          <t>Подростки и взрослые с ментальными особенностями и ОВЗ (ПНИ / Социальные дома)</t>
        </is>
      </c>
      <c r="G988" s="31" t="inlineStr">
        <is>
          <t>Студия фонда / выездная площадка</t>
        </is>
      </c>
      <c r="H988" s="31" t="inlineStr">
        <is>
          <t>Мобильность, выездное сопровождение и автоволонтёрство; Медиа, фото/видеосъёмка и культурная медиация</t>
        </is>
      </c>
      <c r="I988" s="32" t="inlineStr">
        <is>
          <t>По формату занятия</t>
        </is>
      </c>
      <c r="J988" s="31" t="inlineStr">
        <is>
          <t>Ребята из 16 ПНИ съездили в ЦДХ на выставку «Первозданная Россия». Познакомились с флорой и фауной нашей огромной Родины. Ира Чёрненькая проводила экскурсию, рассказывала про особенности и разнообразие животного мира. Каждый выбрал свое любимое животное. Вася первым делом находил...</t>
        </is>
      </c>
    </row>
    <row r="989" ht="30" customHeight="1">
      <c r="A989" s="23" t="n">
        <v>4264</v>
      </c>
      <c r="B989" s="24" t="inlineStr">
        <is>
          <t>2019-02-12</t>
        </is>
      </c>
      <c r="C989" s="25">
        <f>HYPERLINK("https://vk.com/wall-1825701_4264", "Открыть пост")</f>
        <v/>
      </c>
      <c r="D989" s="26" t="inlineStr">
        <is>
          <t>Творческие мастер-классы и художественные студии</t>
        </is>
      </c>
      <c r="E989" s="26" t="inlineStr">
        <is>
          <t>Творческие мастер-классы и художественные студии; Кулинарные, образовательные и социально-бытовые занятия</t>
        </is>
      </c>
      <c r="F989" s="26" t="inlineStr">
        <is>
          <t>Подопечные фонда «Дети Марии» (общая группа детей и подростков)</t>
        </is>
      </c>
      <c r="G989" s="26" t="inlineStr">
        <is>
          <t>ТВЕРСКАЯ 15</t>
        </is>
      </c>
      <c r="H989" s="26" t="inlineStr">
        <is>
          <t>Художественно-прикладные и ремесленные навыки; Педагогические и наставнические навыки (кулинария, быт, учёба)</t>
        </is>
      </c>
      <c r="I989" s="27" t="inlineStr">
        <is>
          <t>Да (в тексте)</t>
        </is>
      </c>
      <c r="J989" s="26" t="inlineStr">
        <is>
          <t>13 февраля 16:30 - 18:30 Художественный центр «Дети Марии» и Творческое пространство «ТВЕРСКАЯ 15» приглашают детей 8-12 лет прийти на занимательную лекцию и мастер-класс по текстильной аппликации. В программе: интерактивная презентация о тканях, демонстрация цветовых сочетаний и...</t>
        </is>
      </c>
    </row>
    <row r="990" ht="30" customHeight="1">
      <c r="A990" s="28" t="n">
        <v>4261</v>
      </c>
      <c r="B990" s="29" t="inlineStr">
        <is>
          <t>2019-02-11</t>
        </is>
      </c>
      <c r="C990" s="30">
        <f>HYPERLINK("https://vk.com/wall-1825701_4261", "Открыть пост")</f>
        <v/>
      </c>
      <c r="D990" s="31" t="inlineStr">
        <is>
          <t>Творческие мастер-классы и художественные студии</t>
        </is>
      </c>
      <c r="E990" s="31" t="inlineStr">
        <is>
          <t>Творческие мастер-классы и художественные студии</t>
        </is>
      </c>
      <c r="F990" s="31" t="inlineStr">
        <is>
          <t>Подопечные фонда «Дети Марии» (общая группа детей и подростков)</t>
        </is>
      </c>
      <c r="G990" s="31" t="inlineStr">
        <is>
          <t>Студия фонда / выездная площадка</t>
        </is>
      </c>
      <c r="H990" s="31" t="inlineStr">
        <is>
          <t>Художественно-прикладные и ремесленные навыки; Коммуникативные навыки, эмпатия и тьюторское сопровождение</t>
        </is>
      </c>
      <c r="I990" s="32" t="inlineStr">
        <is>
          <t>По формату занятия</t>
        </is>
      </c>
      <c r="J990" s="31" t="inlineStr">
        <is>
          <t>В воскресенье в студии на Б.Дмитровке продолжились занятия в семейном формате. Лепим и расписываем керамику, рисуем коллективную картину про зиму, валяем яркие фигурки из шерсти, поём и развиваем чувство ритма. И попутно делимся друг с другом историями жизни. Самая большая роскош...</t>
        </is>
      </c>
    </row>
    <row r="991" ht="30" customHeight="1">
      <c r="A991" s="23" t="n">
        <v>4259</v>
      </c>
      <c r="B991" s="24" t="inlineStr">
        <is>
          <t>2019-02-10</t>
        </is>
      </c>
      <c r="C991" s="25">
        <f>HYPERLINK("https://vk.com/wall-1825701_4259", "Открыть пост")</f>
        <v/>
      </c>
      <c r="D991" s="26" t="inlineStr">
        <is>
          <t>Спортивные и активные мероприятия</t>
        </is>
      </c>
      <c r="E991" s="26" t="inlineStr">
        <is>
          <t>Спортивные и активные мероприятия; Творческие мастер-классы и художественные студии</t>
        </is>
      </c>
      <c r="F991" s="26" t="inlineStr">
        <is>
          <t>Подростки и взрослые с ментальными особенностями и ОВЗ (ПНИ / Социальные дома)</t>
        </is>
      </c>
      <c r="G991" s="26" t="inlineStr">
        <is>
          <t>Студия фонда / выездная площадка</t>
        </is>
      </c>
      <c r="H991" s="26" t="inlineStr">
        <is>
          <t>Художественно-прикладные и ремесленные навыки; Артистические, музыкальные и спортивно-игровые навыки; Педагогические и наставнические навыки (кулинария, быт, учёба); Мобильность, выездное сопровождение и автоволонтёрство</t>
        </is>
      </c>
      <c r="I991" s="27" t="inlineStr">
        <is>
          <t>Да (в тексте)</t>
        </is>
      </c>
      <c r="J991" s="26" t="inlineStr">
        <is>
          <t>Суббота. ПНИ 16. Наша банда не такая большая. Всего восемь человек. Сегодня хочется написать про Вову Маркина. Вова обожает машины, у него целая коллекция, покупает через интернет. И одежду. Чёрные футболки с яркими принтами. Ездит к друзьям. И все бы хорошо, только Вовка почти н...</t>
        </is>
      </c>
    </row>
    <row r="992" ht="30" customHeight="1">
      <c r="A992" s="28" t="n">
        <v>4257</v>
      </c>
      <c r="B992" s="29" t="inlineStr">
        <is>
          <t>2019-02-10</t>
        </is>
      </c>
      <c r="C992" s="30">
        <f>HYPERLINK("https://vk.com/wall-1825701_4257", "Открыть пост")</f>
        <v/>
      </c>
      <c r="D992" s="31" t="inlineStr">
        <is>
          <t>Выставки, экскурсии и культурные выходы</t>
        </is>
      </c>
      <c r="E992" s="31" t="inlineStr">
        <is>
          <t>Выставки, экскурсии и культурные выходы; Праздники, дни рождения и клубные встречи; Творческие мастер-классы и художественные студии</t>
        </is>
      </c>
      <c r="F992" s="31" t="inlineStr">
        <is>
          <t>Подопечные фонда «Дети Марии» (общая группа детей и подростков)</t>
        </is>
      </c>
      <c r="G992" s="31" t="inlineStr">
        <is>
          <t>Студия фонда / выездная площадка</t>
        </is>
      </c>
      <c r="H992" s="31" t="inlineStr">
        <is>
          <t>Художественно-прикладные и ремесленные навыки; Педагогические и наставнические навыки (кулинария, быт, учёба); Организационные, ивент- и ярмарочные навыки</t>
        </is>
      </c>
      <c r="I992" s="32" t="inlineStr">
        <is>
          <t>По формату занятия</t>
        </is>
      </c>
      <c r="J992" s="31" t="inlineStr">
        <is>
          <t>Рассказывает преподаватель Наталья Лясс: — Недавно Алексей Строев — сейчас сотрудник, а прежде воспитанник нашей студии закончил длительную работу — он соткал гобелен! Вначале был сделан рисунок — эскиз. Затем определили цвета будущего ковра, поехали в магазин, где вместе с Лёшей...</t>
        </is>
      </c>
    </row>
    <row r="993" ht="30" customHeight="1">
      <c r="A993" s="23" t="n">
        <v>4255</v>
      </c>
      <c r="B993" s="24" t="inlineStr">
        <is>
          <t>2019-02-09</t>
        </is>
      </c>
      <c r="C993" s="25">
        <f>HYPERLINK("https://vk.com/wall-1825701_4255", "Открыть пост")</f>
        <v/>
      </c>
      <c r="D993" s="26" t="inlineStr">
        <is>
          <t>Творческие мастер-классы и художественные студии</t>
        </is>
      </c>
      <c r="E993" s="26" t="inlineStr">
        <is>
          <t>Творческие мастер-классы и художественные студии</t>
        </is>
      </c>
      <c r="F993" s="26" t="inlineStr">
        <is>
          <t>Подростки и взрослые с ментальными особенностями и ОВЗ (ПНИ / Социальные дома)</t>
        </is>
      </c>
      <c r="G993" s="26" t="inlineStr">
        <is>
          <t>Студия фонда / выездная площадка</t>
        </is>
      </c>
      <c r="H993" s="26" t="inlineStr">
        <is>
          <t>Художественно-прикладные и ремесленные навыки</t>
        </is>
      </c>
      <c r="I993" s="27" t="inlineStr">
        <is>
          <t>Да (в тексте)</t>
        </is>
      </c>
      <c r="J993" s="26" t="inlineStr">
        <is>
          <t>Творческим и разнообразным получилось занятие Ясина в 16 ПНИ. Кто крокодилов лепил, кто открытки делал, а кто-то нафоткал кадров для мультфильма. Спасибо большое за помощь нашему волонтёру Алевтине!</t>
        </is>
      </c>
    </row>
    <row r="994" ht="30" customHeight="1">
      <c r="A994" s="28" t="n">
        <v>4254</v>
      </c>
      <c r="B994" s="29" t="inlineStr">
        <is>
          <t>2019-02-08</t>
        </is>
      </c>
      <c r="C994" s="30">
        <f>HYPERLINK("https://vk.com/wall-1825701_4254", "Открыть пост")</f>
        <v/>
      </c>
      <c r="D994" s="31" t="inlineStr">
        <is>
          <t>Выездные лагеря, дача и сезонные программы</t>
        </is>
      </c>
      <c r="E994" s="31" t="inlineStr">
        <is>
          <t>Выездные лагеря, дача и сезонные программы</t>
        </is>
      </c>
      <c r="F994" s="31" t="inlineStr">
        <is>
          <t>Широкая аудитория, гости и благотворители (открытые события)</t>
        </is>
      </c>
      <c r="G994" s="31" t="inlineStr">
        <is>
          <t>Студия фонда / выездная площадка</t>
        </is>
      </c>
      <c r="H994" s="31" t="inlineStr">
        <is>
          <t>Коммуникативные навыки, эмпатия и тьюторское сопровождение; Артистические, музыкальные и спортивно-игровые навыки</t>
        </is>
      </c>
      <c r="I994" s="32" t="inlineStr">
        <is>
          <t>По формату занятия</t>
        </is>
      </c>
      <c r="J994" s="31" t="inlineStr">
        <is>
          <t>Чтобы попеть песни у костра, необязательно ждать лета или мёрзнуть в зимнем лесу. В пятницу, 15 февраля, в 19:00 музыкант Александр Шишов в студии на Большой Дмитровке, дом 10/2 продолжает цикл вечеров по истории авторской песни. Тема вечера — «Люди идут по свету». Приглашаем все...</t>
        </is>
      </c>
    </row>
    <row r="995" ht="30" customHeight="1">
      <c r="A995" s="23" t="n">
        <v>4253</v>
      </c>
      <c r="B995" s="24" t="inlineStr">
        <is>
          <t>2019-02-08</t>
        </is>
      </c>
      <c r="C995" s="25">
        <f>HYPERLINK("https://vk.com/wall-1825701_4253", "Открыть пост")</f>
        <v/>
      </c>
      <c r="D995" s="26" t="inlineStr">
        <is>
          <t>Творческие мастер-классы и художественные студии</t>
        </is>
      </c>
      <c r="E995" s="26" t="inlineStr">
        <is>
          <t>Творческие мастер-классы и художественные студии</t>
        </is>
      </c>
      <c r="F995" s="26" t="inlineStr">
        <is>
          <t>Подростки и взрослые с ментальными особенностями и ОВЗ (ПНИ / Социальные дома)</t>
        </is>
      </c>
      <c r="G995" s="26" t="inlineStr">
        <is>
          <t>Студия фонда / выездная площадка</t>
        </is>
      </c>
      <c r="H995" s="26" t="inlineStr">
        <is>
          <t>Художественно-прикладные и ремесленные навыки; Мобильность, выездное сопровождение и автоволонтёрство</t>
        </is>
      </c>
      <c r="I995" s="27" t="inlineStr">
        <is>
          <t>Да (в тексте)</t>
        </is>
      </c>
      <c r="J995" s="26" t="inlineStr">
        <is>
          <t>Второе занятие проходило уже в самом ПНИ 16, класс полон, привезли Машу Орехову на коляске. Рисовали все! Поздравляли Валю Ляховскую и волонтёра Ирину с выходом их совместной книги — да, Валя своими картинами вдохновила Ирину на цикл стихов и издание книги!</t>
        </is>
      </c>
    </row>
    <row r="996" ht="30" customHeight="1">
      <c r="A996" s="28" t="n">
        <v>4245</v>
      </c>
      <c r="B996" s="29" t="inlineStr">
        <is>
          <t>2019-02-07</t>
        </is>
      </c>
      <c r="C996" s="30">
        <f>HYPERLINK("https://vk.com/wall-1825701_4245", "Открыть пост")</f>
        <v/>
      </c>
      <c r="D996" s="31" t="inlineStr">
        <is>
          <t>Творческие мастер-классы и художественные студии</t>
        </is>
      </c>
      <c r="E996" s="31" t="inlineStr">
        <is>
          <t>Творческие мастер-классы и художественные студии; Выездные лагеря, дача и сезонные программы</t>
        </is>
      </c>
      <c r="F996" s="31" t="inlineStr">
        <is>
          <t>Подопечные фонда «Дети Марии» (общая группа детей и подростков)</t>
        </is>
      </c>
      <c r="G996" s="31" t="inlineStr">
        <is>
          <t>Студия фонда / выездная площадка</t>
        </is>
      </c>
      <c r="H996" s="31" t="inlineStr">
        <is>
          <t>Художественно-прикладные и ремесленные навыки</t>
        </is>
      </c>
      <c r="I996" s="32" t="inlineStr">
        <is>
          <t>По формату занятия</t>
        </is>
      </c>
      <c r="J996" s="31" t="inlineStr">
        <is>
          <t>Лепить всё, что в голову придёт, рисовать всё, что видишь, а ещё говорить обо всём на свете — вот три главные составляющие занятия в среду в загородных мастерских у детей из Филимонок.</t>
        </is>
      </c>
    </row>
    <row r="997" ht="30" customHeight="1">
      <c r="A997" s="23" t="n">
        <v>4244</v>
      </c>
      <c r="B997" s="24" t="inlineStr">
        <is>
          <t>2019-02-06</t>
        </is>
      </c>
      <c r="C997" s="25">
        <f>HYPERLINK("https://vk.com/wall-1825701_4244", "Открыть пост")</f>
        <v/>
      </c>
      <c r="D997" s="26" t="inlineStr">
        <is>
          <t>Творческие мастер-классы и художественные студии</t>
        </is>
      </c>
      <c r="E997" s="26" t="inlineStr">
        <is>
          <t>Творческие мастер-классы и художественные студии; Кулинарные, образовательные и социально-бытовые занятия</t>
        </is>
      </c>
      <c r="F997" s="26" t="inlineStr">
        <is>
          <t>Подопечные фонда «Дети Марии» (общая группа детей и подростков)</t>
        </is>
      </c>
      <c r="G997" s="26" t="inlineStr">
        <is>
          <t>Студия фонда / выездная площадка</t>
        </is>
      </c>
      <c r="H997" s="26" t="inlineStr">
        <is>
          <t>Педагогические и наставнические навыки (кулинария, быт, учёба)</t>
        </is>
      </c>
      <c r="I997" s="27" t="inlineStr">
        <is>
          <t>По формату занятия</t>
        </is>
      </c>
      <c r="J997" s="26" t="inlineStr">
        <is>
          <t>Что самое главное в картофельной запеканке? Чтоб противень влез в плиту 🤗 У нас с первого раза не получилось — он оказался слишком большим. Пришлось разделить на два. Зато мы оставили второй для друзей на завтра! А ещё Саша Семенов показал мини мастер-класс по отделению желтка от...</t>
        </is>
      </c>
    </row>
    <row r="998" ht="30" customHeight="1">
      <c r="A998" s="28" t="n">
        <v>4242</v>
      </c>
      <c r="B998" s="29" t="inlineStr">
        <is>
          <t>2019-02-06</t>
        </is>
      </c>
      <c r="C998" s="30">
        <f>HYPERLINK("https://vk.com/wall-1825701_4242", "Открыть пост")</f>
        <v/>
      </c>
      <c r="D998" s="31" t="inlineStr">
        <is>
          <t>Спектакли, концерты и музыкально-театральные занятия</t>
        </is>
      </c>
      <c r="E998" s="31" t="inlineStr">
        <is>
          <t>Спектакли, концерты и музыкально-театральные занятия</t>
        </is>
      </c>
      <c r="F998" s="31" t="inlineStr">
        <is>
          <t>Подростки и взрослые с ментальными особенностями и ОВЗ (ПНИ / Социальные дома)</t>
        </is>
      </c>
      <c r="G998" s="31" t="inlineStr">
        <is>
          <t>Студия фонда / выездная площадка</t>
        </is>
      </c>
      <c r="H998" s="31" t="inlineStr">
        <is>
          <t>Артистические, музыкальные и спортивно-игровые навыки</t>
        </is>
      </c>
      <c r="I998" s="32" t="inlineStr">
        <is>
          <t>По формату занятия</t>
        </is>
      </c>
      <c r="J998" s="31" t="inlineStr">
        <is>
          <t>В гости к 16 ПНИ приехали Анна Дмитриева и Максим Суббота — артисты Центра творческого развития «Радость простых вещей» с теневым театром. Замечательный спектакль «Пусть будет Рождество!» они показали два раза — для тех, кто занимается в нашем классе и в мужском отделении Милосер...</t>
        </is>
      </c>
    </row>
    <row r="999" ht="30" customHeight="1">
      <c r="A999" s="23" t="n">
        <v>4238</v>
      </c>
      <c r="B999" s="24" t="inlineStr">
        <is>
          <t>2019-02-05</t>
        </is>
      </c>
      <c r="C999" s="25">
        <f>HYPERLINK("https://vk.com/wall-1825701_4238", "Открыть пост")</f>
        <v/>
      </c>
      <c r="D999" s="26" t="inlineStr">
        <is>
          <t>Выставки, экскурсии и культурные выходы</t>
        </is>
      </c>
      <c r="E999" s="26" t="inlineStr">
        <is>
          <t>Выставки, экскурсии и культурные выходы</t>
        </is>
      </c>
      <c r="F999" s="26" t="inlineStr">
        <is>
          <t>Подростки и взрослые с ментальными особенностями и ОВЗ (ПНИ / Социальные дома)</t>
        </is>
      </c>
      <c r="G999" s="26" t="inlineStr">
        <is>
          <t>Студия фонда / выездная площадка</t>
        </is>
      </c>
      <c r="H999" s="26" t="inlineStr">
        <is>
          <t>Педагогические и наставнические навыки (кулинария, быт, учёба); Мобильность, выездное сопровождение и автоволонтёрство</t>
        </is>
      </c>
      <c r="I999" s="27" t="inlineStr">
        <is>
          <t>Да (в тексте)</t>
        </is>
      </c>
      <c r="J999" s="26" t="inlineStr">
        <is>
          <t>Вчера группа из 16 ПНИ съездила в планетарий. Сотрудник интерната заболела и куратору Алле Тягуновой пришлось справляться вдвоем с волонтером Ирой Черненькой. А они взяли много ребят, которым нужна помощь: Катю на коляске, Аню с ходунками, братьев Савельевых. Спасибо нашему водит...</t>
        </is>
      </c>
    </row>
    <row r="1000" ht="30" customHeight="1">
      <c r="A1000" s="28" t="n">
        <v>4234</v>
      </c>
      <c r="B1000" s="29" t="inlineStr">
        <is>
          <t>2019-02-04</t>
        </is>
      </c>
      <c r="C1000" s="30">
        <f>HYPERLINK("https://vk.com/wall-1825701_4234", "Открыть пост")</f>
        <v/>
      </c>
      <c r="D1000" s="31" t="inlineStr">
        <is>
          <t>Творческие мастер-классы и художественные студии</t>
        </is>
      </c>
      <c r="E1000" s="31" t="inlineStr">
        <is>
          <t>Творческие мастер-классы и художественные студии</t>
        </is>
      </c>
      <c r="F1000" s="31" t="inlineStr">
        <is>
          <t>Подопечные фонда «Дети Марии» (общая группа детей и подростков)</t>
        </is>
      </c>
      <c r="G1000" s="31" t="inlineStr">
        <is>
          <t>Студия фонда / выездная площадка</t>
        </is>
      </c>
      <c r="H1000" s="31" t="inlineStr">
        <is>
          <t>Коммуникативные навыки, эмпатия и тьюторское сопровождение</t>
        </is>
      </c>
      <c r="I1000" s="32" t="inlineStr">
        <is>
          <t>По формату занятия</t>
        </is>
      </c>
      <c r="J1000" s="31" t="inlineStr">
        <is>
          <t>Ира, Дима и Машель заканчивают витражи фонаря, а Вова Шаврин и Вика Косякова начали индивидуальные работы на мастер-классе по стеклу.</t>
        </is>
      </c>
    </row>
    <row r="1001" ht="30" customHeight="1">
      <c r="A1001" s="23" t="n">
        <v>4233</v>
      </c>
      <c r="B1001" s="24" t="inlineStr">
        <is>
          <t>2019-02-04</t>
        </is>
      </c>
      <c r="C1001" s="25">
        <f>HYPERLINK("https://vk.com/wall-1825701_4233", "Открыть пост")</f>
        <v/>
      </c>
      <c r="D1001" s="26" t="inlineStr">
        <is>
          <t>Творческие мастер-классы и художественные студии</t>
        </is>
      </c>
      <c r="E1001" s="26" t="inlineStr">
        <is>
          <t>Творческие мастер-классы и художественные студии</t>
        </is>
      </c>
      <c r="F1001" s="26" t="inlineStr">
        <is>
          <t>Подростки и взрослые с ментальными особенностями и ОВЗ (ПНИ / Социальные дома)</t>
        </is>
      </c>
      <c r="G1001" s="26" t="inlineStr">
        <is>
          <t>Студия фонда / выездная площадка</t>
        </is>
      </c>
      <c r="H1001" s="26" t="inlineStr">
        <is>
          <t>Художественно-прикладные и ремесленные навыки</t>
        </is>
      </c>
      <c r="I1001" s="27" t="inlineStr">
        <is>
          <t>По формату занятия</t>
        </is>
      </c>
      <c r="J1001" s="26" t="inlineStr">
        <is>
          <t>Всё повторяется: снова в понедельник у нас взрослые с особенностями из ПНИ 11, повторяются припевы в песенке, цветы на вышивке, узоры в орнаментах. И каждое занятие, и каждый мазок кисти и стежок вышивки, каждый миг нашей жизни — уникальны и неповторимы. Как каждый из нас.</t>
        </is>
      </c>
    </row>
    <row r="1002" ht="30" customHeight="1">
      <c r="A1002" s="28" t="n">
        <v>4232</v>
      </c>
      <c r="B1002" s="29" t="inlineStr">
        <is>
          <t>2019-02-04</t>
        </is>
      </c>
      <c r="C1002" s="30">
        <f>HYPERLINK("https://vk.com/wall-1825701_4232", "Открыть пост")</f>
        <v/>
      </c>
      <c r="D1002" s="31" t="inlineStr">
        <is>
          <t>Творческие мастер-классы и художественные студии</t>
        </is>
      </c>
      <c r="E1002" s="31" t="inlineStr">
        <is>
          <t>Творческие мастер-классы и художественные студии</t>
        </is>
      </c>
      <c r="F1002" s="31" t="inlineStr">
        <is>
          <t>Подопечные фонда «Дети Марии» (общая группа детей и подростков)</t>
        </is>
      </c>
      <c r="G1002" s="31" t="inlineStr">
        <is>
          <t>Студия фонда / выездная площадка</t>
        </is>
      </c>
      <c r="H1002" s="31" t="inlineStr">
        <is>
          <t>Художественно-прикладные и ремесленные навыки; Артистические, музыкальные и спортивно-игровые навыки</t>
        </is>
      </c>
      <c r="I1002" s="32" t="inlineStr">
        <is>
          <t>По формату занятия</t>
        </is>
      </c>
      <c r="J1002" s="31" t="inlineStr">
        <is>
          <t>В воскресенье в студии было многолюдно. Мамы, папы, братья и сёстры, подружки. Параллельно проходят занятия живописью, керамикой, валянием из шерсти, можно спеть и попробовать поиграть на музыкальных инструментах. Возможно сосредоточиться на одном или испытать силы в разных видах...</t>
        </is>
      </c>
    </row>
    <row r="1003" ht="30" customHeight="1">
      <c r="A1003" s="23" t="n">
        <v>4227</v>
      </c>
      <c r="B1003" s="24" t="inlineStr">
        <is>
          <t>2019-02-03</t>
        </is>
      </c>
      <c r="C1003" s="25">
        <f>HYPERLINK("https://vk.com/wall-1825701_4227", "Открыть пост")</f>
        <v/>
      </c>
      <c r="D1003" s="26" t="inlineStr">
        <is>
          <t>Творческие мастер-классы и художественные студии</t>
        </is>
      </c>
      <c r="E1003" s="26" t="inlineStr">
        <is>
          <t>Творческие мастер-классы и художественные студии; Спектакли, концерты и музыкально-театральные занятия</t>
        </is>
      </c>
      <c r="F1003" s="26" t="inlineStr">
        <is>
          <t>Подопечные фонда «Дети Марии» (общая группа детей и подростков)</t>
        </is>
      </c>
      <c r="G1003" s="26" t="inlineStr">
        <is>
          <t>Студия фонда / выездная площадка</t>
        </is>
      </c>
      <c r="H1003" s="26" t="inlineStr">
        <is>
          <t>Художественно-прикладные и ремесленные навыки; Артистические, музыкальные и спортивно-игровые навыки; Педагогические и наставнические навыки (кулинария, быт, учёба)</t>
        </is>
      </c>
      <c r="I1003" s="27" t="inlineStr">
        <is>
          <t>По формату занятия</t>
        </is>
      </c>
      <c r="J1003" s="26" t="inlineStr">
        <is>
          <t>В субботу ближе к вечеру в студии занятия в семейном формате. Бесценные минуты совместного творчества. Рисование акварелью, лепка. Счастливы и дети, и мамы. Прекрасно также проявить самостоятельность и без мамы найти интересное. Например, гитару в кладовочке, и уединенно погрузит...</t>
        </is>
      </c>
    </row>
    <row r="1004" ht="30" customHeight="1">
      <c r="A1004" s="28" t="n">
        <v>4226</v>
      </c>
      <c r="B1004" s="29" t="inlineStr">
        <is>
          <t>2019-02-02</t>
        </is>
      </c>
      <c r="C1004" s="30">
        <f>HYPERLINK("https://vk.com/wall-1825701_4226", "Открыть пост")</f>
        <v/>
      </c>
      <c r="D1004" s="31" t="inlineStr">
        <is>
          <t>Творческие мастер-классы и художественные студии</t>
        </is>
      </c>
      <c r="E1004" s="31" t="inlineStr">
        <is>
          <t>Творческие мастер-классы и художественные студии</t>
        </is>
      </c>
      <c r="F1004" s="31" t="inlineStr">
        <is>
          <t>Воспитанники ЦССВ, ДДИ и детских домов-интернатов</t>
        </is>
      </c>
      <c r="G1004" s="31" t="inlineStr">
        <is>
          <t>Студия фонда / выездная площадка</t>
        </is>
      </c>
      <c r="H1004" s="31" t="inlineStr">
        <is>
          <t>Художественно-прикладные и ремесленные навыки</t>
        </is>
      </c>
      <c r="I1004" s="32" t="inlineStr">
        <is>
          <t>По формату занятия</t>
        </is>
      </c>
      <c r="J1004" s="31" t="inlineStr">
        <is>
          <t>Сегодня к нам, на Тверскую 15, приезжали дети из «Спутника». Наше сегодняшнее занятие было посвящено витражу и рисованию большой картины. И нам очень приятно видеть, как дети делают успехи, ведь искусство витража — это даже для взрослых непросто!</t>
        </is>
      </c>
    </row>
    <row r="1005" ht="30" customHeight="1">
      <c r="A1005" s="23" t="n">
        <v>4212</v>
      </c>
      <c r="B1005" s="24" t="inlineStr">
        <is>
          <t>2019-01-31</t>
        </is>
      </c>
      <c r="C1005" s="25">
        <f>HYPERLINK("https://vk.com/wall-1825701_4212", "Открыть пост")</f>
        <v/>
      </c>
      <c r="D1005" s="26" t="inlineStr">
        <is>
          <t>Творческие мастер-классы и художественные студии</t>
        </is>
      </c>
      <c r="E1005" s="26" t="inlineStr">
        <is>
          <t>Творческие мастер-классы и художественные студии</t>
        </is>
      </c>
      <c r="F1005" s="26" t="inlineStr">
        <is>
          <t>Подопечные фонда «Дети Марии» (общая группа детей и подростков)</t>
        </is>
      </c>
      <c r="G1005" s="26" t="inlineStr">
        <is>
          <t>Студия фонда / выездная площадка</t>
        </is>
      </c>
      <c r="H1005" s="26" t="inlineStr">
        <is>
          <t>Художественно-прикладные и ремесленные навыки</t>
        </is>
      </c>
      <c r="I1005" s="27" t="inlineStr">
        <is>
          <t>По формату занятия</t>
        </is>
      </c>
      <c r="J1005" s="26" t="inlineStr">
        <is>
          <t>В среду мы очень много всего сделали на рисовании для взрослых. Выдумывали детали для большой картины, Лёша и Дима вдохновились красивыми сюжетами и увлечённо писали акварельные пейзажи. Глеб выплескивал эмоции на бумагу. А ещё успели потренироваться в рисовании головы в обрубовк...</t>
        </is>
      </c>
    </row>
    <row r="1006" ht="30" customHeight="1">
      <c r="A1006" s="28" t="n">
        <v>4211</v>
      </c>
      <c r="B1006" s="29" t="inlineStr">
        <is>
          <t>2019-01-31</t>
        </is>
      </c>
      <c r="C1006" s="30">
        <f>HYPERLINK("https://vk.com/wall-1825701_4211", "Открыть пост")</f>
        <v/>
      </c>
      <c r="D1006" s="31" t="inlineStr">
        <is>
          <t>Кулинарные, образовательные и социально-бытовые занятия</t>
        </is>
      </c>
      <c r="E1006" s="31" t="inlineStr">
        <is>
          <t>Кулинарные, образовательные и социально-бытовые занятия; Творческие мастер-классы и художественные студии</t>
        </is>
      </c>
      <c r="F1006" s="31" t="inlineStr">
        <is>
          <t>Подопечные фонда «Дети Марии» (общая группа детей и подростков)</t>
        </is>
      </c>
      <c r="G1006" s="31" t="inlineStr">
        <is>
          <t>Студия фонда / выездная площадка</t>
        </is>
      </c>
      <c r="H1006" s="31" t="inlineStr">
        <is>
          <t>Педагогические и наставнические навыки (кулинария, быт, учёба)</t>
        </is>
      </c>
      <c r="I1006" s="32" t="inlineStr">
        <is>
          <t>По формату занятия</t>
        </is>
      </c>
      <c r="J1006" s="31" t="inlineStr">
        <is>
          <t>Если у вас много фарша и голодных друзей, нафаршируйте перцы и сварите суп с фрикадельками. Кулинарный мастер-класс для молодёжи в студии на Дмитровке вчера, конечно, закончился ужином.</t>
        </is>
      </c>
    </row>
    <row r="1007" ht="30" customHeight="1">
      <c r="A1007" s="23" t="n">
        <v>4210</v>
      </c>
      <c r="B1007" s="24" t="inlineStr">
        <is>
          <t>2019-01-31</t>
        </is>
      </c>
      <c r="C1007" s="25">
        <f>HYPERLINK("https://vk.com/wall-1825701_4210", "Открыть пост")</f>
        <v/>
      </c>
      <c r="D1007" s="26" t="inlineStr">
        <is>
          <t>Творческие мастер-классы и художественные студии</t>
        </is>
      </c>
      <c r="E1007" s="26" t="inlineStr">
        <is>
          <t>Творческие мастер-классы и художественные студии</t>
        </is>
      </c>
      <c r="F1007" s="26" t="inlineStr">
        <is>
          <t>Подростки и взрослые с ментальными особенностями и ОВЗ (ПНИ / Социальные дома)</t>
        </is>
      </c>
      <c r="G1007" s="26" t="inlineStr">
        <is>
          <t>Студия фонда / выездная площадка</t>
        </is>
      </c>
      <c r="H1007" s="26" t="inlineStr">
        <is>
          <t>Педагогические и наставнические навыки (кулинария, быт, учёба)</t>
        </is>
      </c>
      <c r="I1007" s="27" t="inlineStr">
        <is>
          <t>Да (в тексте)</t>
        </is>
      </c>
      <c r="J1007" s="26" t="inlineStr">
        <is>
          <t>Мы стараемся развивать наших подопечных не только во время творческих занятий, но ещё никогда не упускаем возможности увидеть интересные и красивые места и узнать новое. Вчера ребята из ПНИ 16 с нашим куратором Аллой побывали в трёх оранжереях музея-заповедника Царицыно. Видели к...</t>
        </is>
      </c>
    </row>
    <row r="1008" ht="30" customHeight="1">
      <c r="A1008" s="28" t="n">
        <v>4209</v>
      </c>
      <c r="B1008" s="29" t="inlineStr">
        <is>
          <t>2019-01-30</t>
        </is>
      </c>
      <c r="C1008" s="30">
        <f>HYPERLINK("https://vk.com/wall-1825701_4209", "Открыть пост")</f>
        <v/>
      </c>
      <c r="D1008" s="31" t="inlineStr">
        <is>
          <t>Выездные лагеря, дача и сезонные программы</t>
        </is>
      </c>
      <c r="E1008" s="31" t="inlineStr">
        <is>
          <t>Выездные лагеря, дача и сезонные программы; Творческие мастер-классы и художественные студии</t>
        </is>
      </c>
      <c r="F1008" s="31" t="inlineStr">
        <is>
          <t>Подопечные фонда «Дети Марии» (общая группа детей и подростков)</t>
        </is>
      </c>
      <c r="G1008" s="31" t="inlineStr">
        <is>
          <t>Студия фонда / выездная площадка</t>
        </is>
      </c>
      <c r="H1008" s="31" t="inlineStr">
        <is>
          <t>Художественно-прикладные и ремесленные навыки; Педагогические и наставнические навыки (кулинария, быт, учёба)</t>
        </is>
      </c>
      <c r="I1008" s="32" t="inlineStr">
        <is>
          <t>По формату занятия</t>
        </is>
      </c>
      <c r="J1008" s="31" t="inlineStr">
        <is>
          <t>А в загородных мастерских аншлаг — приехали дети из Филимонок. Все увлечены керамикой, ребята приезжают со своими идеями, и преподаватель Ирина Рокотнина всегда готова помочь их воплотить.</t>
        </is>
      </c>
    </row>
    <row r="1009" ht="30" customHeight="1">
      <c r="A1009" s="23" t="n">
        <v>4203</v>
      </c>
      <c r="B1009" s="24" t="inlineStr">
        <is>
          <t>2019-01-29</t>
        </is>
      </c>
      <c r="C1009" s="25">
        <f>HYPERLINK("https://vk.com/wall-1825701_4203", "Открыть пост")</f>
        <v/>
      </c>
      <c r="D1009" s="26" t="inlineStr">
        <is>
          <t>Творческие мастер-классы и художественные студии</t>
        </is>
      </c>
      <c r="E1009" s="26" t="inlineStr">
        <is>
          <t>Творческие мастер-классы и художественные студии</t>
        </is>
      </c>
      <c r="F1009" s="26" t="inlineStr">
        <is>
          <t>Подростки и взрослые с ментальными особенностями и ОВЗ (ПНИ / Социальные дома)</t>
        </is>
      </c>
      <c r="G1009" s="26" t="inlineStr">
        <is>
          <t>Студия фонда / выездная площадка</t>
        </is>
      </c>
      <c r="H1009" s="26" t="inlineStr">
        <is>
          <t>Художественно-прикладные и ремесленные навыки</t>
        </is>
      </c>
      <c r="I1009" s="27" t="inlineStr">
        <is>
          <t>Да (в тексте)</t>
        </is>
      </c>
      <c r="J1009" s="26" t="inlineStr">
        <is>
          <t>Волонтёр Ирина Свистова делает с ребятами невероятно красивые цветы на ткани, на рисовании продвигается новая большая картина, уже вырезаем детали. Незрячий Андрей Савельев делает элементы будущего панно на занятиях гобеленом. На валянии занимались заготовками для бус и расписыва...</t>
        </is>
      </c>
    </row>
    <row r="1010" ht="30" customHeight="1">
      <c r="A1010" s="28" t="n">
        <v>4201</v>
      </c>
      <c r="B1010" s="29" t="inlineStr">
        <is>
          <t>2019-01-29</t>
        </is>
      </c>
      <c r="C1010" s="30">
        <f>HYPERLINK("https://vk.com/wall-1825701_4201", "Открыть пост")</f>
        <v/>
      </c>
      <c r="D1010" s="31" t="inlineStr">
        <is>
          <t>Творческие мастер-классы и художественные студии</t>
        </is>
      </c>
      <c r="E1010" s="31" t="inlineStr">
        <is>
          <t>Творческие мастер-классы и художественные студии</t>
        </is>
      </c>
      <c r="F1010" s="31" t="inlineStr">
        <is>
          <t>Подопечные фонда «Дети Марии» (общая группа детей и подростков)</t>
        </is>
      </c>
      <c r="G1010" s="31" t="inlineStr">
        <is>
          <t>Студия фонда / выездная площадка</t>
        </is>
      </c>
      <c r="H1010" s="31" t="inlineStr">
        <is>
          <t>Художественно-прикладные и ремесленные навыки</t>
        </is>
      </c>
      <c r="I1010" s="32" t="inlineStr">
        <is>
          <t>По формату занятия</t>
        </is>
      </c>
      <c r="J1010" s="31" t="inlineStr">
        <is>
          <t>Керамика для взрослых по понедельникам вечером — отличная возможность развить свои таланты (возможно, до сих пор скрытые!), отдохнуть и переключиться, почувствовать себя творцом и художником. У всех получается по-своему, но у всех — красиво. А педагог Николай Панюков всегда готов...</t>
        </is>
      </c>
    </row>
    <row r="1011" ht="30" customHeight="1">
      <c r="A1011" s="23" t="n">
        <v>4200</v>
      </c>
      <c r="B1011" s="24" t="inlineStr">
        <is>
          <t>2019-01-28</t>
        </is>
      </c>
      <c r="C1011" s="25">
        <f>HYPERLINK("https://vk.com/wall-1825701_4200", "Открыть пост")</f>
        <v/>
      </c>
      <c r="D1011" s="26" t="inlineStr">
        <is>
          <t>Ярмарки, фестивали и благотворительные базары</t>
        </is>
      </c>
      <c r="E1011" s="26" t="inlineStr">
        <is>
          <t>Ярмарки, фестивали и благотворительные базары</t>
        </is>
      </c>
      <c r="F1011" s="26" t="inlineStr">
        <is>
          <t>Воспитанники ЦССВ, ДДИ и детских домов-интернатов</t>
        </is>
      </c>
      <c r="G1011" s="26" t="inlineStr">
        <is>
          <t>ЦССВ «Юнона»</t>
        </is>
      </c>
      <c r="H1011" s="26" t="inlineStr">
        <is>
          <t>Организационные, ивент- и ярмарочные навыки</t>
        </is>
      </c>
      <c r="I1011" s="27" t="inlineStr">
        <is>
          <t>По формату занятия</t>
        </is>
      </c>
      <c r="J1011" s="26" t="inlineStr">
        <is>
          <t>Конструкторы с моделями, которые собирают ребята из ЦССВ «Юнона», мы купили на деньги, собранные на рождественской ярмарке учениками в школе, где преподаёт Ясин. Спасибо друзьям из АНО «Школа Святого Георгия Победоносца», от нас и юных инженеров!</t>
        </is>
      </c>
    </row>
    <row r="1012" ht="30" customHeight="1">
      <c r="A1012" s="28" t="n">
        <v>4199</v>
      </c>
      <c r="B1012" s="29" t="inlineStr">
        <is>
          <t>2019-01-28</t>
        </is>
      </c>
      <c r="C1012" s="30">
        <f>HYPERLINK("https://vk.com/wall-1825701_4199", "Открыть пост")</f>
        <v/>
      </c>
      <c r="D1012" s="31" t="inlineStr">
        <is>
          <t>Творческие мастер-классы и художественные студии</t>
        </is>
      </c>
      <c r="E1012" s="31" t="inlineStr">
        <is>
          <t>Творческие мастер-классы и художественные студии</t>
        </is>
      </c>
      <c r="F1012" s="31" t="inlineStr">
        <is>
          <t>Воспитанники ЦССВ, ДДИ и детских домов-интернатов</t>
        </is>
      </c>
      <c r="G1012" s="31" t="inlineStr">
        <is>
          <t>ЦССВ «Юнона»</t>
        </is>
      </c>
      <c r="H1012" s="31" t="inlineStr">
        <is>
          <t>Художественно-прикладные и ремесленные навыки; Коммуникативные навыки, эмпатия и тьюторское сопровождение</t>
        </is>
      </c>
      <c r="I1012" s="32" t="inlineStr">
        <is>
          <t>По формату занятия</t>
        </is>
      </c>
      <c r="J1012" s="31" t="inlineStr">
        <is>
          <t>Сегодня в студии дети с особенностями из ЦССВ «Юнона». Мы стараемся, чтобы у ребят во время занятий была возможность выбора (так они учатся понимать свои желания, склонности, способности) и возможность смены деятельности (так ребята меньше устают и могут переключаться, если им тр...</t>
        </is>
      </c>
    </row>
    <row r="1013" ht="30" customHeight="1">
      <c r="A1013" s="23" t="n">
        <v>4198</v>
      </c>
      <c r="B1013" s="24" t="inlineStr">
        <is>
          <t>2019-01-28</t>
        </is>
      </c>
      <c r="C1013" s="25">
        <f>HYPERLINK("https://vk.com/wall-1825701_4198", "Открыть пост")</f>
        <v/>
      </c>
      <c r="D1013" s="26" t="inlineStr">
        <is>
          <t>Творческие мастер-классы и художественные студии</t>
        </is>
      </c>
      <c r="E1013" s="26" t="inlineStr">
        <is>
          <t>Творческие мастер-классы и художественные студии</t>
        </is>
      </c>
      <c r="F1013" s="26" t="inlineStr">
        <is>
          <t>Подопечные фонда «Дети Марии» (общая группа детей и подростков)</t>
        </is>
      </c>
      <c r="G1013" s="26" t="inlineStr">
        <is>
          <t>Студия фонда / выездная площадка</t>
        </is>
      </c>
      <c r="H1013" s="26" t="inlineStr">
        <is>
          <t>Художественно-прикладные и ремесленные навыки; Артистические, музыкальные и спортивно-игровые навыки</t>
        </is>
      </c>
      <c r="I1013" s="27" t="inlineStr">
        <is>
          <t>По формату занятия</t>
        </is>
      </c>
      <c r="J1013" s="26" t="inlineStr">
        <is>
          <t>«От Москвы до самых до окраин, С южных гор до северных морей» — такой строкой из старой песни можно обозначить тематику наших больших картин. В субботу рисовали Тайланд, в воскресенье — картину с рабочим названием «Город у северного моря». Когда за окном такой снегопад, тема прих...</t>
        </is>
      </c>
    </row>
    <row r="1014" ht="30" customHeight="1">
      <c r="A1014" s="28" t="n">
        <v>4197</v>
      </c>
      <c r="B1014" s="29" t="inlineStr">
        <is>
          <t>2019-01-28</t>
        </is>
      </c>
      <c r="C1014" s="30">
        <f>HYPERLINK("https://vk.com/wall-1825701_4197", "Открыть пост")</f>
        <v/>
      </c>
      <c r="D1014" s="31" t="inlineStr">
        <is>
          <t>Творческие мастер-классы и художественные студии</t>
        </is>
      </c>
      <c r="E1014" s="31" t="inlineStr">
        <is>
          <t>Творческие мастер-классы и художественные студии</t>
        </is>
      </c>
      <c r="F1014" s="31" t="inlineStr">
        <is>
          <t>Подопечные фонда «Дети Марии» (общая группа детей и подростков)</t>
        </is>
      </c>
      <c r="G1014" s="31" t="inlineStr">
        <is>
          <t>Студия фонда / выездная площадка</t>
        </is>
      </c>
      <c r="H1014" s="31" t="inlineStr">
        <is>
          <t>Художественно-прикладные и ремесленные навыки; Артистические, музыкальные и спортивно-игровые навыки</t>
        </is>
      </c>
      <c r="I1014" s="32" t="inlineStr">
        <is>
          <t>По формату занятия</t>
        </is>
      </c>
      <c r="J1014" s="31" t="inlineStr">
        <is>
          <t>На выходных в студии традиционные семейные занятия. В субботу рисовали детали для коллективной картины про Таиланд. Лепили тюленей и прочих морских обитателей. Покрывали глазурью готовые фигурки. Играли на пианино и пели. Пили чай. Но самое главное и приятное – встреча с давними,...</t>
        </is>
      </c>
    </row>
    <row r="1015" ht="30" customHeight="1">
      <c r="A1015" s="23" t="n">
        <v>4192</v>
      </c>
      <c r="B1015" s="24" t="inlineStr">
        <is>
          <t>2019-01-26</t>
        </is>
      </c>
      <c r="C1015" s="25">
        <f>HYPERLINK("https://vk.com/wall-1825701_4192", "Открыть пост")</f>
        <v/>
      </c>
      <c r="D1015" s="26" t="inlineStr">
        <is>
          <t>Творческие мастер-классы и художественные студии</t>
        </is>
      </c>
      <c r="E1015" s="26" t="inlineStr">
        <is>
          <t>Творческие мастер-классы и художественные студии</t>
        </is>
      </c>
      <c r="F1015" s="26" t="inlineStr">
        <is>
          <t>Подростки и взрослые с ментальными особенностями и ОВЗ (ПНИ / Социальные дома)</t>
        </is>
      </c>
      <c r="G1015" s="26" t="inlineStr">
        <is>
          <t>Студия фонда / выездная площадка</t>
        </is>
      </c>
      <c r="H1015" s="26" t="inlineStr">
        <is>
          <t>Художественно-прикладные и ремесленные навыки; Коммуникативные навыки, эмпатия и тьюторское сопровождение</t>
        </is>
      </c>
      <c r="I1015" s="27" t="inlineStr">
        <is>
          <t>По формату занятия</t>
        </is>
      </c>
      <c r="J1015" s="26" t="inlineStr">
        <is>
          <t>Андрей Савельев — незрячий. Раньше он только лепил из глины, лепить начал ещё в детстве, когда зрение было, а ослепнув, продолжал приезжать в студию. Потом Андрей попробовал плести гобелен, а вчера валял из шерсти специальными иголками. Это занятие требует внимания и от зрячих — ...</t>
        </is>
      </c>
    </row>
    <row r="1016" ht="30" customHeight="1">
      <c r="A1016" s="28" t="n">
        <v>4189</v>
      </c>
      <c r="B1016" s="29" t="inlineStr">
        <is>
          <t>2019-01-24</t>
        </is>
      </c>
      <c r="C1016" s="30">
        <f>HYPERLINK("https://vk.com/wall-1825701_4189", "Открыть пост")</f>
        <v/>
      </c>
      <c r="D1016" s="31" t="inlineStr">
        <is>
          <t>Кулинарные, образовательные и социально-бытовые занятия</t>
        </is>
      </c>
      <c r="E1016" s="31" t="inlineStr">
        <is>
          <t>Кулинарные, образовательные и социально-бытовые занятия; Творческие мастер-классы и художественные студии</t>
        </is>
      </c>
      <c r="F1016" s="31" t="inlineStr">
        <is>
          <t>Подопечные фонда «Дети Марии» (общая группа детей и подростков)</t>
        </is>
      </c>
      <c r="G1016" s="31" t="inlineStr">
        <is>
          <t>Студия фонда / выездная площадка</t>
        </is>
      </c>
      <c r="H1016" s="31" t="inlineStr">
        <is>
          <t>Педагогические и наставнические навыки (кулинария, быт, учёба)</t>
        </is>
      </c>
      <c r="I1016" s="32" t="inlineStr">
        <is>
          <t>По формату занятия</t>
        </is>
      </c>
      <c r="J1016" s="31" t="inlineStr">
        <is>
          <t>Сложный и очень вкусный суп готовила вчера с ребятами на кулинарном мастер-классе Алеся Панченко. Солянка сборная мясная вызвала восторг и требование добавки) Приглашаем подростков и молодёжь на наши кулинарные среды!</t>
        </is>
      </c>
    </row>
    <row r="1017" ht="30" customHeight="1">
      <c r="A1017" s="23" t="n">
        <v>4188</v>
      </c>
      <c r="B1017" s="24" t="inlineStr">
        <is>
          <t>2019-01-24</t>
        </is>
      </c>
      <c r="C1017" s="25">
        <f>HYPERLINK("https://vk.com/wall-1825701_4188", "Открыть пост")</f>
        <v/>
      </c>
      <c r="D1017" s="26" t="inlineStr">
        <is>
          <t>Выездные лагеря, дача и сезонные программы</t>
        </is>
      </c>
      <c r="E1017" s="26" t="inlineStr">
        <is>
          <t>Выездные лагеря, дача и сезонные программы; Творческие мастер-классы и художественные студии</t>
        </is>
      </c>
      <c r="F1017" s="26" t="inlineStr">
        <is>
          <t>Подопечные фонда «Дети Марии» (общая группа детей и подростков)</t>
        </is>
      </c>
      <c r="G1017" s="26" t="inlineStr">
        <is>
          <t>Студия фонда / выездная площадка</t>
        </is>
      </c>
      <c r="H1017" s="26" t="inlineStr">
        <is>
          <t>Художественно-прикладные и ремесленные навыки</t>
        </is>
      </c>
      <c r="I1017" s="27" t="inlineStr">
        <is>
          <t>Да (в тексте)</t>
        </is>
      </c>
      <c r="J1017" s="26" t="inlineStr">
        <is>
          <t>В продолжение темы, как из простых элементов получается сложный и замысловатый рисунок — занятие мозаикой и загородных мастерских в среду с детьми из Филимонок. Спасибо чудесным волонтёрам: Джастину, Машель и Ире!</t>
        </is>
      </c>
    </row>
    <row r="1018" ht="30" customHeight="1">
      <c r="A1018" s="28" t="n">
        <v>4185</v>
      </c>
      <c r="B1018" s="29" t="inlineStr">
        <is>
          <t>2019-01-24</t>
        </is>
      </c>
      <c r="C1018" s="30">
        <f>HYPERLINK("https://vk.com/wall-1825701_4185", "Открыть пост")</f>
        <v/>
      </c>
      <c r="D1018" s="31" t="inlineStr">
        <is>
          <t>Творческие мастер-классы и художественные студии</t>
        </is>
      </c>
      <c r="E1018" s="31" t="inlineStr">
        <is>
          <t>Творческие мастер-классы и художественные студии</t>
        </is>
      </c>
      <c r="F1018" s="31" t="inlineStr">
        <is>
          <t>Широкая аудитория, гости и благотворители (открытые события)</t>
        </is>
      </c>
      <c r="G1018" s="31" t="inlineStr">
        <is>
          <t>Студия фонда / выездная площадка</t>
        </is>
      </c>
      <c r="H1018" s="31" t="inlineStr">
        <is>
          <t>Художественно-прикладные и ремесленные навыки</t>
        </is>
      </c>
      <c r="I1018" s="32" t="inlineStr">
        <is>
          <t>По формату занятия</t>
        </is>
      </c>
      <c r="J1018" s="31" t="inlineStr">
        <is>
          <t>Сегодняшнее занятие для взрослых художников было посвящено искусству композиции. Мы с нашим любимым педагогом Нюсей Митиной оттачивали мастерство построения сложных архитектурных композиций из простых фигур. Умеешь рисовать круги, треугольники и квадраты – тогда создать целое зда...</t>
        </is>
      </c>
    </row>
    <row r="1019" ht="30" customHeight="1">
      <c r="A1019" s="23" t="n">
        <v>4182</v>
      </c>
      <c r="B1019" s="24" t="inlineStr">
        <is>
          <t>2019-01-22</t>
        </is>
      </c>
      <c r="C1019" s="25">
        <f>HYPERLINK("https://vk.com/wall-1825701_4182", "Открыть пост")</f>
        <v/>
      </c>
      <c r="D1019" s="26" t="inlineStr">
        <is>
          <t>Творческие мастер-классы и художественные студии</t>
        </is>
      </c>
      <c r="E1019" s="26" t="inlineStr">
        <is>
          <t>Творческие мастер-классы и художественные студии</t>
        </is>
      </c>
      <c r="F1019" s="26" t="inlineStr">
        <is>
          <t>Подростки и взрослые с ментальными особенностями и ОВЗ (ПНИ / Социальные дома)</t>
        </is>
      </c>
      <c r="G1019" s="26" t="inlineStr">
        <is>
          <t>Студия фонда / выездная площадка</t>
        </is>
      </c>
      <c r="H1019" s="26" t="inlineStr">
        <is>
          <t>Художественно-прикладные и ремесленные навыки; Коммуникативные навыки, эмпатия и тьюторское сопровождение</t>
        </is>
      </c>
      <c r="I1019" s="27" t="inlineStr">
        <is>
          <t>Да (в тексте)</t>
        </is>
      </c>
      <c r="J1019" s="26" t="inlineStr">
        <is>
          <t>В студии взрослые люди с особенностями развития из ПНИ 16. Продолжаем рисовать большую картину про Тайланд. Но у Бори свой индивидуальный проект — портрет рыжего кота. В керамической мастерской сегодня лепили бегемотов. Мария — ведущая «Книжного гида» — первый раз пришла как воло...</t>
        </is>
      </c>
    </row>
    <row r="1020" ht="30" customHeight="1">
      <c r="A1020" s="28" t="n">
        <v>4179</v>
      </c>
      <c r="B1020" s="29" t="inlineStr">
        <is>
          <t>2019-01-22</t>
        </is>
      </c>
      <c r="C1020" s="30">
        <f>HYPERLINK("https://vk.com/wall-1825701_4179", "Открыть пост")</f>
        <v/>
      </c>
      <c r="D1020" s="31" t="inlineStr">
        <is>
          <t>Творческие мастер-классы и художественные студии</t>
        </is>
      </c>
      <c r="E1020" s="31" t="inlineStr">
        <is>
          <t>Творческие мастер-классы и художественные студии</t>
        </is>
      </c>
      <c r="F1020" s="31" t="inlineStr">
        <is>
          <t>Широкая аудитория, гости и благотворители (открытые события)</t>
        </is>
      </c>
      <c r="G1020" s="31" t="inlineStr">
        <is>
          <t>Студия фонда / выездная площадка</t>
        </is>
      </c>
      <c r="H1020" s="31" t="inlineStr">
        <is>
          <t>Художественно-прикладные и ремесленные навыки</t>
        </is>
      </c>
      <c r="I1020" s="32" t="inlineStr">
        <is>
          <t>По формату занятия</t>
        </is>
      </c>
      <c r="J1020" s="31" t="inlineStr">
        <is>
          <t>На занятии керамикой для взрослых в понедельник вечером мы продолжали (и начинали) лепить и расписывать яблоки и гранаты. После обжига похвастаемся урожаем! Если вы думаете, что понедельник — день тяжёлый, приглашаем вас на нашу еженедельную «глинотерапию».</t>
        </is>
      </c>
    </row>
    <row r="1021" ht="30" customHeight="1">
      <c r="A1021" s="23" t="n">
        <v>4177</v>
      </c>
      <c r="B1021" s="24" t="inlineStr">
        <is>
          <t>2019-01-21</t>
        </is>
      </c>
      <c r="C1021" s="25">
        <f>HYPERLINK("https://vk.com/wall-1825701_4177", "Открыть пост")</f>
        <v/>
      </c>
      <c r="D1021" s="26" t="inlineStr">
        <is>
          <t>Творческие мастер-классы и художественные студии</t>
        </is>
      </c>
      <c r="E1021" s="26" t="inlineStr">
        <is>
          <t>Творческие мастер-классы и художественные студии</t>
        </is>
      </c>
      <c r="F1021" s="26" t="inlineStr">
        <is>
          <t>Подопечные фонда «Дети Марии» (общая группа детей и подростков)</t>
        </is>
      </c>
      <c r="G1021" s="26" t="inlineStr">
        <is>
          <t>Студия фонда / выездная площадка</t>
        </is>
      </c>
      <c r="H1021"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t>
        </is>
      </c>
      <c r="I1021" s="27" t="inlineStr">
        <is>
          <t>По формату занятия</t>
        </is>
      </c>
      <c r="J1021" s="26" t="inlineStr">
        <is>
          <t>В воскресенье в студии семьи. Дружно дорисовывали коллективную зимнюю картину и крещенских ангелов. А некоторые маленькие рисовали абстрактно — цветные пятна и линии. И явно получали удовольствие. Успели поиграть на пианино, свалять мягкую игрушку. Очень важно, что всё это вместе...</t>
        </is>
      </c>
    </row>
    <row r="1022" ht="30" customHeight="1">
      <c r="A1022" s="28" t="n">
        <v>4169</v>
      </c>
      <c r="B1022" s="29" t="inlineStr">
        <is>
          <t>2019-01-17</t>
        </is>
      </c>
      <c r="C1022" s="30">
        <f>HYPERLINK("https://vk.com/wall-1825701_4169", "Открыть пост")</f>
        <v/>
      </c>
      <c r="D1022" s="31" t="inlineStr">
        <is>
          <t>Творческие мастер-классы и художественные студии</t>
        </is>
      </c>
      <c r="E1022" s="31" t="inlineStr">
        <is>
          <t>Творческие мастер-классы и художественные студии</t>
        </is>
      </c>
      <c r="F1022" s="31" t="inlineStr">
        <is>
          <t>Широкая аудитория, гости и благотворители (открытые события)</t>
        </is>
      </c>
      <c r="G1022" s="31" t="inlineStr">
        <is>
          <t>Студия фонда / выездная площадка</t>
        </is>
      </c>
      <c r="H1022" s="31" t="inlineStr">
        <is>
          <t>Художественно-прикладные и ремесленные навыки</t>
        </is>
      </c>
      <c r="I1022" s="32" t="inlineStr">
        <is>
          <t>По формату занятия</t>
        </is>
      </c>
      <c r="J1022" s="31" t="inlineStr">
        <is>
          <t>На занятиях рисованием для взрослых в среду педагог Нюся Митина предложила нам построить архитектурную композицию из простых, геометрических фигур — треугольников, прямоугольников, кругов... Фигуры простые, а композиции получились сложные, даже замысловатые. Продолжим их в следую...</t>
        </is>
      </c>
    </row>
    <row r="1023" ht="30" customHeight="1">
      <c r="A1023" s="23" t="n">
        <v>4166</v>
      </c>
      <c r="B1023" s="24" t="inlineStr">
        <is>
          <t>2019-01-16</t>
        </is>
      </c>
      <c r="C1023" s="25">
        <f>HYPERLINK("https://vk.com/wall-1825701_4166", "Открыть пост")</f>
        <v/>
      </c>
      <c r="D1023" s="26" t="inlineStr">
        <is>
          <t>Творческие мастер-классы и художественные студии</t>
        </is>
      </c>
      <c r="E1023" s="26" t="inlineStr">
        <is>
          <t>Творческие мастер-классы и художественные студии; Кулинарные, образовательные и социально-бытовые занятия</t>
        </is>
      </c>
      <c r="F1023" s="26" t="inlineStr">
        <is>
          <t>Подростки и взрослые с ментальными особенностями и ОВЗ (ПНИ / Социальные дома); Воспитанники ЦССВ, ДДИ и детских домов-интернатов; Выпускники интернатов и детских домов (молодые взрослые)</t>
        </is>
      </c>
      <c r="G1023" s="26" t="inlineStr">
        <is>
          <t>Студия фонда / выездная площадка</t>
        </is>
      </c>
      <c r="H1023" s="26" t="inlineStr">
        <is>
          <t>Художественно-прикладные и ремесленные навыки; Педагогические и наставнические навыки (кулинария, быт, учёба)</t>
        </is>
      </c>
      <c r="I1023" s="27" t="inlineStr">
        <is>
          <t>Да (в тексте)</t>
        </is>
      </c>
      <c r="J1023" s="26" t="inlineStr">
        <is>
          <t>В один день с детьми из «Юноны» часто приходят выпускники «Юноны», теперь ребята живут в ПНИ 20, и студия для них — место встречи с воспитателем и детьми из их «родного» детского дома. Сегодня, смотрите, кто пришёл — Лёша Акимочкин! Он тоже с недавнего времени живёт в 20м ПНИ, на...</t>
        </is>
      </c>
    </row>
    <row r="1024" ht="30" customHeight="1">
      <c r="A1024" s="28" t="n">
        <v>4162</v>
      </c>
      <c r="B1024" s="29" t="inlineStr">
        <is>
          <t>2019-01-15</t>
        </is>
      </c>
      <c r="C1024" s="30">
        <f>HYPERLINK("https://vk.com/wall-1825701_4162", "Открыть пост")</f>
        <v/>
      </c>
      <c r="D1024" s="31" t="inlineStr">
        <is>
          <t>Творческие мастер-классы и художественные студии</t>
        </is>
      </c>
      <c r="E1024" s="31" t="inlineStr">
        <is>
          <t>Творческие мастер-классы и художественные студии</t>
        </is>
      </c>
      <c r="F1024" s="31" t="inlineStr">
        <is>
          <t>Подопечные фонда «Дети Марии» (общая группа детей и подростков)</t>
        </is>
      </c>
      <c r="G1024" s="31" t="inlineStr">
        <is>
          <t>Студия фонда / выездная площадка</t>
        </is>
      </c>
      <c r="H1024" s="31" t="inlineStr">
        <is>
          <t>Художественно-прикладные и ремесленные навыки</t>
        </is>
      </c>
      <c r="I1024" s="32" t="inlineStr">
        <is>
          <t>По формату занятия</t>
        </is>
      </c>
      <c r="J1024" s="31" t="inlineStr">
        <is>
          <t>Ура, у нас снова керамика для взрослых по понедельникам вечером, с семи часов. Сегодня было непросто, но, как всегда, интересно — лепили яблоки-шкатулки, причём с натуры. Спасибо мастеру Николаю Панюкову за наш чудесный яблочный вечер. Мы приглашаем жителей Тверского и других рай...</t>
        </is>
      </c>
    </row>
    <row r="1025" ht="30" customHeight="1">
      <c r="A1025" s="23" t="n">
        <v>4159</v>
      </c>
      <c r="B1025" s="24" t="inlineStr">
        <is>
          <t>2019-01-14</t>
        </is>
      </c>
      <c r="C1025" s="25">
        <f>HYPERLINK("https://vk.com/wall-1825701_4159", "Открыть пост")</f>
        <v/>
      </c>
      <c r="D1025" s="26" t="inlineStr">
        <is>
          <t>Творческие мастер-классы и художественные студии</t>
        </is>
      </c>
      <c r="E1025" s="26" t="inlineStr">
        <is>
          <t>Творческие мастер-классы и художественные студии</t>
        </is>
      </c>
      <c r="F1025" s="26" t="inlineStr">
        <is>
          <t>Подопечные фонда «Дети Марии» (общая группа детей и подростков)</t>
        </is>
      </c>
      <c r="G1025" s="26" t="inlineStr">
        <is>
          <t>Студия фонда / выездная площадка</t>
        </is>
      </c>
      <c r="H1025" s="26" t="inlineStr">
        <is>
          <t>Художественно-прикладные и ремесленные навыки</t>
        </is>
      </c>
      <c r="I1025" s="27" t="inlineStr">
        <is>
          <t>По формату занятия</t>
        </is>
      </c>
      <c r="J1025" s="26" t="inlineStr">
        <is>
          <t>В воскресенье, в канун Старого нового года собрались, наконец, семьи с детьми, проходящими реабилитацию после онкозаболеваний. За два часа успели многое — сваляли из шерсти фигурки, некоторые впервые; лепили чашечки и яблоко, рисовали на воде и на бумаге. Как и положено на Святка...</t>
        </is>
      </c>
    </row>
    <row r="1026" ht="30" customHeight="1">
      <c r="A1026" s="28" t="n">
        <v>4157</v>
      </c>
      <c r="B1026" s="29" t="inlineStr">
        <is>
          <t>2019-01-13</t>
        </is>
      </c>
      <c r="C1026" s="30">
        <f>HYPERLINK("https://vk.com/wall-1825701_4157", "Открыть пост")</f>
        <v/>
      </c>
      <c r="D1026" s="31" t="inlineStr">
        <is>
          <t>Творческие мастер-классы и художественные студии</t>
        </is>
      </c>
      <c r="E1026" s="31" t="inlineStr">
        <is>
          <t>Творческие мастер-классы и художественные студии</t>
        </is>
      </c>
      <c r="F1026" s="31" t="inlineStr">
        <is>
          <t>Подопечные фонда «Дети Марии» (общая группа детей и подростков)</t>
        </is>
      </c>
      <c r="G1026" s="31" t="inlineStr">
        <is>
          <t>Тверская 15</t>
        </is>
      </c>
      <c r="H1026"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t>
        </is>
      </c>
      <c r="I1026" s="32" t="inlineStr">
        <is>
          <t>По формату занятия</t>
        </is>
      </c>
      <c r="J1026" s="31" t="inlineStr">
        <is>
          <t>Сегодня днём в студии дети из Тверского и других районов. Расписывали керамических зверей, которых налепили ещё в старом году, пели и рисовали. А потом дружно отправились в пространство творчества и развития «Тверская 15» — там сегодня наш Ясин проводит мастер-класс по изготовлен...</t>
        </is>
      </c>
    </row>
    <row r="1027" ht="30" customHeight="1">
      <c r="A1027" s="23" t="n">
        <v>4156</v>
      </c>
      <c r="B1027" s="24" t="inlineStr">
        <is>
          <t>2019-01-12</t>
        </is>
      </c>
      <c r="C1027" s="25">
        <f>HYPERLINK("https://vk.com/wall-1825701_4156", "Открыть пост")</f>
        <v/>
      </c>
      <c r="D1027" s="26" t="inlineStr">
        <is>
          <t>Спектакли, концерты и музыкально-театральные занятия</t>
        </is>
      </c>
      <c r="E1027" s="26" t="inlineStr">
        <is>
          <t>Спектакли, концерты и музыкально-театральные занятия</t>
        </is>
      </c>
      <c r="F1027" s="26" t="inlineStr">
        <is>
          <t>Подопечные фонда «Дети Марии» (общая группа детей и подростков)</t>
        </is>
      </c>
      <c r="G1027" s="26" t="inlineStr">
        <is>
          <t>Студия фонда / выездная площадка</t>
        </is>
      </c>
      <c r="H1027" s="26" t="inlineStr">
        <is>
          <t>Артистические, музыкальные и спортивно-игровые навыки</t>
        </is>
      </c>
      <c r="I1027" s="27" t="inlineStr">
        <is>
          <t>По формату занятия</t>
        </is>
      </c>
      <c r="J1027" s="26" t="inlineStr">
        <is>
          <t>В новом году музыкант Александр Шишов продолжает цикл рассказов об истории авторской песни. В прошлые встречи мы узнали об истоках жанра, послушали песни и их истории, поговорили о бродяжьих и тюремных, о крамольных и сатирических песнях, и это было интересно и любителям жанра, и...</t>
        </is>
      </c>
    </row>
    <row r="1028" ht="30" customHeight="1">
      <c r="A1028" s="28" t="n">
        <v>4155</v>
      </c>
      <c r="B1028" s="29" t="inlineStr">
        <is>
          <t>2019-01-12</t>
        </is>
      </c>
      <c r="C1028" s="30">
        <f>HYPERLINK("https://vk.com/wall-1825701_4155", "Открыть пост")</f>
        <v/>
      </c>
      <c r="D1028" s="31" t="inlineStr">
        <is>
          <t>Творческие мастер-классы и художественные студии</t>
        </is>
      </c>
      <c r="E1028" s="31" t="inlineStr">
        <is>
          <t>Творческие мастер-классы и художественные студии</t>
        </is>
      </c>
      <c r="F1028" s="31" t="inlineStr">
        <is>
          <t>Подростки и взрослые с ментальными особенностями и ОВЗ (ПНИ / Социальные дома)</t>
        </is>
      </c>
      <c r="G1028" s="31" t="inlineStr">
        <is>
          <t>Студия фонда / выездная площадка</t>
        </is>
      </c>
      <c r="H1028" s="31" t="inlineStr">
        <is>
          <t>Художественно-прикладные и ремесленные навыки; Коммуникативные навыки, эмпатия и тьюторское сопровождение; Организационные, ивент- и ярмарочные навыки</t>
        </is>
      </c>
      <c r="I1028" s="32" t="inlineStr">
        <is>
          <t>По формату занятия</t>
        </is>
      </c>
      <c r="J1028" s="31" t="inlineStr">
        <is>
          <t>А после занятия в студии ребята из ПНИ 16 не расстались с художницей Нюсей Митиной, а увезли её с собой в интернат, где она провела занятие живописью для всех желающих. Желающих набежало много — соскучились за праздники по рисованию! Занятия проходят при финансовой поддержке Коми...</t>
        </is>
      </c>
    </row>
    <row r="1029" ht="30" customHeight="1">
      <c r="A1029" s="23" t="n">
        <v>4153</v>
      </c>
      <c r="B1029" s="24" t="inlineStr">
        <is>
          <t>2019-01-06</t>
        </is>
      </c>
      <c r="C1029" s="25">
        <f>HYPERLINK("https://vk.com/wall-1825701_4153", "Открыть пост")</f>
        <v/>
      </c>
      <c r="D1029" s="26" t="inlineStr">
        <is>
          <t>Спортивные и активные мероприятия</t>
        </is>
      </c>
      <c r="E1029" s="26" t="inlineStr">
        <is>
          <t>Спортивные и активные мероприятия</t>
        </is>
      </c>
      <c r="F1029" s="26" t="inlineStr">
        <is>
          <t>Подопечные фонда «Дети Марии» (общая группа детей и подростков)</t>
        </is>
      </c>
      <c r="G1029" s="26" t="inlineStr">
        <is>
          <t>Студия фонда / выездная площадка</t>
        </is>
      </c>
      <c r="H1029" s="26" t="inlineStr">
        <is>
          <t>Артистические, музыкальные и спортивно-игровые навыки; Организационные, ивент- и ярмарочные навыки</t>
        </is>
      </c>
      <c r="I1029" s="27" t="inlineStr">
        <is>
          <t>По формату занятия</t>
        </is>
      </c>
      <c r="J1029" s="26" t="inlineStr">
        <is>
          <t>Вчера во дворе на Большом Каретном, 17 мы вместе с клубами «Детское ателье», «Шапо-Синтез» и «Ретроспектива» провели дворовый праздник. Танцевали, играли в ручеёк, салки на коньках, отдали снежки в цель, грелись горячим чаем с печеньками. Веселились и взрослые, и дети!</t>
        </is>
      </c>
    </row>
    <row r="1030" ht="30" customHeight="1">
      <c r="A1030" s="28" t="n">
        <v>4152</v>
      </c>
      <c r="B1030" s="29" t="inlineStr">
        <is>
          <t>2019-01-04</t>
        </is>
      </c>
      <c r="C1030" s="30">
        <f>HYPERLINK("https://vk.com/wall-1825701_4152", "Открыть пост")</f>
        <v/>
      </c>
      <c r="D1030" s="31" t="inlineStr">
        <is>
          <t>Творческие мастер-классы и художественные студии</t>
        </is>
      </c>
      <c r="E1030" s="31" t="inlineStr">
        <is>
          <t>Творческие мастер-классы и художественные студии</t>
        </is>
      </c>
      <c r="F1030" s="31" t="inlineStr">
        <is>
          <t>Подопечные фонда «Дети Марии» (общая группа детей и подростков)</t>
        </is>
      </c>
      <c r="G1030" s="31" t="inlineStr">
        <is>
          <t>Студия фонда / выездная площадка</t>
        </is>
      </c>
      <c r="H1030" s="31" t="inlineStr">
        <is>
          <t>Художественно-прикладные и ремесленные навыки; Артистические, музыкальные и спортивно-игровые навыки; Организационные, ивент- и ярмарочные навыки</t>
        </is>
      </c>
      <c r="I1030" s="32" t="inlineStr">
        <is>
          <t>По формату занятия</t>
        </is>
      </c>
      <c r="J1030" s="31" t="inlineStr">
        <is>
          <t>На улице снег и волшебная красота, самое время для прогулок, и завтра в 13 часов приглашаем всех на дворовый праздник. Проведём его все вместе с досуговыми клубами-соседями во дворе на Б. Каретном, 17. Там каток, так что можно взять коньки. Будем водить хороводы, лепить снеговико...</t>
        </is>
      </c>
    </row>
    <row r="1031" ht="30" customHeight="1">
      <c r="A1031" s="23" t="n">
        <v>4148</v>
      </c>
      <c r="B1031" s="24" t="inlineStr">
        <is>
          <t>2018-12-30</t>
        </is>
      </c>
      <c r="C1031" s="25">
        <f>HYPERLINK("https://vk.com/wall-1825701_4148", "Открыть пост")</f>
        <v/>
      </c>
      <c r="D1031" s="26" t="inlineStr">
        <is>
          <t>Творческие мастер-классы и художественные студии</t>
        </is>
      </c>
      <c r="E1031" s="26" t="inlineStr">
        <is>
          <t>Творческие мастер-классы и художественные студии</t>
        </is>
      </c>
      <c r="F1031" s="26" t="inlineStr">
        <is>
          <t>Подростки и взрослые с ментальными особенностями и ОВЗ (ПНИ / Социальные дома)</t>
        </is>
      </c>
      <c r="G1031" s="26" t="inlineStr">
        <is>
          <t>Студия фонда / выездная площадка</t>
        </is>
      </c>
      <c r="H1031" s="26" t="inlineStr">
        <is>
          <t>Художественно-прикладные и ремесленные навыки; Организационные, ивент- и ярмарочные навыки</t>
        </is>
      </c>
      <c r="I1031" s="27" t="inlineStr">
        <is>
          <t>Да (в тексте)</t>
        </is>
      </c>
      <c r="J1031" s="26" t="inlineStr">
        <is>
          <t>В пятницу утром в студии ребята из ПНИ 16. Последнее занятие перед праздниками, за рисованием и рукоделием строим планы на Новый Год. И поздравляем с днём рождения Дашу! Спасибо всем необыкновенным волонтёрам, которые приходят к занятиям с ребятами из ПНИ, нашими «взрослыми детьм...</t>
        </is>
      </c>
    </row>
    <row r="1032" ht="30" customHeight="1">
      <c r="A1032" s="28" t="n">
        <v>4143</v>
      </c>
      <c r="B1032" s="29" t="inlineStr">
        <is>
          <t>2018-12-28</t>
        </is>
      </c>
      <c r="C1032" s="30">
        <f>HYPERLINK("https://vk.com/wall-1825701_4143", "Открыть пост")</f>
        <v/>
      </c>
      <c r="D1032" s="31" t="inlineStr">
        <is>
          <t>Кулинарные, образовательные и социально-бытовые занятия</t>
        </is>
      </c>
      <c r="E1032" s="31" t="inlineStr">
        <is>
          <t>Кулинарные, образовательные и социально-бытовые занятия; Творческие мастер-классы и художественные студии; Праздники, дни рождения и клубные встречи</t>
        </is>
      </c>
      <c r="F1032" s="31" t="inlineStr">
        <is>
          <t>Подростки и взрослые с ментальными особенностями и ОВЗ (ПНИ / Социальные дома); Воспитанники ЦССВ, ДДИ и детских домов-интернатов</t>
        </is>
      </c>
      <c r="G1032" s="31" t="inlineStr">
        <is>
          <t>ЦССВ «Спутник»</t>
        </is>
      </c>
      <c r="H1032" s="31" t="inlineStr">
        <is>
          <t>Педагогические и наставнические навыки (кулинария, быт, учёба); Организационные, ивент- и ярмарочные навыки</t>
        </is>
      </c>
      <c r="I1032" s="32" t="inlineStr">
        <is>
          <t>По формату занятия</t>
        </is>
      </c>
      <c r="J1032" s="31" t="inlineStr">
        <is>
          <t>Мы уже писали, что во вторник ребята из ПНИ 16 побывали в отеле «Мариотт» на кулинарном мастер-классе. А в среду отель пригласил детей из ЦССВ «Спутник». Под руководством поваров из ресторана отеля ребята приготовили сладкие десерты в виде новогодних ёлочек. И чаепитие было, и ки...</t>
        </is>
      </c>
    </row>
    <row r="1033" ht="30" customHeight="1">
      <c r="A1033" s="23" t="n">
        <v>4142</v>
      </c>
      <c r="B1033" s="24" t="inlineStr">
        <is>
          <t>2018-12-28</t>
        </is>
      </c>
      <c r="C1033" s="25">
        <f>HYPERLINK("https://vk.com/wall-1825701_4142", "Открыть пост")</f>
        <v/>
      </c>
      <c r="D1033" s="26" t="inlineStr">
        <is>
          <t>Спектакли, концерты и музыкально-театральные занятия</t>
        </is>
      </c>
      <c r="E1033" s="26" t="inlineStr">
        <is>
          <t>Спектакли, концерты и музыкально-театральные занятия</t>
        </is>
      </c>
      <c r="F1033" s="26" t="inlineStr">
        <is>
          <t>Воспитанники ЦССВ, ДДИ и детских домов-интернатов</t>
        </is>
      </c>
      <c r="G1033" s="26" t="inlineStr">
        <is>
          <t>Студия фонда / выездная площадка</t>
        </is>
      </c>
      <c r="H1033" s="26" t="inlineStr">
        <is>
          <t>Артистические, музыкальные и спортивно-игровые навыки</t>
        </is>
      </c>
      <c r="I1033" s="27" t="inlineStr">
        <is>
          <t>По формату занятия</t>
        </is>
      </c>
      <c r="J1033" s="26" t="inlineStr">
        <is>
          <t>И малыши из Сергиево-Посадского детского дома «Березка» были очень рады игрушкам от компании «Маттел». А ещё мы посмотрели у них классный концерт и новогоднюю сказку. И наш Лёшка (он помогал нам расписывать стены) был лисом!</t>
        </is>
      </c>
    </row>
    <row r="1034" ht="30" customHeight="1">
      <c r="A1034" s="28" t="n">
        <v>4140</v>
      </c>
      <c r="B1034" s="29" t="inlineStr">
        <is>
          <t>2018-12-26</t>
        </is>
      </c>
      <c r="C1034" s="30">
        <f>HYPERLINK("https://vk.com/wall-1825701_4140", "Открыть пост")</f>
        <v/>
      </c>
      <c r="D1034" s="31" t="inlineStr">
        <is>
          <t>Спектакли, концерты и музыкально-театральные занятия</t>
        </is>
      </c>
      <c r="E1034" s="31" t="inlineStr">
        <is>
          <t>Спектакли, концерты и музыкально-театральные занятия; Праздники, дни рождения и клубные встречи</t>
        </is>
      </c>
      <c r="F1034" s="31" t="inlineStr">
        <is>
          <t>Подопечные фонда «Дети Марии» (общая группа детей и подростков)</t>
        </is>
      </c>
      <c r="G1034" s="31" t="inlineStr">
        <is>
          <t>Студия фонда / выездная площадка</t>
        </is>
      </c>
      <c r="H1034" s="31" t="inlineStr">
        <is>
          <t>Артистические, музыкальные и спортивно-игровые навыки; Организационные, ивент- и ярмарочные навыки</t>
        </is>
      </c>
      <c r="I1034" s="32" t="inlineStr">
        <is>
          <t>По формату занятия</t>
        </is>
      </c>
      <c r="J1034" s="31" t="inlineStr">
        <is>
          <t>Последнее занятие с «Книжным гидом» в этом году было необычным. Не просто читали книгу про Мумми-тролей, а сделали целый импровизированный спектакль с чаепитием. Спасибо Александре и Марии, что были с нами весь этот год! Приходите к нам, любители книг, после праздников. Почитаем ...</t>
        </is>
      </c>
    </row>
    <row r="1035" ht="30" customHeight="1">
      <c r="A1035" s="23" t="n">
        <v>4137</v>
      </c>
      <c r="B1035" s="24" t="inlineStr">
        <is>
          <t>2018-12-25</t>
        </is>
      </c>
      <c r="C1035" s="25">
        <f>HYPERLINK("https://vk.com/wall-1825701_4137", "Открыть пост")</f>
        <v/>
      </c>
      <c r="D1035" s="26" t="inlineStr">
        <is>
          <t>Кулинарные, образовательные и социально-бытовые занятия</t>
        </is>
      </c>
      <c r="E1035" s="26" t="inlineStr">
        <is>
          <t>Кулинарные, образовательные и социально-бытовые занятия; Творческие мастер-классы и художественные студии</t>
        </is>
      </c>
      <c r="F1035" s="26" t="inlineStr">
        <is>
          <t>Подростки и взрослые с ментальными особенностями и ОВЗ (ПНИ / Социальные дома)</t>
        </is>
      </c>
      <c r="G1035" s="26" t="inlineStr">
        <is>
          <t>Студия фонда / выездная площадка</t>
        </is>
      </c>
      <c r="H1035" s="26" t="inlineStr">
        <is>
          <t>Педагогические и наставнические навыки (кулинария, быт, учёба); Организационные, ивент- и ярмарочные навыки</t>
        </is>
      </c>
      <c r="I1035" s="27" t="inlineStr">
        <is>
          <t>По формату занятия</t>
        </is>
      </c>
      <c r="J1035" s="26" t="inlineStr">
        <is>
          <t>Сегодня ребята из ПНИ 16 побывали на кулинарном мастер-классе в ресторане отеля Мариотт на Арбате. Такие уроки они обожают! Ещё бы, можно самому приготовить блюдо (сегодня было буррито), выбрать ингридиенты для начинки каждому на свой вкус, а потом его ещё и съесть! Приготовленно...</t>
        </is>
      </c>
    </row>
    <row r="1036" ht="30" customHeight="1">
      <c r="A1036" s="28" t="n">
        <v>4136</v>
      </c>
      <c r="B1036" s="29" t="inlineStr">
        <is>
          <t>2018-12-25</t>
        </is>
      </c>
      <c r="C1036" s="30">
        <f>HYPERLINK("https://vk.com/wall-1825701_4136", "Открыть пост")</f>
        <v/>
      </c>
      <c r="D1036" s="31" t="inlineStr">
        <is>
          <t>Творческие мастер-классы и художественные студии</t>
        </is>
      </c>
      <c r="E1036" s="31" t="inlineStr">
        <is>
          <t>Творческие мастер-классы и художественные студии</t>
        </is>
      </c>
      <c r="F1036" s="31" t="inlineStr">
        <is>
          <t>Подопечные фонда «Дети Марии» (общая группа детей и подростков)</t>
        </is>
      </c>
      <c r="G1036" s="31" t="inlineStr">
        <is>
          <t>Студия фонда / выездная площадка</t>
        </is>
      </c>
      <c r="H1036" s="31" t="inlineStr">
        <is>
          <t>Художественно-прикладные и ремесленные навыки; Коммуникативные навыки, эмпатия и тьюторское сопровождение; Организационные, ивент- и ярмарочные навыки</t>
        </is>
      </c>
      <c r="I1036" s="32" t="inlineStr">
        <is>
          <t>По формату занятия</t>
        </is>
      </c>
      <c r="J1036" s="31" t="inlineStr">
        <is>
          <t>Последнее в уходящем году занятие керамикой для взрослых в понедельник вечером. Что приятно — нас становится всё больше. Лепим, расписываем, общаемся. До новых встреч и новых творений после праздников!</t>
        </is>
      </c>
    </row>
    <row r="1037" ht="30" customHeight="1">
      <c r="A1037" s="23" t="n">
        <v>4135</v>
      </c>
      <c r="B1037" s="24" t="inlineStr">
        <is>
          <t>2018-12-25</t>
        </is>
      </c>
      <c r="C1037" s="25">
        <f>HYPERLINK("https://vk.com/wall-1825701_4135", "Открыть пост")</f>
        <v/>
      </c>
      <c r="D1037" s="26" t="inlineStr">
        <is>
          <t>Творческие мастер-классы и художественные студии</t>
        </is>
      </c>
      <c r="E1037" s="26" t="inlineStr">
        <is>
          <t>Творческие мастер-классы и художественные студии</t>
        </is>
      </c>
      <c r="F1037" s="26" t="inlineStr">
        <is>
          <t>Подростки и взрослые с ментальными особенностями и ОВЗ (ПНИ / Социальные дома); Выпускники интернатов и детских домов (молодые взрослые)</t>
        </is>
      </c>
      <c r="G1037" s="26" t="inlineStr">
        <is>
          <t>Тверская 15</t>
        </is>
      </c>
      <c r="H1037" s="26" t="inlineStr">
        <is>
          <t>Художественно-прикладные и ремесленные навыки; Артистические, музыкальные и спортивно-игровые навыки; Организационные, ивент- и ярмарочные навыки</t>
        </is>
      </c>
      <c r="I1037" s="27" t="inlineStr">
        <is>
          <t>Да (в тексте)</t>
        </is>
      </c>
      <c r="J1037" s="26" t="inlineStr">
        <is>
          <t>В воскресенье у нас был детский Новый Год в пространстве творчества и развития «Тверская 15». Собрались дети из Тверского и других районов, которые занимаются в студии, дети наших выпускников, «взрослые дети» — молодые люди с особенностями из ПНИ 11. Сначала, по студийной традици...</t>
        </is>
      </c>
    </row>
    <row r="1038" ht="30" customHeight="1">
      <c r="A1038" s="28" t="n">
        <v>4134</v>
      </c>
      <c r="B1038" s="29" t="inlineStr">
        <is>
          <t>2018-12-23</t>
        </is>
      </c>
      <c r="C1038" s="30">
        <f>HYPERLINK("https://vk.com/wall-1825701_4134", "Открыть пост")</f>
        <v/>
      </c>
      <c r="D1038" s="31" t="inlineStr">
        <is>
          <t>Творческие мастер-классы и художественные студии</t>
        </is>
      </c>
      <c r="E1038" s="31" t="inlineStr">
        <is>
          <t>Творческие мастер-классы и художественные студии</t>
        </is>
      </c>
      <c r="F1038" s="31" t="inlineStr">
        <is>
          <t>Подростки и взрослые с ментальными особенностями и ОВЗ (ПНИ / Социальные дома); Воспитанники ЦССВ, ДДИ и детских домов-интернатов</t>
        </is>
      </c>
      <c r="G1038" s="31" t="inlineStr">
        <is>
          <t>Студия фонда / выездная площадка</t>
        </is>
      </c>
      <c r="H1038" s="31" t="inlineStr">
        <is>
          <t>Художественно-прикладные и ремесленные навыки</t>
        </is>
      </c>
      <c r="I1038" s="32" t="inlineStr">
        <is>
          <t>По формату занятия</t>
        </is>
      </c>
      <c r="J1038" s="31" t="inlineStr">
        <is>
          <t>Валя Ляховская не перестаёт нас радовать и удивлять новыми картинами! Спешим поделиться. Валя живёт в ПНИ 16, но приезжала к нам на занятия с детства, ещё из детского дома. Потом на несколько лет мы потеряли с ней связь, и вот, в этом году она снова стала сначала приходить на зан...</t>
        </is>
      </c>
    </row>
    <row r="1039" ht="30" customHeight="1">
      <c r="A1039" s="23" t="n">
        <v>4130</v>
      </c>
      <c r="B1039" s="24" t="inlineStr">
        <is>
          <t>2018-12-22</t>
        </is>
      </c>
      <c r="C1039" s="25">
        <f>HYPERLINK("https://vk.com/wall-1825701_4130", "Открыть пост")</f>
        <v/>
      </c>
      <c r="D1039" s="26" t="inlineStr">
        <is>
          <t>Ярмарки, фестивали и благотворительные базары</t>
        </is>
      </c>
      <c r="E1039" s="26" t="inlineStr">
        <is>
          <t>Ярмарки, фестивали и благотворительные базары</t>
        </is>
      </c>
      <c r="F1039" s="26" t="inlineStr">
        <is>
          <t>Подопечные фонда «Дети Марии» (общая группа детей и подростков)</t>
        </is>
      </c>
      <c r="G1039" s="26" t="inlineStr">
        <is>
          <t>Студия фонда / выездная площадка</t>
        </is>
      </c>
      <c r="H1039" s="26" t="inlineStr">
        <is>
          <t>Коммуникативные навыки, эмпатия и тьюторское сопровождение; Организационные, ивент- и ярмарочные навыки</t>
        </is>
      </c>
      <c r="I1039" s="27" t="inlineStr">
        <is>
          <t>По формату занятия</t>
        </is>
      </c>
      <c r="J1039" s="26" t="inlineStr">
        <is>
          <t>Вчера мы участвовали сразу в трёх благотворительный ярмарках! И везде нас принимали очень тепло и душевно, спасибо большое! В БЦ «Двинцев», куда нас пригласила компания «Медиаскоп», нам пожертвоввали 35850 рублей, в Сбербанке на Вавилова — 49910 рублей, а в Сбербанке на Кутузовск...</t>
        </is>
      </c>
    </row>
    <row r="1040" ht="30" customHeight="1">
      <c r="A1040" s="28" t="n">
        <v>4128</v>
      </c>
      <c r="B1040" s="29" t="inlineStr">
        <is>
          <t>2018-12-21</t>
        </is>
      </c>
      <c r="C1040" s="30">
        <f>HYPERLINK("https://vk.com/wall-1825701_4128", "Открыть пост")</f>
        <v/>
      </c>
      <c r="D1040" s="31" t="inlineStr">
        <is>
          <t>Праздники, дни рождения и клубные встречи</t>
        </is>
      </c>
      <c r="E1040" s="31" t="inlineStr">
        <is>
          <t>Праздники, дни рождения и клубные встречи</t>
        </is>
      </c>
      <c r="F1040" s="31" t="inlineStr">
        <is>
          <t>Подопечные фонда «Дети Марии» (общая группа детей и подростков)</t>
        </is>
      </c>
      <c r="G1040" s="31" t="inlineStr">
        <is>
          <t>Студия фонда / выездная площадка</t>
        </is>
      </c>
      <c r="H1040" s="31" t="inlineStr">
        <is>
          <t>Организационные, ивент- и ярмарочные навыки</t>
        </is>
      </c>
      <c r="I1040" s="32" t="inlineStr">
        <is>
          <t>По формату занятия</t>
        </is>
      </c>
      <c r="J1040" s="31" t="inlineStr">
        <is>
          <t>Продолжаем предновогодние занятия в арт-пространстве на Тверской 15. Вчера ёлочные украшения из шишек и снеговиков из носков делали дети из 31го интерната. Восторгов и радости было много! А потом — праздничное чаепитие с подарками от Деда Мороза! Спасибо команде @tverskaya15 и вс...</t>
        </is>
      </c>
    </row>
    <row r="1041" ht="30" customHeight="1">
      <c r="A1041" s="23" t="n">
        <v>4127</v>
      </c>
      <c r="B1041" s="24" t="inlineStr">
        <is>
          <t>2018-12-20</t>
        </is>
      </c>
      <c r="C1041" s="25">
        <f>HYPERLINK("https://vk.com/wall-1825701_4127", "Открыть пост")</f>
        <v/>
      </c>
      <c r="D1041" s="26" t="inlineStr">
        <is>
          <t>Творческие мастер-классы и художественные студии</t>
        </is>
      </c>
      <c r="E1041" s="26" t="inlineStr">
        <is>
          <t>Творческие мастер-классы и художественные студии</t>
        </is>
      </c>
      <c r="F1041" s="26" t="inlineStr">
        <is>
          <t>Подопечные фонда «Дети Марии» (общая группа детей и подростков)</t>
        </is>
      </c>
      <c r="G1041" s="26" t="inlineStr">
        <is>
          <t>Студия фонда / выездная площадка</t>
        </is>
      </c>
      <c r="H1041" s="26" t="inlineStr">
        <is>
          <t>Художественно-прикладные и ремесленные навыки</t>
        </is>
      </c>
      <c r="I1041" s="27" t="inlineStr">
        <is>
          <t>По формату занятия</t>
        </is>
      </c>
      <c r="J1041" s="26" t="inlineStr">
        <is>
          <t>На занятиях рисованием для взрослых народу мыло немного — грипп и предновогодние хлопоты проредили наши ряды.😢 Нюся принесла нам замечательные портреты голов античных статуй, на которых видны все стадии создания рисунка. Так что творили по всем канонам академического искусства. П...</t>
        </is>
      </c>
    </row>
    <row r="1042" ht="30" customHeight="1">
      <c r="A1042" s="28" t="n">
        <v>4126</v>
      </c>
      <c r="B1042" s="29" t="inlineStr">
        <is>
          <t>2018-12-20</t>
        </is>
      </c>
      <c r="C1042" s="30">
        <f>HYPERLINK("https://vk.com/wall-1825701_4126", "Открыть пост")</f>
        <v/>
      </c>
      <c r="D1042" s="31" t="inlineStr">
        <is>
          <t>Кулинарные, образовательные и социально-бытовые занятия</t>
        </is>
      </c>
      <c r="E1042" s="31" t="inlineStr">
        <is>
          <t>Кулинарные, образовательные и социально-бытовые занятия; Творческие мастер-классы и художественные студии</t>
        </is>
      </c>
      <c r="F1042" s="31" t="inlineStr">
        <is>
          <t>Подопечные фонда «Дети Марии» (общая группа детей и подростков)</t>
        </is>
      </c>
      <c r="G1042" s="31" t="inlineStr">
        <is>
          <t>Студия фонда / выездная площадка</t>
        </is>
      </c>
      <c r="H1042" s="31" t="inlineStr">
        <is>
          <t>Педагогические и наставнические навыки (кулинария, быт, учёба)</t>
        </is>
      </c>
      <c r="I1042" s="32" t="inlineStr">
        <is>
          <t>По формату занятия</t>
        </is>
      </c>
      <c r="J1042" s="31" t="inlineStr">
        <is>
          <t>Шаурма — ближневосточное (левантийское) блюдо из питы или лаваша, начинённого приготовленным на гриле, а затем рубленым мясом (баранина, курятина, реже — телятина или индюшатина) с добавлением специй, соусов и салата из свежих овощей. В немусульманских странах может встречаться и...</t>
        </is>
      </c>
    </row>
    <row r="1043" ht="30" customHeight="1">
      <c r="A1043" s="23" t="n">
        <v>4124</v>
      </c>
      <c r="B1043" s="24" t="inlineStr">
        <is>
          <t>2018-12-19</t>
        </is>
      </c>
      <c r="C1043" s="25">
        <f>HYPERLINK("https://vk.com/wall-1825701_4124", "Открыть пост")</f>
        <v/>
      </c>
      <c r="D1043" s="26" t="inlineStr">
        <is>
          <t>Ярмарки, фестивали и благотворительные базары</t>
        </is>
      </c>
      <c r="E1043" s="26" t="inlineStr">
        <is>
          <t>Ярмарки, фестивали и благотворительные базары</t>
        </is>
      </c>
      <c r="F1043" s="26" t="inlineStr">
        <is>
          <t>Подопечные фонда «Дети Марии» (общая группа детей и подростков)</t>
        </is>
      </c>
      <c r="G1043" s="26" t="inlineStr">
        <is>
          <t>Студия фонда / выездная площадка</t>
        </is>
      </c>
      <c r="H1043" s="26" t="inlineStr">
        <is>
          <t>Организационные, ивент- и ярмарочные навыки</t>
        </is>
      </c>
      <c r="I1043" s="27" t="inlineStr">
        <is>
          <t>По формату занятия</t>
        </is>
      </c>
      <c r="J1043" s="26" t="inlineStr">
        <is>
          <t>Сегодня на благотворительной ярмарке в офисе Ростелекома замечательные сотрудники этой замечательной компании пожертвовали нам 21950 рублей. Спасибо душевное!</t>
        </is>
      </c>
    </row>
    <row r="1044" ht="30" customHeight="1">
      <c r="A1044" s="28" t="n">
        <v>4122</v>
      </c>
      <c r="B1044" s="29" t="inlineStr">
        <is>
          <t>2018-12-19</t>
        </is>
      </c>
      <c r="C1044" s="30">
        <f>HYPERLINK("https://vk.com/wall-1825701_4122", "Открыть пост")</f>
        <v/>
      </c>
      <c r="D1044" s="31" t="inlineStr">
        <is>
          <t>Праздники, дни рождения и клубные встречи</t>
        </is>
      </c>
      <c r="E1044" s="31" t="inlineStr">
        <is>
          <t>Праздники, дни рождения и клубные встречи</t>
        </is>
      </c>
      <c r="F1044" s="31" t="inlineStr">
        <is>
          <t>Подопечные фонда «Дети Марии» (общая группа детей и подростков)</t>
        </is>
      </c>
      <c r="G1044" s="31" t="inlineStr">
        <is>
          <t>Студия фонда / выездная площадка</t>
        </is>
      </c>
      <c r="H1044" s="31" t="inlineStr">
        <is>
          <t>Организационные, ивент- и ярмарочные навыки</t>
        </is>
      </c>
      <c r="I1044" s="32" t="inlineStr">
        <is>
          <t>По формату занятия</t>
        </is>
      </c>
      <c r="J1044" s="31" t="inlineStr">
        <is>
          <t>Праздничные занятия на этой неделе завершаются праздничными чаепитиями. А главный атрибут новогоднего чаепития — это, конечно, мандарины. 40 килограммов чудесных мандаринов подарили нам друзья из компании Moscow Fresh. Спасибо вам, люди добрые! Вместе с вами мы сделаем по-настоящ...</t>
        </is>
      </c>
    </row>
    <row r="1045" ht="30" customHeight="1">
      <c r="A1045" s="23" t="n">
        <v>4120</v>
      </c>
      <c r="B1045" s="24" t="inlineStr">
        <is>
          <t>2018-12-18</t>
        </is>
      </c>
      <c r="C1045" s="25">
        <f>HYPERLINK("https://vk.com/wall-1825701_4120", "Открыть пост")</f>
        <v/>
      </c>
      <c r="D1045" s="26" t="inlineStr">
        <is>
          <t>Творческие мастер-классы и художественные студии</t>
        </is>
      </c>
      <c r="E1045" s="26" t="inlineStr">
        <is>
          <t>Творческие мастер-классы и художественные студии</t>
        </is>
      </c>
      <c r="F1045" s="26" t="inlineStr">
        <is>
          <t>Подопечные фонда «Дети Марии» (общая группа детей и подростков)</t>
        </is>
      </c>
      <c r="G1045" s="26" t="inlineStr">
        <is>
          <t>Студия фонда / выездная площадка</t>
        </is>
      </c>
      <c r="H1045" s="26" t="inlineStr">
        <is>
          <t>Художественно-прикладные и ремесленные навыки</t>
        </is>
      </c>
      <c r="I1045" s="27" t="inlineStr">
        <is>
          <t>По формату занятия</t>
        </is>
      </c>
      <c r="J1045" s="26" t="inlineStr">
        <is>
          <t>Лепим ангелов — навеяло приближаюшимся Рождеством. Ангелы получаются все разнохарактерные — ведь каждый автор вкладывает в свою работу кусочек своей души. Приглашаем на бесплатные занятия керамикой для взрослых жителей Тверского и других районов центра Москвы. Занимаемся по понед...</t>
        </is>
      </c>
    </row>
    <row r="1046" ht="30" customHeight="1">
      <c r="A1046" s="28" t="n">
        <v>4116</v>
      </c>
      <c r="B1046" s="29" t="inlineStr">
        <is>
          <t>2018-12-17</t>
        </is>
      </c>
      <c r="C1046" s="30">
        <f>HYPERLINK("https://vk.com/wall-1825701_4116", "Открыть пост")</f>
        <v/>
      </c>
      <c r="D1046" s="31" t="inlineStr">
        <is>
          <t>Творческие мастер-классы и художественные студии</t>
        </is>
      </c>
      <c r="E1046" s="31" t="inlineStr">
        <is>
          <t>Творческие мастер-классы и художественные студии</t>
        </is>
      </c>
      <c r="F1046" s="31" t="inlineStr">
        <is>
          <t>Подопечные фонда «Дети Марии» (общая группа детей и подростков)</t>
        </is>
      </c>
      <c r="G1046" s="31" t="inlineStr">
        <is>
          <t>Студия фонда / выездная площадка</t>
        </is>
      </c>
      <c r="H1046" s="31" t="inlineStr">
        <is>
          <t>Художественно-прикладные и ремесленные навыки; Педагогические и наставнические навыки (кулинария, быт, учёба)</t>
        </is>
      </c>
      <c r="I1046" s="32" t="inlineStr">
        <is>
          <t>По формату занятия</t>
        </is>
      </c>
      <c r="J1046" s="31" t="inlineStr">
        <is>
          <t>Днём в субботу — занятия для детей Тверского и других районов ЦАО. Готовим подарки близким на Новый Год — самые красивые отрытки рисуем с художницей Нюсей, лепим синих птиц с керамистом Николаем. И поём, и чай пьём — у нас очень тёплая, домашняя обстановка. Приглашаем на бесплатн...</t>
        </is>
      </c>
    </row>
    <row r="1047" ht="30" customHeight="1">
      <c r="A1047" s="23" t="n">
        <v>4113</v>
      </c>
      <c r="B1047" s="24" t="inlineStr">
        <is>
          <t>2018-12-14</t>
        </is>
      </c>
      <c r="C1047" s="25">
        <f>HYPERLINK("https://vk.com/wall-1825701_4113", "Открыть пост")</f>
        <v/>
      </c>
      <c r="D1047" s="26" t="inlineStr">
        <is>
          <t>Творческие мастер-классы и художественные студии</t>
        </is>
      </c>
      <c r="E1047" s="26" t="inlineStr">
        <is>
          <t>Творческие мастер-классы и художественные студии</t>
        </is>
      </c>
      <c r="F1047" s="26" t="inlineStr">
        <is>
          <t>Подростки и взрослые с ментальными особенностями и ОВЗ (ПНИ / Социальные дома); Воспитанники ЦССВ, ДДИ и детских домов-интернатов</t>
        </is>
      </c>
      <c r="G1047" s="26" t="inlineStr">
        <is>
          <t>Тверская 15</t>
        </is>
      </c>
      <c r="H1047" s="26" t="inlineStr">
        <is>
          <t>Педагогические и наставнические навыки (кулинария, быт, учёба)</t>
        </is>
      </c>
      <c r="I1047" s="27" t="inlineStr">
        <is>
          <t>Да (в тексте)</t>
        </is>
      </c>
      <c r="J1047" s="26" t="inlineStr">
        <is>
          <t>Друзья! Студия «Дети Марии» вместе с фондом «Пеликан» и нашим новым партнёром АНО «Тверская 15» в этом году устраивают несколько новогодних ёлок для детей из детских домов и ребят из взрослых ПНИ. Мы планируем тематические новогодние мастер-классы и, конечно, к ребятам придут Дед...</t>
        </is>
      </c>
    </row>
    <row r="1048" ht="30" customHeight="1">
      <c r="A1048" s="28" t="n">
        <v>4112</v>
      </c>
      <c r="B1048" s="29" t="inlineStr">
        <is>
          <t>2018-12-14</t>
        </is>
      </c>
      <c r="C1048" s="30">
        <f>HYPERLINK("https://vk.com/wall-1825701_4112", "Открыть пост")</f>
        <v/>
      </c>
      <c r="D1048" s="31" t="inlineStr">
        <is>
          <t>Ярмарки, фестивали и благотворительные базары</t>
        </is>
      </c>
      <c r="E1048" s="31" t="inlineStr">
        <is>
          <t>Ярмарки, фестивали и благотворительные базары</t>
        </is>
      </c>
      <c r="F1048" s="31" t="inlineStr">
        <is>
          <t>Подопечные фонда «Дети Марии» (общая группа детей и подростков)</t>
        </is>
      </c>
      <c r="G1048" s="31" t="inlineStr">
        <is>
          <t>Студия фонда / выездная площадка</t>
        </is>
      </c>
      <c r="H1048" s="31" t="inlineStr">
        <is>
          <t>Организационные, ивент- и ярмарочные навыки</t>
        </is>
      </c>
      <c r="I1048" s="32" t="inlineStr">
        <is>
          <t>По формату занятия</t>
        </is>
      </c>
      <c r="J1048" s="31" t="inlineStr">
        <is>
          <t>И сегодня мы побывали на двух благотворительных ярмарках. В офисе компании РусГидро на Малой Дмитровке сотрудники пожертвовали нам 22450 рублей, а в офисе Мегафона на Оружейном — 25850 рублей. Спасибо, дорогие друзья!</t>
        </is>
      </c>
    </row>
    <row r="1049" ht="30" customHeight="1">
      <c r="A1049" s="23" t="n">
        <v>4110</v>
      </c>
      <c r="B1049" s="24" t="inlineStr">
        <is>
          <t>2018-12-14</t>
        </is>
      </c>
      <c r="C1049" s="25">
        <f>HYPERLINK("https://vk.com/wall-1825701_4110", "Открыть пост")</f>
        <v/>
      </c>
      <c r="D1049" s="26" t="inlineStr">
        <is>
          <t>Творческие мастер-классы и художественные студии</t>
        </is>
      </c>
      <c r="E1049" s="26" t="inlineStr">
        <is>
          <t>Творческие мастер-классы и художественные студии</t>
        </is>
      </c>
      <c r="F1049" s="26" t="inlineStr">
        <is>
          <t>Подопечные фонда «Дети Марии» (общая группа детей и подростков)</t>
        </is>
      </c>
      <c r="G1049" s="26" t="inlineStr">
        <is>
          <t>Студия фонда / выездная площадка</t>
        </is>
      </c>
      <c r="H1049" s="26" t="inlineStr">
        <is>
          <t>Художественно-прикладные и ремесленные навыки</t>
        </is>
      </c>
      <c r="I1049" s="27" t="inlineStr">
        <is>
          <t>По формату занятия</t>
        </is>
      </c>
      <c r="J1049" s="26" t="inlineStr">
        <is>
          <t>На занятиях рисованием для взрослых в среду мы продолжили изображать голову в разных ракурсах. В следующий раз перейдём к целой фигуре человека. Столько нового узнали об анатомии!) Присоединиться к занятиям можно В любую среду с 19 часов.</t>
        </is>
      </c>
    </row>
    <row r="1050" ht="30" customHeight="1">
      <c r="A1050" s="28" t="n">
        <v>4108</v>
      </c>
      <c r="B1050" s="29" t="inlineStr">
        <is>
          <t>2018-12-14</t>
        </is>
      </c>
      <c r="C1050" s="30">
        <f>HYPERLINK("https://vk.com/wall-1825701_4108", "Открыть пост")</f>
        <v/>
      </c>
      <c r="D1050" s="31" t="inlineStr">
        <is>
          <t>Ярмарки, фестивали и благотворительные базары</t>
        </is>
      </c>
      <c r="E1050" s="31" t="inlineStr">
        <is>
          <t>Ярмарки, фестивали и благотворительные базары</t>
        </is>
      </c>
      <c r="F1050" s="31" t="inlineStr">
        <is>
          <t>Подопечные фонда «Дети Марии» (общая группа детей и подростков)</t>
        </is>
      </c>
      <c r="G1050" s="31" t="inlineStr">
        <is>
          <t>Студия фонда / выездная площадка</t>
        </is>
      </c>
      <c r="H1050" s="31" t="inlineStr">
        <is>
          <t>Коммуникативные навыки, эмпатия и тьюторское сопровождение; Организационные, ивент- и ярмарочные навыки</t>
        </is>
      </c>
      <c r="I1050" s="32" t="inlineStr">
        <is>
          <t>По формату занятия</t>
        </is>
      </c>
      <c r="J1050" s="31" t="inlineStr">
        <is>
          <t>В четверг мы были сразу на двух благотворительных ярмарках. Сотрудники компании ПепсиКо пожертвовали нам 28600 рублей, а сотрудники компании Парексель — 77150 рублей! Огромное спасибо всем: организаторам и участникам, чьи сердца открыты для добрых дел! Благодаря вашей помощи и по...</t>
        </is>
      </c>
    </row>
    <row r="1051" ht="30" customHeight="1">
      <c r="A1051" s="23" t="n">
        <v>4106</v>
      </c>
      <c r="B1051" s="24" t="inlineStr">
        <is>
          <t>2018-12-13</t>
        </is>
      </c>
      <c r="C1051" s="25">
        <f>HYPERLINK("https://vk.com/wall-1825701_4106", "Открыть пост")</f>
        <v/>
      </c>
      <c r="D1051" s="26" t="inlineStr">
        <is>
          <t>Кулинарные, образовательные и социально-бытовые занятия</t>
        </is>
      </c>
      <c r="E1051" s="26" t="inlineStr">
        <is>
          <t>Кулинарные, образовательные и социально-бытовые занятия; Творческие мастер-классы и художественные студии</t>
        </is>
      </c>
      <c r="F1051" s="26" t="inlineStr">
        <is>
          <t>Подопечные фонда «Дети Марии» (общая группа детей и подростков)</t>
        </is>
      </c>
      <c r="G1051" s="26" t="inlineStr">
        <is>
          <t>Студия фонда / выездная площадка</t>
        </is>
      </c>
      <c r="H1051" s="26" t="inlineStr">
        <is>
          <t>Педагогические и наставнические навыки (кулинария, быт, учёба)</t>
        </is>
      </c>
      <c r="I1051" s="27" t="inlineStr">
        <is>
          <t>По формату занятия</t>
        </is>
      </c>
      <c r="J1051" s="26" t="inlineStr">
        <is>
          <t>Вот как выглядит настоящий украинский борщ, приготовленный на кулинарном мастер-классе под руководством Алеси Панченко. А уж какой он вкусный, вам придётся поверить нам на слово! Учимся готовить по средам, приглашаем подростков и молодёжь, желающих научиться.</t>
        </is>
      </c>
    </row>
    <row r="1052" ht="30" customHeight="1">
      <c r="A1052" s="28" t="n">
        <v>4103</v>
      </c>
      <c r="B1052" s="29" t="inlineStr">
        <is>
          <t>2018-12-12</t>
        </is>
      </c>
      <c r="C1052" s="30">
        <f>HYPERLINK("https://vk.com/wall-1825701_4103", "Открыть пост")</f>
        <v/>
      </c>
      <c r="D1052" s="31" t="inlineStr">
        <is>
          <t>Праздники, дни рождения и клубные встречи</t>
        </is>
      </c>
      <c r="E1052" s="31" t="inlineStr">
        <is>
          <t>Праздники, дни рождения и клубные встречи</t>
        </is>
      </c>
      <c r="F1052" s="31" t="inlineStr">
        <is>
          <t>Подростки и взрослые с ментальными особенностями и ОВЗ (ПНИ / Социальные дома)</t>
        </is>
      </c>
      <c r="G1052" s="31" t="inlineStr">
        <is>
          <t>Студия фонда / выездная площадка</t>
        </is>
      </c>
      <c r="H1052" s="31" t="inlineStr">
        <is>
          <t>Коммуникативные навыки, эмпатия и тьюторское сопровождение; Организационные, ивент- и ярмарочные навыки</t>
        </is>
      </c>
      <c r="I1052" s="32" t="inlineStr">
        <is>
          <t>По формату занятия</t>
        </is>
      </c>
      <c r="J1052" s="31" t="inlineStr">
        <is>
          <t>Предновогодняя атмосфера уже витает в городе, так что ребята, пока ехали к нам на занятия, насмотрелись и решили, что и студию пора украшать. На стене появилась ёлочка. А у Тимура был день рождения, поздравили его на чаепитии. Во вторник в студии взрослые с особенностями развития...</t>
        </is>
      </c>
    </row>
    <row r="1053" ht="30" customHeight="1">
      <c r="A1053" s="23" t="n">
        <v>4101</v>
      </c>
      <c r="B1053" s="24" t="inlineStr">
        <is>
          <t>2018-12-11</t>
        </is>
      </c>
      <c r="C1053" s="25">
        <f>HYPERLINK("https://vk.com/wall-1825701_4101", "Открыть пост")</f>
        <v/>
      </c>
      <c r="D1053" s="26" t="inlineStr">
        <is>
          <t>Творческие мастер-классы и художественные студии</t>
        </is>
      </c>
      <c r="E1053" s="26" t="inlineStr">
        <is>
          <t>Творческие мастер-классы и художественные студии</t>
        </is>
      </c>
      <c r="F1053" s="26" t="inlineStr">
        <is>
          <t>Подопечные фонда «Дети Марии» (общая группа детей и подростков)</t>
        </is>
      </c>
      <c r="G1053" s="26" t="inlineStr">
        <is>
          <t>Студия фонда / выездная площадка</t>
        </is>
      </c>
      <c r="H1053" s="26" t="inlineStr">
        <is>
          <t>Художественно-прикладные и ремесленные навыки</t>
        </is>
      </c>
      <c r="I1053" s="27" t="inlineStr">
        <is>
          <t>По формату занятия</t>
        </is>
      </c>
      <c r="J1053" s="26" t="inlineStr">
        <is>
          <t>«Учатся взрослые после работы...», ну, нет, наши взрослые на занятиях керамикой отдыхают и получают удовольствие! Приглашаем присоединиться по понедельникам в 19.00 жителей Тверского и других районов. Занятия бесплатные.</t>
        </is>
      </c>
    </row>
    <row r="1054" ht="30" customHeight="1">
      <c r="A1054" s="28" t="n">
        <v>4100</v>
      </c>
      <c r="B1054" s="29" t="inlineStr">
        <is>
          <t>2018-12-11</t>
        </is>
      </c>
      <c r="C1054" s="30">
        <f>HYPERLINK("https://vk.com/wall-1825701_4100", "Открыть пост")</f>
        <v/>
      </c>
      <c r="D1054" s="31" t="inlineStr">
        <is>
          <t>Ярмарки, фестивали и благотворительные базары</t>
        </is>
      </c>
      <c r="E1054" s="31" t="inlineStr">
        <is>
          <t>Ярмарки, фестивали и благотворительные базары</t>
        </is>
      </c>
      <c r="F1054" s="31" t="inlineStr">
        <is>
          <t>Подопечные фонда «Дети Марии» (общая группа детей и подростков)</t>
        </is>
      </c>
      <c r="G1054" s="31" t="inlineStr">
        <is>
          <t>Студия фонда / выездная площадка</t>
        </is>
      </c>
      <c r="H1054" s="31" t="inlineStr">
        <is>
          <t>Организационные, ивент- и ярмарочные навыки</t>
        </is>
      </c>
      <c r="I1054" s="32" t="inlineStr">
        <is>
          <t>По формату занятия</t>
        </is>
      </c>
      <c r="J1054" s="31" t="inlineStr">
        <is>
          <t>Сегодня на ярмарке в БЦ «Крылатские холмы» нам пожертвовали 17150 рублей. Спасибо администрации и сотрудникам бизнес-центра, нам было приятно снова побывать у вас на ярмарке! А если читатели нашей ленты тоже хотят купить у нас подарки к новому году для близких людей, то у нас на ...</t>
        </is>
      </c>
    </row>
    <row r="1055" ht="30" customHeight="1">
      <c r="A1055" s="23" t="n">
        <v>4097</v>
      </c>
      <c r="B1055" s="24" t="inlineStr">
        <is>
          <t>2018-12-11</t>
        </is>
      </c>
      <c r="C1055" s="25">
        <f>HYPERLINK("https://vk.com/wall-1825701_4097", "Открыть пост")</f>
        <v/>
      </c>
      <c r="D1055" s="26" t="inlineStr">
        <is>
          <t>Ярмарки, фестивали и благотворительные базары</t>
        </is>
      </c>
      <c r="E1055" s="26" t="inlineStr">
        <is>
          <t>Ярмарки, фестивали и благотворительные базары; Творческие мастер-классы и художественные студии; Выставки, экскурсии и культурные выходы</t>
        </is>
      </c>
      <c r="F1055" s="26" t="inlineStr">
        <is>
          <t>Широкая аудитория, гости и благотворители (открытые события)</t>
        </is>
      </c>
      <c r="G1055" s="26" t="inlineStr">
        <is>
          <t>Студия фонда / выездная площадка</t>
        </is>
      </c>
      <c r="H1055" s="26" t="inlineStr">
        <is>
          <t>Художественно-прикладные и ремесленные навыки; Педагогические и наставнические навыки (кулинария, быт, учёба); Организационные, ивент- и ярмарочные навыки</t>
        </is>
      </c>
      <c r="I1055" s="27" t="inlineStr">
        <is>
          <t>Да (в тексте)</t>
        </is>
      </c>
      <c r="J1055" s="26" t="inlineStr">
        <is>
          <t>Душевный Bazar — удивительный день! Есть ли ещё такое место и время, когда встретишь столько друзей, попробуешь столько разных активностей, познакомишься с работой стольких благотворительных организаций! А где ещё такой выбор самых душевных подарков! В этом году гости ярмарки пож...</t>
        </is>
      </c>
    </row>
    <row r="1056" ht="30" customHeight="1">
      <c r="A1056" s="28" t="n">
        <v>4094</v>
      </c>
      <c r="B1056" s="29" t="inlineStr">
        <is>
          <t>2018-12-09</t>
        </is>
      </c>
      <c r="C1056" s="30">
        <f>HYPERLINK("https://vk.com/wall-1825701_4094", "Открыть пост")</f>
        <v/>
      </c>
      <c r="D1056" s="31" t="inlineStr">
        <is>
          <t>Творческие мастер-классы и художественные студии</t>
        </is>
      </c>
      <c r="E1056" s="31" t="inlineStr">
        <is>
          <t>Творческие мастер-классы и художественные студии</t>
        </is>
      </c>
      <c r="F1056" s="31" t="inlineStr">
        <is>
          <t>Подопечные фонда «Дети Марии» (общая группа детей и подростков)</t>
        </is>
      </c>
      <c r="G1056" s="31" t="inlineStr">
        <is>
          <t>Студия фонда / выездная площадка</t>
        </is>
      </c>
      <c r="H1056" s="31" t="inlineStr">
        <is>
          <t>Художественно-прикладные и ремесленные навыки</t>
        </is>
      </c>
      <c r="I1056" s="32" t="inlineStr">
        <is>
          <t>По формату занятия</t>
        </is>
      </c>
      <c r="J1056" s="31" t="inlineStr">
        <is>
          <t>В субботу днём в студии дети из Тверского и других ближних районов. Столько раз все видели собак, а у многих и дома живёт четвероногий друг. А попробуй-ка слепить собаку из глины, чтобы это получилась именно собака, а не неизвестный науке зверь.)) С мастером Николаем Панюковым на...</t>
        </is>
      </c>
    </row>
    <row r="1057" ht="30" customHeight="1">
      <c r="A1057" s="23" t="n">
        <v>4091</v>
      </c>
      <c r="B1057" s="24" t="inlineStr">
        <is>
          <t>2018-12-08</t>
        </is>
      </c>
      <c r="C1057" s="25">
        <f>HYPERLINK("https://vk.com/wall-1825701_4091", "Открыть пост")</f>
        <v/>
      </c>
      <c r="D1057" s="26" t="inlineStr">
        <is>
          <t>Творческие мастер-классы и художественные студии</t>
        </is>
      </c>
      <c r="E1057" s="26" t="inlineStr">
        <is>
          <t>Творческие мастер-классы и художественные студии</t>
        </is>
      </c>
      <c r="F1057" s="26" t="inlineStr">
        <is>
          <t>Подростки и взрослые с ментальными особенностями и ОВЗ (ПНИ / Социальные дома)</t>
        </is>
      </c>
      <c r="G1057" s="26" t="inlineStr">
        <is>
          <t>Студия фонда / выездная площадка</t>
        </is>
      </c>
      <c r="H1057" s="26"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 Мобильность, выездное сопровождение и автоволонтёрство</t>
        </is>
      </c>
      <c r="I1057" s="27" t="inlineStr">
        <is>
          <t>Да (в тексте)</t>
        </is>
      </c>
      <c r="J1057" s="26" t="inlineStr">
        <is>
          <t>Маша Орехова передвигается на коляске. Раньше мы привозили её на занятия в студию на Делегатскую, а в подвальчике на Дмитровке слишком крутая и длинная лестница, и Машу привозить перестали, из-за чего она очень переживала. Потому что для Маши важна не только возможность рисовать,...</t>
        </is>
      </c>
    </row>
    <row r="1058" ht="30" customHeight="1">
      <c r="A1058" s="28" t="n">
        <v>4090</v>
      </c>
      <c r="B1058" s="29" t="inlineStr">
        <is>
          <t>2018-12-07</t>
        </is>
      </c>
      <c r="C1058" s="30">
        <f>HYPERLINK("https://vk.com/wall-1825701_4090", "Открыть пост")</f>
        <v/>
      </c>
      <c r="D1058" s="31" t="inlineStr">
        <is>
          <t>Ярмарки, фестивали и благотворительные базары</t>
        </is>
      </c>
      <c r="E1058" s="31" t="inlineStr">
        <is>
          <t>Ярмарки, фестивали и благотворительные базары</t>
        </is>
      </c>
      <c r="F1058" s="31" t="inlineStr">
        <is>
          <t>Подопечные фонда «Дети Марии» (общая группа детей и подростков)</t>
        </is>
      </c>
      <c r="G1058" s="31" t="inlineStr">
        <is>
          <t>Студия фонда / выездная площадка</t>
        </is>
      </c>
      <c r="H1058" s="31" t="inlineStr">
        <is>
          <t>Организационные, ивент- и ярмарочные навыки</t>
        </is>
      </c>
      <c r="I1058" s="32" t="inlineStr">
        <is>
          <t>По формату занятия</t>
        </is>
      </c>
      <c r="J1058" s="31" t="inlineStr">
        <is>
          <t>Сегодня на благотворительной ярмарке в ДЛА Пайпер прекрасные и щедрые сотрудники компании пожертвовали нам 36350 рублей. Спасибо, друзья! Было очень приятно узнать, что нас помнят с прошлых ярмарок, ждут и даже коллекционируют наших керамических зверушек!</t>
        </is>
      </c>
    </row>
    <row r="1059" ht="30" customHeight="1">
      <c r="A1059" s="23" t="n">
        <v>4089</v>
      </c>
      <c r="B1059" s="24" t="inlineStr">
        <is>
          <t>2018-12-07</t>
        </is>
      </c>
      <c r="C1059" s="25">
        <f>HYPERLINK("https://vk.com/wall-1825701_4089", "Открыть пост")</f>
        <v/>
      </c>
      <c r="D1059" s="26" t="inlineStr">
        <is>
          <t>Творческие мастер-классы и художественные студии</t>
        </is>
      </c>
      <c r="E1059" s="26" t="inlineStr">
        <is>
          <t>Творческие мастер-классы и художественные студии</t>
        </is>
      </c>
      <c r="F1059" s="26" t="inlineStr">
        <is>
          <t>Подопечные фонда «Дети Марии» (общая группа детей и подростков)</t>
        </is>
      </c>
      <c r="G1059" s="26" t="inlineStr">
        <is>
          <t>Студия фонда / выездная площадка</t>
        </is>
      </c>
      <c r="H1059" s="26" t="inlineStr">
        <is>
          <t>Художественно-прикладные и ремесленные навыки; Коммуникативные навыки, эмпатия и тьюторское сопровождение</t>
        </is>
      </c>
      <c r="I1059" s="27" t="inlineStr">
        <is>
          <t>По формату занятия</t>
        </is>
      </c>
      <c r="J1059" s="26" t="inlineStr">
        <is>
          <t>На занятиях рисованием для взрослых с Нюсей Митиной в среду вечером продолжили изучать, как рисуют лица. Углубились в анатомию лица до того, что на этот раз изображали гипсовый череп. Не только антропологи, но и художники могут многое сказать про внешность человека по его черепу....</t>
        </is>
      </c>
    </row>
    <row r="1060" ht="30" customHeight="1">
      <c r="A1060" s="28" t="n">
        <v>4085</v>
      </c>
      <c r="B1060" s="29" t="inlineStr">
        <is>
          <t>2018-12-05</t>
        </is>
      </c>
      <c r="C1060" s="30">
        <f>HYPERLINK("https://vk.com/wall-1825701_4085", "Открыть пост")</f>
        <v/>
      </c>
      <c r="D1060" s="31" t="inlineStr">
        <is>
          <t>Творческие мастер-классы и художественные студии</t>
        </is>
      </c>
      <c r="E1060" s="31" t="inlineStr">
        <is>
          <t>Творческие мастер-классы и художественные студии; Ярмарки, фестивали и благотворительные базары</t>
        </is>
      </c>
      <c r="F1060" s="31" t="inlineStr">
        <is>
          <t>Воспитанники ЦССВ, ДДИ и детских домов-интернатов</t>
        </is>
      </c>
      <c r="G1060" s="31" t="inlineStr">
        <is>
          <t>ЦССВ «Юнона»</t>
        </is>
      </c>
      <c r="H1060" s="31" t="inlineStr">
        <is>
          <t>Художественно-прикладные и ремесленные навыки; Педагогические и наставнические навыки (кулинария, быт, учёба)</t>
        </is>
      </c>
      <c r="I1060" s="32" t="inlineStr">
        <is>
          <t>Да (в тексте)</t>
        </is>
      </c>
      <c r="J1060" s="31" t="inlineStr">
        <is>
          <t>Начинаем новую большую картину. Дети из ЦССВ «Юнона» кажутся совсем маленькими рядом с огромным белым листом. Некоторые даже не решаются начать рисовать. Но рядом преподаватель Нюся и волонтёр Алевтина, так что всё получится! А если вы хотите рисовать с нами на таком большом лист...</t>
        </is>
      </c>
    </row>
    <row r="1061" ht="30" customHeight="1">
      <c r="A1061" s="23" t="n">
        <v>4084</v>
      </c>
      <c r="B1061" s="24" t="inlineStr">
        <is>
          <t>2018-12-05</t>
        </is>
      </c>
      <c r="C1061" s="25">
        <f>HYPERLINK("https://vk.com/wall-1825701_4084", "Открыть пост")</f>
        <v/>
      </c>
      <c r="D1061" s="26" t="inlineStr">
        <is>
          <t>Ярмарки, фестивали и благотворительные базары</t>
        </is>
      </c>
      <c r="E1061" s="26" t="inlineStr">
        <is>
          <t>Ярмарки, фестивали и благотворительные базары; Творческие мастер-классы и художественные студии; Кулинарные, образовательные и социально-бытовые занятия</t>
        </is>
      </c>
      <c r="F1061" s="26" t="inlineStr">
        <is>
          <t>Широкая аудитория, гости и благотворители (открытые события)</t>
        </is>
      </c>
      <c r="G1061" s="26" t="inlineStr">
        <is>
          <t>Студия фонда / выездная площадка</t>
        </is>
      </c>
      <c r="H1061" s="26" t="inlineStr">
        <is>
          <t>Художественно-прикладные и ремесленные навыки; Организационные, ивент- и ярмарочные навыки</t>
        </is>
      </c>
      <c r="I1061" s="27" t="inlineStr">
        <is>
          <t>По формату занятия</t>
        </is>
      </c>
      <c r="J1061" s="26" t="inlineStr">
        <is>
          <t>Новогодняя благотворительная ярмарка Душевный Bazar состоится 9 декабря 2018 года в Московском Гостином дворе. Интерактивная программа продлится 8 часов без перерыва. Если все правильно спланировать, то можно успеть многое и даже больше! Проведите день со смыслом! http://d-bazar....</t>
        </is>
      </c>
    </row>
    <row r="1062" ht="30" customHeight="1">
      <c r="A1062" s="28" t="n">
        <v>4083</v>
      </c>
      <c r="B1062" s="29" t="inlineStr">
        <is>
          <t>2018-12-05</t>
        </is>
      </c>
      <c r="C1062" s="30">
        <f>HYPERLINK("https://vk.com/wall-1825701_4083", "Открыть пост")</f>
        <v/>
      </c>
      <c r="D1062" s="31" t="inlineStr">
        <is>
          <t>Творческие мастер-классы и художественные студии</t>
        </is>
      </c>
      <c r="E1062" s="31" t="inlineStr">
        <is>
          <t>Творческие мастер-классы и художественные студии</t>
        </is>
      </c>
      <c r="F1062" s="31" t="inlineStr">
        <is>
          <t>Подопечные фонда «Дети Марии» (общая группа детей и подростков)</t>
        </is>
      </c>
      <c r="G1062" s="31" t="inlineStr">
        <is>
          <t>Студия фонда / выездная площадка</t>
        </is>
      </c>
      <c r="H1062" s="31" t="inlineStr">
        <is>
          <t>Художественно-прикладные и ремесленные навыки</t>
        </is>
      </c>
      <c r="I1062" s="32" t="inlineStr">
        <is>
          <t>По формату занятия</t>
        </is>
      </c>
      <c r="J1062" s="31" t="inlineStr">
        <is>
          <t>Керамика для взрослых — бесплатные занятия по понедельникам вечером в студии по адресу Дмитровский переулок, дом 2/10. Приглашаем жителей Тверского и других районов. Занятия ведёт художник Николай Панюков. Лучше всяких слов расскажут фото с последнего занятия. Для записи звоните ...</t>
        </is>
      </c>
    </row>
    <row r="1063" ht="30" customHeight="1">
      <c r="A1063" s="23" t="n">
        <v>4082</v>
      </c>
      <c r="B1063" s="24" t="inlineStr">
        <is>
          <t>2018-12-05</t>
        </is>
      </c>
      <c r="C1063" s="25">
        <f>HYPERLINK("https://vk.com/wall-1825701_4082", "Открыть пост")</f>
        <v/>
      </c>
      <c r="D1063" s="26" t="inlineStr">
        <is>
          <t>Спектакли, концерты и музыкально-театральные занятия</t>
        </is>
      </c>
      <c r="E1063" s="26" t="inlineStr">
        <is>
          <t>Спектакли, концерты и музыкально-театральные занятия; Ярмарки, фестивали и благотворительные базары; Спортивные и активные мероприятия</t>
        </is>
      </c>
      <c r="F1063" s="26" t="inlineStr">
        <is>
          <t>Подростки и взрослые с ментальными особенностями и ОВЗ (ПНИ / Социальные дома)</t>
        </is>
      </c>
      <c r="G1063" s="26" t="inlineStr">
        <is>
          <t>Студия фонда / выездная площадка</t>
        </is>
      </c>
      <c r="H1063" s="26" t="inlineStr">
        <is>
          <t>Артистические, музыкальные и спортивно-игровые навыки; Организационные, ивент- и ярмарочные навыки</t>
        </is>
      </c>
      <c r="I1063" s="27" t="inlineStr">
        <is>
          <t>Да (в тексте)</t>
        </is>
      </c>
      <c r="J1063" s="26" t="inlineStr">
        <is>
          <t>В субботу волонтёр Ирина Чёрненькая ходила на ежегодный Зимний базар Международного женского клуба в Москве и предложила Лёше и Диме из ПНИ 16 составить ей компанию. Ирина рассказывает: «Это мероприятие очень интересное. Здесь можно найти сувениры из разных стран, пообщаться с жи...</t>
        </is>
      </c>
    </row>
    <row r="1064" ht="30" customHeight="1">
      <c r="A1064" s="28" t="n">
        <v>4079</v>
      </c>
      <c r="B1064" s="29" t="inlineStr">
        <is>
          <t>2018-12-03</t>
        </is>
      </c>
      <c r="C1064" s="30">
        <f>HYPERLINK("https://vk.com/wall-1825701_4079", "Открыть пост")</f>
        <v/>
      </c>
      <c r="D1064" s="31" t="inlineStr">
        <is>
          <t>Творческие мастер-классы и художественные студии</t>
        </is>
      </c>
      <c r="E1064" s="31" t="inlineStr">
        <is>
          <t>Творческие мастер-классы и художественные студии</t>
        </is>
      </c>
      <c r="F1064" s="31" t="inlineStr">
        <is>
          <t>Подростки и взрослые с ментальными особенностями и ОВЗ (ПНИ / Социальные дома)</t>
        </is>
      </c>
      <c r="G1064" s="31" t="inlineStr">
        <is>
          <t>Студия фонда / выездная площадка</t>
        </is>
      </c>
      <c r="H1064" s="31" t="inlineStr">
        <is>
          <t>Художественно-прикладные и ремесленные навыки</t>
        </is>
      </c>
      <c r="I1064" s="32" t="inlineStr">
        <is>
          <t>Да (в тексте)</t>
        </is>
      </c>
      <c r="J1064" s="31" t="inlineStr">
        <is>
          <t>В пятницу занятие рисованием в ПНИ 16 проводила волонтёр Ирина Чёрненькая, вот её рассказ: «Я давала ребятам выбор — либо раскрашивать, либо рисовать самим, что захотят. Большинство рисовали сами, и сёла, и дома, и даже крепости — это Маша Орехова крепость рисовала. А Вале я прин...</t>
        </is>
      </c>
    </row>
    <row r="1065" ht="30" customHeight="1">
      <c r="A1065" s="23" t="n">
        <v>4077</v>
      </c>
      <c r="B1065" s="24" t="inlineStr">
        <is>
          <t>2018-12-02</t>
        </is>
      </c>
      <c r="C1065" s="25">
        <f>HYPERLINK("https://vk.com/wall-1825701_4077", "Открыть пост")</f>
        <v/>
      </c>
      <c r="D1065" s="26" t="inlineStr">
        <is>
          <t>Ярмарки, фестивали и благотворительные базары</t>
        </is>
      </c>
      <c r="E1065" s="26" t="inlineStr">
        <is>
          <t>Ярмарки, фестивали и благотворительные базары</t>
        </is>
      </c>
      <c r="F1065" s="26" t="inlineStr">
        <is>
          <t>Широкая аудитория, гости и благотворители (открытые события)</t>
        </is>
      </c>
      <c r="G1065" s="26" t="inlineStr">
        <is>
          <t>Студия фонда / выездная площадка</t>
        </is>
      </c>
      <c r="H1065" s="26" t="inlineStr">
        <is>
          <t>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t>
        </is>
      </c>
      <c r="I1065" s="27" t="inlineStr">
        <is>
          <t>По формату занятия</t>
        </is>
      </c>
      <c r="J1065" s="26" t="inlineStr">
        <is>
          <t>Сегодня на благотворительной ярмарке в Центре лечебной педагогики наш сбор — 32500 рублей. Спасибо гостеприимным хозяевам и щедрым посетителям ярмарки. Это была первая ярмарка в новом здании ЦЛП в Коньково. Очень рады, друзья, что у вас теперь есть такой большой, просторный дом! ...</t>
        </is>
      </c>
    </row>
    <row r="1066" ht="30" customHeight="1">
      <c r="A1066" s="28" t="n">
        <v>4076</v>
      </c>
      <c r="B1066" s="29" t="inlineStr">
        <is>
          <t>2018-12-02</t>
        </is>
      </c>
      <c r="C1066" s="30">
        <f>HYPERLINK("https://vk.com/wall-1825701_4076", "Открыть пост")</f>
        <v/>
      </c>
      <c r="D1066" s="31" t="inlineStr">
        <is>
          <t>Творческие мастер-классы и художественные студии</t>
        </is>
      </c>
      <c r="E1066" s="31" t="inlineStr">
        <is>
          <t>Творческие мастер-классы и художественные студии</t>
        </is>
      </c>
      <c r="F1066" s="31" t="inlineStr">
        <is>
          <t>Подростки и взрослые с ментальными особенностями и ОВЗ (ПНИ / Социальные дома)</t>
        </is>
      </c>
      <c r="G1066" s="31" t="inlineStr">
        <is>
          <t>Студия фонда / выездная площадка</t>
        </is>
      </c>
      <c r="H1066" s="31" t="inlineStr">
        <is>
          <t>Художественно-прикладные и ремесленные навыки</t>
        </is>
      </c>
      <c r="I1066" s="32" t="inlineStr">
        <is>
          <t>По формату занятия</t>
        </is>
      </c>
      <c r="J1066" s="31" t="inlineStr">
        <is>
          <t>А днём в субботу дети, из Тверского района и не только. Творческие занятия полезны всем детям, мы в этом убеждены. И тем, кто имеет особенности развития, и тем, кто особенный только для своих родителей)). И всем детям занятия должны быть доступны. Наши занятия бесплатные. Приходи...</t>
        </is>
      </c>
    </row>
    <row r="1067" ht="30" customHeight="1">
      <c r="A1067" s="23" t="n">
        <v>4073</v>
      </c>
      <c r="B1067" s="24" t="inlineStr">
        <is>
          <t>2018-11-30</t>
        </is>
      </c>
      <c r="C1067" s="25">
        <f>HYPERLINK("https://vk.com/wall-1825701_4073", "Открыть пост")</f>
        <v/>
      </c>
      <c r="D1067" s="26" t="inlineStr">
        <is>
          <t>Спектакли, концерты и музыкально-театральные занятия</t>
        </is>
      </c>
      <c r="E1067" s="26" t="inlineStr">
        <is>
          <t>Спектакли, концерты и музыкально-театральные занятия</t>
        </is>
      </c>
      <c r="F1067" s="26" t="inlineStr">
        <is>
          <t>Подростки и взрослые с ментальными особенностями и ОВЗ (ПНИ / Социальные дома)</t>
        </is>
      </c>
      <c r="G1067" s="26" t="inlineStr">
        <is>
          <t>Студия фонда / выездная площадка</t>
        </is>
      </c>
      <c r="H1067" s="26" t="inlineStr">
        <is>
          <t>Артистические, музыкальные и спортивно-игровые навыки</t>
        </is>
      </c>
      <c r="I1067" s="27" t="inlineStr">
        <is>
          <t>По формату занятия</t>
        </is>
      </c>
      <c r="J1067" s="26" t="inlineStr">
        <is>
          <t>Утреннее занятие началось с концерта. Наш новый друг Майя — половина вокально-фортепианного дуэта «Мама ГАмМА» — исполнила для взрослых с особенностями развития из ПНИ 16 музыкальную программу. Спасибо, Майя! Музыка — лучшее начало дня!</t>
        </is>
      </c>
    </row>
    <row r="1068" ht="30" customHeight="1">
      <c r="A1068" s="28" t="n">
        <v>4072</v>
      </c>
      <c r="B1068" s="29" t="inlineStr">
        <is>
          <t>2018-11-30</t>
        </is>
      </c>
      <c r="C1068" s="30">
        <f>HYPERLINK("https://vk.com/wall-1825701_4072", "Открыть пост")</f>
        <v/>
      </c>
      <c r="D1068" s="31" t="inlineStr">
        <is>
          <t>Ярмарки, фестивали и благотворительные базары</t>
        </is>
      </c>
      <c r="E1068" s="31" t="inlineStr">
        <is>
          <t>Ярмарки, фестивали и благотворительные базары; Творческие мастер-классы и художественные студии; Спектакли, концерты и музыкально-театральные занятия</t>
        </is>
      </c>
      <c r="F1068" s="31" t="inlineStr">
        <is>
          <t>Подростки и взрослые с ментальными особенностями и ОВЗ (ПНИ / Социальные дома); Воспитанники ЦССВ, ДДИ и детских домов-интернатов</t>
        </is>
      </c>
      <c r="G1068" s="31" t="inlineStr">
        <is>
          <t>Студия фонда / выездная площадка</t>
        </is>
      </c>
      <c r="H1068"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 Медиа, фото/видеосъёмка и культурная медиация</t>
        </is>
      </c>
      <c r="I1068" s="32" t="inlineStr">
        <is>
          <t>Да (в тексте)</t>
        </is>
      </c>
      <c r="J1068" s="31" t="inlineStr">
        <is>
          <t>Мы тоже участвуем! Зимняя ярмарка в Центре лечебной педагогики В воскресенье 2 декабря 2018 года в новом помещении Центра лечебной педагогики в Коньково пройдет традиционная зимняя благотворительная ярмарка в поддержку детских программ Центра. Приходите к нам на ярмарку выбирать ...</t>
        </is>
      </c>
    </row>
    <row r="1069" ht="30" customHeight="1">
      <c r="A1069" s="23" t="n">
        <v>4067</v>
      </c>
      <c r="B1069" s="24" t="inlineStr">
        <is>
          <t>2018-11-30</t>
        </is>
      </c>
      <c r="C1069" s="25">
        <f>HYPERLINK("https://vk.com/wall-1825701_4067", "Открыть пост")</f>
        <v/>
      </c>
      <c r="D1069" s="26" t="inlineStr">
        <is>
          <t>Творческие мастер-классы и художественные студии</t>
        </is>
      </c>
      <c r="E1069" s="26" t="inlineStr">
        <is>
          <t>Творческие мастер-классы и художественные студии</t>
        </is>
      </c>
      <c r="F1069" s="26" t="inlineStr">
        <is>
          <t>Воспитанники ЦССВ, ДДИ и детских домов-интернатов</t>
        </is>
      </c>
      <c r="G1069" s="26" t="inlineStr">
        <is>
          <t>ЦССВ «Юнона»</t>
        </is>
      </c>
      <c r="H1069" s="26" t="inlineStr">
        <is>
          <t>Художественно-прикладные и ремесленные навыки; Коммуникативные навыки, эмпатия и тьюторское сопровождение</t>
        </is>
      </c>
      <c r="I1069" s="27" t="inlineStr">
        <is>
          <t>Да (в тексте)</t>
        </is>
      </c>
      <c r="J1069" s="26" t="inlineStr">
        <is>
          <t>Завораживающее зрелище — когда на сером куске ткани ставишь-ставишь горошины, и видишь, что на свет появились жирафы! И сам удивляешься, как красиво получилось. Утром в студии дети из ЦССВ «Юнона». Все наши программы проходят при вашей поддержке и возможны только благодаря ей. По...</t>
        </is>
      </c>
    </row>
    <row r="1070" ht="30" customHeight="1">
      <c r="A1070" s="28" t="n">
        <v>4066</v>
      </c>
      <c r="B1070" s="29" t="inlineStr">
        <is>
          <t>2018-11-29</t>
        </is>
      </c>
      <c r="C1070" s="30">
        <f>HYPERLINK("https://vk.com/wall-1825701_4066", "Открыть пост")</f>
        <v/>
      </c>
      <c r="D1070" s="31" t="inlineStr">
        <is>
          <t>Ярмарки, фестивали и благотворительные базары</t>
        </is>
      </c>
      <c r="E1070" s="31" t="inlineStr">
        <is>
          <t>Ярмарки, фестивали и благотворительные базары</t>
        </is>
      </c>
      <c r="F1070" s="31" t="inlineStr">
        <is>
          <t>Подопечные фонда «Дети Марии» (общая группа детей и подростков)</t>
        </is>
      </c>
      <c r="G1070" s="31" t="inlineStr">
        <is>
          <t>Студия фонда / выездная площадка</t>
        </is>
      </c>
      <c r="H1070" s="31" t="inlineStr">
        <is>
          <t>Педагогические и наставнические навыки (кулинария, быт, учёба)</t>
        </is>
      </c>
      <c r="I1070" s="32" t="inlineStr">
        <is>
          <t>По формату занятия</t>
        </is>
      </c>
      <c r="J1070" s="31" t="inlineStr">
        <is>
          <t>До Душевнего Bazar'a осталось 10 дней. Готовимся и ждём. Приходите 9 декабря в Гостиный двор с 11 до 19 — кто за чем — за подарками, за хорошим предновогодним настроением, ради встреч со старыми и новыми друзьями! #яотвечаюзаbazar #ядушевный</t>
        </is>
      </c>
    </row>
    <row r="1071" ht="30" customHeight="1">
      <c r="A1071" s="23" t="n">
        <v>4064</v>
      </c>
      <c r="B1071" s="24" t="inlineStr">
        <is>
          <t>2018-11-29</t>
        </is>
      </c>
      <c r="C1071" s="25">
        <f>HYPERLINK("https://vk.com/wall-1825701_4064", "Открыть пост")</f>
        <v/>
      </c>
      <c r="D1071" s="26" t="inlineStr">
        <is>
          <t>Творческие мастер-классы и художественные студии</t>
        </is>
      </c>
      <c r="E1071" s="26" t="inlineStr">
        <is>
          <t>Творческие мастер-классы и художественные студии</t>
        </is>
      </c>
      <c r="F1071" s="26" t="inlineStr">
        <is>
          <t>Подопечные фонда «Дети Марии» (общая группа детей и подростков)</t>
        </is>
      </c>
      <c r="G1071" s="26" t="inlineStr">
        <is>
          <t>Студия фонда / выездная площадка</t>
        </is>
      </c>
      <c r="H1071" s="26" t="inlineStr">
        <is>
          <t>Художественно-прикладные и ремесленные навыки; Педагогические и наставнические навыки (кулинария, быт, учёба)</t>
        </is>
      </c>
      <c r="I1071" s="27" t="inlineStr">
        <is>
          <t>По формату занятия</t>
        </is>
      </c>
      <c r="J1071" s="26" t="inlineStr">
        <is>
          <t>Ох, нелёгкая это работа — рисовать лицо в пол-оборота! День рисования у детей плавно перешёл в вечер рисования для взрослых. На занятиях у Нюси Митиной продолжали учиться рисовать лица. Гипсовая голова — наше новое наглядное пособие (а для Нюси просто ненаглядное😉) было сегодня о...</t>
        </is>
      </c>
    </row>
    <row r="1072" ht="30" customHeight="1">
      <c r="A1072" s="28" t="n">
        <v>4062</v>
      </c>
      <c r="B1072" s="29" t="inlineStr">
        <is>
          <t>2018-11-28</t>
        </is>
      </c>
      <c r="C1072" s="30">
        <f>HYPERLINK("https://vk.com/wall-1825701_4062", "Открыть пост")</f>
        <v/>
      </c>
      <c r="D1072" s="31" t="inlineStr">
        <is>
          <t>Творческие мастер-классы и художественные студии</t>
        </is>
      </c>
      <c r="E1072" s="31" t="inlineStr">
        <is>
          <t>Творческие мастер-классы и художественные студии</t>
        </is>
      </c>
      <c r="F1072" s="31" t="inlineStr">
        <is>
          <t>Подопечные фонда «Дети Марии» (общая группа детей и подростков)</t>
        </is>
      </c>
      <c r="G1072" s="31" t="inlineStr">
        <is>
          <t>Студия фонда / выездная площадка</t>
        </is>
      </c>
      <c r="H1072" s="31" t="inlineStr">
        <is>
          <t>Мобильность, выездное сопровождение и автоволонтёрство</t>
        </is>
      </c>
      <c r="I1072" s="32" t="inlineStr">
        <is>
          <t>По формату занятия</t>
        </is>
      </c>
      <c r="J1072" s="31" t="inlineStr">
        <is>
          <t>Если нужно — залезьте на стол, найдите свою походку, закройте глаза и кричите, читайте стихи и бейте по мячу, делайте что угодно, но только ищите свой собственный путь в жизни и думайте. Фильм «Общество мертвых поэтов» смотрели и обсуждали очень важные вопросы с Катей Островой на...</t>
        </is>
      </c>
    </row>
    <row r="1073" ht="30" customHeight="1">
      <c r="A1073" s="23" t="n">
        <v>4059</v>
      </c>
      <c r="B1073" s="24" t="inlineStr">
        <is>
          <t>2018-11-27</t>
        </is>
      </c>
      <c r="C1073" s="25">
        <f>HYPERLINK("https://vk.com/wall-1825701_4059", "Открыть пост")</f>
        <v/>
      </c>
      <c r="D1073" s="26" t="inlineStr">
        <is>
          <t>Кулинарные, образовательные и социально-бытовые занятия</t>
        </is>
      </c>
      <c r="E1073" s="26" t="inlineStr">
        <is>
          <t>Кулинарные, образовательные и социально-бытовые занятия</t>
        </is>
      </c>
      <c r="F1073" s="26" t="inlineStr">
        <is>
          <t>Подопечные фонда «Дети Марии» (общая группа детей и подростков)</t>
        </is>
      </c>
      <c r="G1073" s="26" t="inlineStr">
        <is>
          <t>Студия фонда / выездная площадка</t>
        </is>
      </c>
      <c r="H1073" s="26" t="inlineStr">
        <is>
          <t>Коммуникативные навыки, эмпатия и тьюторское сопровождение</t>
        </is>
      </c>
      <c r="I1073" s="27" t="inlineStr">
        <is>
          <t>По формату занятия</t>
        </is>
      </c>
      <c r="J1073" s="26" t="inlineStr">
        <is>
          <t>Сегодня в 18-00 на Дмитровке очень интересное занятие с Катей Островой — философия и киноклуб в одном флаконе. Смотрим крутой фильм «Общество мёртвых поэтов» и по нему обсуждаем важные философские вопросы. Приходите!</t>
        </is>
      </c>
    </row>
    <row r="1074" ht="30" customHeight="1">
      <c r="A1074" s="28" t="n">
        <v>4057</v>
      </c>
      <c r="B1074" s="29" t="inlineStr">
        <is>
          <t>2018-11-27</t>
        </is>
      </c>
      <c r="C1074" s="30">
        <f>HYPERLINK("https://vk.com/wall-1825701_4057", "Открыть пост")</f>
        <v/>
      </c>
      <c r="D1074" s="31" t="inlineStr">
        <is>
          <t>Творческие мастер-классы и художественные студии</t>
        </is>
      </c>
      <c r="E1074" s="31" t="inlineStr">
        <is>
          <t>Творческие мастер-классы и художественные студии</t>
        </is>
      </c>
      <c r="F1074" s="31" t="inlineStr">
        <is>
          <t>Подопечные фонда «Дети Марии» (общая группа детей и подростков)</t>
        </is>
      </c>
      <c r="G1074" s="31" t="inlineStr">
        <is>
          <t>Студия фонда / выездная площадка</t>
        </is>
      </c>
      <c r="H1074" s="31" t="inlineStr">
        <is>
          <t>Художественно-прикладные и ремесленные навыки</t>
        </is>
      </c>
      <c r="I1074" s="32" t="inlineStr">
        <is>
          <t>По формату занятия</t>
        </is>
      </c>
      <c r="J1074" s="31" t="inlineStr">
        <is>
          <t>Вечером в понедельник — керамика для взрослых с Николаем Панюковым. Оказывается, это такой кайф, когда из печи после обжига мастер достаёт наши первые в жизни керамические фигурки! И неважно, что мы взрослые — радовались, как дети. А вчера лепили ангелов, это уж совсем магия. Мес...</t>
        </is>
      </c>
    </row>
    <row r="1075" ht="30" customHeight="1">
      <c r="A1075" s="23" t="n">
        <v>4054</v>
      </c>
      <c r="B1075" s="24" t="inlineStr">
        <is>
          <t>2018-11-26</t>
        </is>
      </c>
      <c r="C1075" s="25">
        <f>HYPERLINK("https://vk.com/wall-1825701_4054", "Открыть пост")</f>
        <v/>
      </c>
      <c r="D1075" s="26" t="inlineStr">
        <is>
          <t>Творческие мастер-классы и художественные студии</t>
        </is>
      </c>
      <c r="E1075" s="26" t="inlineStr">
        <is>
          <t>Творческие мастер-классы и художественные студии</t>
        </is>
      </c>
      <c r="F1075" s="26" t="inlineStr">
        <is>
          <t>Подопечные фонда «Дети Марии» (общая группа детей и подростков)</t>
        </is>
      </c>
      <c r="G1075" s="26" t="inlineStr">
        <is>
          <t>Студия фонда / выездная площадка</t>
        </is>
      </c>
      <c r="H1075" s="26" t="inlineStr">
        <is>
          <t>Художественно-прикладные и ремесленные навыки</t>
        </is>
      </c>
      <c r="I1075" s="27" t="inlineStr">
        <is>
          <t>По формату занятия</t>
        </is>
      </c>
      <c r="J1075" s="26" t="inlineStr">
        <is>
          <t>Снеговиков можно лепить не только из снега, но и из глины. А ещё валять из шерсти. В воскресенье занимались дети из окрестных домов и дети, проходящие реабилитацию после онкозаболеваний.</t>
        </is>
      </c>
    </row>
    <row r="1076" ht="30" customHeight="1">
      <c r="A1076" s="28" t="n">
        <v>4052</v>
      </c>
      <c r="B1076" s="29" t="inlineStr">
        <is>
          <t>2018-11-25</t>
        </is>
      </c>
      <c r="C1076" s="30">
        <f>HYPERLINK("https://vk.com/wall-1825701_4052", "Открыть пост")</f>
        <v/>
      </c>
      <c r="D1076" s="31" t="inlineStr">
        <is>
          <t>Выставки, экскурсии и культурные выходы</t>
        </is>
      </c>
      <c r="E1076" s="31" t="inlineStr">
        <is>
          <t>Выставки, экскурсии и культурные выходы; Творческие мастер-классы и художественные студии</t>
        </is>
      </c>
      <c r="F1076" s="31" t="inlineStr">
        <is>
          <t>Подопечные фонда «Дети Марии» (общая группа детей и подростков)</t>
        </is>
      </c>
      <c r="G1076" s="31" t="inlineStr">
        <is>
          <t>Студия фонда / выездная площадка</t>
        </is>
      </c>
      <c r="H1076" s="31" t="inlineStr">
        <is>
          <t>Художественно-прикладные и ремесленные навыки; Педагогические и наставнические навыки (кулинария, быт, учёба); Мобильность, выездное сопровождение и автоволонтёрство</t>
        </is>
      </c>
      <c r="I1076" s="32" t="inlineStr">
        <is>
          <t>По формату занятия</t>
        </is>
      </c>
      <c r="J1076" s="31" t="inlineStr">
        <is>
          <t>«Раскройте глаза на собственные глаза!» — записал в своём дневничке сегодня наш Лёша Ждамиров на выставке Михаила Ларионова. Эти слова сказал художник своей будущей жене, художнице Наталье Гончаровой, которая тогда училась на скульптора. И у нас с ребятами сегодня открылись глаза...</t>
        </is>
      </c>
    </row>
    <row r="1077" ht="30" customHeight="1">
      <c r="A1077" s="23" t="n">
        <v>4047</v>
      </c>
      <c r="B1077" s="24" t="inlineStr">
        <is>
          <t>2018-11-22</t>
        </is>
      </c>
      <c r="C1077" s="25">
        <f>HYPERLINK("https://vk.com/wall-1825701_4047", "Открыть пост")</f>
        <v/>
      </c>
      <c r="D1077" s="26" t="inlineStr">
        <is>
          <t>Творческие мастер-классы и художественные студии</t>
        </is>
      </c>
      <c r="E1077" s="26" t="inlineStr">
        <is>
          <t>Творческие мастер-классы и художественные студии</t>
        </is>
      </c>
      <c r="F1077" s="26" t="inlineStr">
        <is>
          <t>Подопечные фонда «Дети Марии» (общая группа детей и подростков)</t>
        </is>
      </c>
      <c r="G1077" s="26" t="inlineStr">
        <is>
          <t>Студия фонда / выездная площадка</t>
        </is>
      </c>
      <c r="H1077" s="26" t="inlineStr">
        <is>
          <t>Художественно-прикладные и ремесленные навыки; Педагогические и наставнические навыки (кулинария, быт, учёба)</t>
        </is>
      </c>
      <c r="I1077" s="27" t="inlineStr">
        <is>
          <t>По формату занятия</t>
        </is>
      </c>
      <c r="J1077" s="26" t="inlineStr">
        <is>
          <t>На рисовании для взрослых продолжили учиться рисовать портреты. Попробовали через черты и выражения лица передать характер нарисованного человека, так у нас получились персонажи. Нюся рассказывала о типичных, стереотипных представлениях в изобразительном искусстве о том, как выгл...</t>
        </is>
      </c>
    </row>
    <row r="1078" ht="30" customHeight="1">
      <c r="A1078" s="28" t="n">
        <v>4045</v>
      </c>
      <c r="B1078" s="29" t="inlineStr">
        <is>
          <t>2018-11-21</t>
        </is>
      </c>
      <c r="C1078" s="30">
        <f>HYPERLINK("https://vk.com/wall-1825701_4045", "Открыть пост")</f>
        <v/>
      </c>
      <c r="D1078" s="31" t="inlineStr">
        <is>
          <t>Ярмарки, фестивали и благотворительные базары</t>
        </is>
      </c>
      <c r="E1078" s="31" t="inlineStr">
        <is>
          <t>Ярмарки, фестивали и благотворительные базары; Творческие мастер-классы и художественные студии</t>
        </is>
      </c>
      <c r="F1078" s="31" t="inlineStr">
        <is>
          <t>Подопечные фонда «Дети Марии» (общая группа детей и подростков)</t>
        </is>
      </c>
      <c r="G1078" s="31" t="inlineStr">
        <is>
          <t>Студия фонда / выездная площадка</t>
        </is>
      </c>
      <c r="H1078" s="31" t="inlineStr">
        <is>
          <t>Организационные, ивент- и ярмарочные навыки</t>
        </is>
      </c>
      <c r="I1078" s="32" t="inlineStr">
        <is>
          <t>По формату занятия</t>
        </is>
      </c>
      <c r="J1078" s="31" t="inlineStr">
        <is>
          <t>Во вторник прошла благотворительная ярмарка в Англо-американской школе в Москве. Отзывчивые сотрудники и родители школьников пожертвовали нам 26900 рублей. Спасибо, друзья! Эти средства пойдут на продолжение наших программ ежедневных творческих занятий для детей и взрослых, прожи...</t>
        </is>
      </c>
    </row>
    <row r="1079" ht="30" customHeight="1">
      <c r="A1079" s="23" t="n">
        <v>4041</v>
      </c>
      <c r="B1079" s="24" t="inlineStr">
        <is>
          <t>2018-11-20</t>
        </is>
      </c>
      <c r="C1079" s="25">
        <f>HYPERLINK("https://vk.com/wall-1825701_4041", "Открыть пост")</f>
        <v/>
      </c>
      <c r="D1079" s="26" t="inlineStr">
        <is>
          <t>Творческие мастер-классы и художественные студии</t>
        </is>
      </c>
      <c r="E1079" s="26" t="inlineStr">
        <is>
          <t>Творческие мастер-классы и художественные студии</t>
        </is>
      </c>
      <c r="F1079" s="26" t="inlineStr">
        <is>
          <t>Подростки и взрослые с ментальными особенностями и ОВЗ (ПНИ / Социальные дома)</t>
        </is>
      </c>
      <c r="G1079" s="26" t="inlineStr">
        <is>
          <t>Студия фонда / выездная площадка</t>
        </is>
      </c>
      <c r="H1079" s="26" t="inlineStr">
        <is>
          <t>Художественно-прикладные и ремесленные навыки; Артистические, музыкальные и спортивно-игровые навыки</t>
        </is>
      </c>
      <c r="I1079" s="27" t="inlineStr">
        <is>
          <t>Да (в тексте)</t>
        </is>
      </c>
      <c r="J1079" s="26" t="inlineStr">
        <is>
          <t>Краткое содержание занятия со взрослыми из ПНИ 16 сегодня в студии: рисовали на бумаге и на ткани, лепили из глины, ткали гобелен, праздновали день рождения Никиты, играли в лото с новым волонтёром Ириной. День прошёл не зря!</t>
        </is>
      </c>
    </row>
    <row r="1080" ht="30" customHeight="1">
      <c r="A1080" s="28" t="n">
        <v>4033</v>
      </c>
      <c r="B1080" s="29" t="inlineStr">
        <is>
          <t>2018-11-18</t>
        </is>
      </c>
      <c r="C1080" s="30">
        <f>HYPERLINK("https://vk.com/wall-1825701_4033", "Открыть пост")</f>
        <v/>
      </c>
      <c r="D1080" s="31" t="inlineStr">
        <is>
          <t>Ярмарки, фестивали и благотворительные базары</t>
        </is>
      </c>
      <c r="E1080" s="31" t="inlineStr">
        <is>
          <t>Ярмарки, фестивали и благотворительные базары; Выездные лагеря, дача и сезонные программы; Выставки, экскурсии и культурные выходы; Творческие мастер-классы и художественные студии; Спортивные и активные мероприятия</t>
        </is>
      </c>
      <c r="F1080" s="31" t="inlineStr">
        <is>
          <t>Подростки и взрослые с ментальными особенностями и ОВЗ (ПНИ / Социальные дома); Воспитанники ЦССВ, ДДИ и детских домов-интернатов; Выпускники интернатов и детских домов (молодые взрослые); Дети и семьи (в т.ч. приёмные семьи и программа в Беслане)</t>
        </is>
      </c>
      <c r="G1080" s="31" t="inlineStr">
        <is>
          <t>Беслан</t>
        </is>
      </c>
      <c r="H1080"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 Мобильность, выездное сопровождение и автоволонтёрство; Медиа, фото/видеосъёмка и культурная медиация</t>
        </is>
      </c>
      <c r="I1080" s="32" t="inlineStr">
        <is>
          <t>Да (в тексте)</t>
        </is>
      </c>
      <c r="J1080" s="31" t="inlineStr">
        <is>
          <t>О том, как прошёл наш Благотворительный бал http://mariaschildren.ru/ru/news/2018/11/10/N2RjNGQyN 8 ноября в великолепных исторических залах особняка «Дом Смирнова» на Тверском бульваре прошел Ежегодный благотворительный бал Художественного центра «Дети Марии» и Благотворительног...</t>
        </is>
      </c>
    </row>
    <row r="1081" ht="30" customHeight="1">
      <c r="A1081" s="23" t="n">
        <v>4030</v>
      </c>
      <c r="B1081" s="24" t="inlineStr">
        <is>
          <t>2018-11-16</t>
        </is>
      </c>
      <c r="C1081" s="25">
        <f>HYPERLINK("https://vk.com/wall-1825701_4030", "Открыть пост")</f>
        <v/>
      </c>
      <c r="D1081" s="26" t="inlineStr">
        <is>
          <t>Ярмарки, фестивали и благотворительные базары</t>
        </is>
      </c>
      <c r="E1081" s="26" t="inlineStr">
        <is>
          <t>Ярмарки, фестивали и благотворительные базары</t>
        </is>
      </c>
      <c r="F1081" s="26" t="inlineStr">
        <is>
          <t>Подопечные фонда «Дети Марии» (общая группа детей и подростков)</t>
        </is>
      </c>
      <c r="G1081" s="26" t="inlineStr">
        <is>
          <t>Студия фонда / выездная площадка</t>
        </is>
      </c>
      <c r="H1081" s="26" t="inlineStr">
        <is>
          <t>Педагогические и наставнические навыки (кулинария, быт, учёба); Организационные, ивент- и ярмарочные навыки</t>
        </is>
      </c>
      <c r="I1081" s="27" t="inlineStr">
        <is>
          <t>По формату занятия</t>
        </is>
      </c>
      <c r="J1081" s="26" t="inlineStr">
        <is>
          <t>Знаете ли вы, что наступающий 2019й — год Кабана? Три поросёнка и один кабанчик, и ещё много красивых новогодних сувениров! Готовимся к самой главной ярмарке Душевному Bazar'у! Увидимся 9 декабря в Гостином дворе! #яотвечаюзаbazar #ядушевный</t>
        </is>
      </c>
    </row>
    <row r="1082" ht="30" customHeight="1">
      <c r="A1082" s="28" t="n">
        <v>4029</v>
      </c>
      <c r="B1082" s="29" t="inlineStr">
        <is>
          <t>2018-11-16</t>
        </is>
      </c>
      <c r="C1082" s="30">
        <f>HYPERLINK("https://vk.com/wall-1825701_4029", "Открыть пост")</f>
        <v/>
      </c>
      <c r="D1082" s="31" t="inlineStr">
        <is>
          <t>Выставки, экскурсии и культурные выходы</t>
        </is>
      </c>
      <c r="E1082" s="31" t="inlineStr">
        <is>
          <t>Выставки, экскурсии и культурные выходы</t>
        </is>
      </c>
      <c r="F1082" s="31" t="inlineStr">
        <is>
          <t>Подростки и взрослые с ментальными особенностями и ОВЗ (ПНИ / Социальные дома)</t>
        </is>
      </c>
      <c r="G1082" s="31" t="inlineStr">
        <is>
          <t>Студия фонда / выездная площадка</t>
        </is>
      </c>
      <c r="H1082" s="31" t="inlineStr">
        <is>
          <t>Коммуникативные навыки, эмпатия и тьюторское сопровождение</t>
        </is>
      </c>
      <c r="I1082" s="32" t="inlineStr">
        <is>
          <t>По формату занятия</t>
        </is>
      </c>
      <c r="J1082" s="31" t="inlineStr">
        <is>
          <t>Что лучше выбрать как фон для фотопортрета — свои работы или работы профессиональных художников в соседних залах ЦДХ? Мнения разошлись. Сегодня на выставке занятие у взрослых с особенностями развития из ПНИ 16.</t>
        </is>
      </c>
    </row>
    <row r="1083" ht="30" customHeight="1">
      <c r="A1083" s="23" t="n">
        <v>4024</v>
      </c>
      <c r="B1083" s="24" t="inlineStr">
        <is>
          <t>2018-11-15</t>
        </is>
      </c>
      <c r="C1083" s="25">
        <f>HYPERLINK("https://vk.com/wall-1825701_4024", "Открыть пост")</f>
        <v/>
      </c>
      <c r="D1083" s="26" t="inlineStr">
        <is>
          <t>Выставки, экскурсии и культурные выходы</t>
        </is>
      </c>
      <c r="E1083" s="26" t="inlineStr">
        <is>
          <t>Выставки, экскурсии и культурные выходы; Творческие мастер-классы и художественные студии</t>
        </is>
      </c>
      <c r="F1083" s="26" t="inlineStr">
        <is>
          <t>Воспитанники ЦССВ, ДДИ и детских домов-интернатов</t>
        </is>
      </c>
      <c r="G1083" s="26" t="inlineStr">
        <is>
          <t>интерната № 31</t>
        </is>
      </c>
      <c r="H1083" s="26" t="inlineStr">
        <is>
          <t>Художественно-прикладные и ремесленные навыки; Коммуникативные навыки, эмпатия и тьюторское сопровождение</t>
        </is>
      </c>
      <c r="I1083" s="27" t="inlineStr">
        <is>
          <t>По формату занятия</t>
        </is>
      </c>
      <c r="J1083" s="26" t="inlineStr">
        <is>
          <t>Рисовать на выставке — это необычно и увлекательно. Вокруг так много картин, и коллективных, и индивидуальных — есть чем вдохновиться. Днём в зале ЦДХ занимались дети с нарушениями опорно-двигательной системы из школы-интерната № 31.</t>
        </is>
      </c>
    </row>
    <row r="1084" ht="30" customHeight="1">
      <c r="A1084" s="28" t="n">
        <v>4023</v>
      </c>
      <c r="B1084" s="29" t="inlineStr">
        <is>
          <t>2018-11-15</t>
        </is>
      </c>
      <c r="C1084" s="30">
        <f>HYPERLINK("https://vk.com/wall-1825701_4023", "Открыть пост")</f>
        <v/>
      </c>
      <c r="D1084" s="31" t="inlineStr">
        <is>
          <t>Выставки, экскурсии и культурные выходы</t>
        </is>
      </c>
      <c r="E1084" s="31" t="inlineStr">
        <is>
          <t>Выставки, экскурсии и культурные выходы</t>
        </is>
      </c>
      <c r="F1084" s="31" t="inlineStr">
        <is>
          <t>Воспитанники ЦССВ, ДДИ и детских домов-интернатов</t>
        </is>
      </c>
      <c r="G1084" s="31" t="inlineStr">
        <is>
          <t>ЦССВ «Юнона»</t>
        </is>
      </c>
      <c r="H1084" s="31" t="inlineStr">
        <is>
          <t>Артистические, музыкальные и спортивно-игровые навыки</t>
        </is>
      </c>
      <c r="I1084" s="32" t="inlineStr">
        <is>
          <t>По формату занятия</t>
        </is>
      </c>
      <c r="J1084" s="31" t="inlineStr">
        <is>
          <t>Маски — это очень интересно! Можно придумать образ, сделать маску, а потом надеть её и почувствовать себя бесстрашным супергероем и милым зверьком. Искусство и игра. В зале ЦДХ на нашей выставке сегодня утром занимались особые дети из ЦССВ «Юнона» (Коньково).</t>
        </is>
      </c>
    </row>
    <row r="1085" ht="30" customHeight="1">
      <c r="A1085" s="23" t="n">
        <v>4022</v>
      </c>
      <c r="B1085" s="24" t="inlineStr">
        <is>
          <t>2018-11-15</t>
        </is>
      </c>
      <c r="C1085" s="25">
        <f>HYPERLINK("https://vk.com/wall-1825701_4022", "Открыть пост")</f>
        <v/>
      </c>
      <c r="D1085" s="26" t="inlineStr">
        <is>
          <t>Творческие мастер-классы и художественные студии</t>
        </is>
      </c>
      <c r="E1085" s="26" t="inlineStr">
        <is>
          <t>Творческие мастер-классы и художественные студии</t>
        </is>
      </c>
      <c r="F1085" s="26" t="inlineStr">
        <is>
          <t>Подопечные фонда «Дети Марии» (общая группа детей и подростков)</t>
        </is>
      </c>
      <c r="G1085" s="26" t="inlineStr">
        <is>
          <t>Студия фонда / выездная площадка</t>
        </is>
      </c>
      <c r="H1085" s="26" t="inlineStr">
        <is>
          <t>Художественно-прикладные и ремесленные навыки</t>
        </is>
      </c>
      <c r="I1085" s="27" t="inlineStr">
        <is>
          <t>По формату занятия</t>
        </is>
      </c>
      <c r="J1085" s="26" t="inlineStr">
        <is>
          <t>Лица у всех людей разные, но художники изучили пропорции и соотношения, общие для любого человеческого лица. Об этом и рассказывала нам вчера Нюся Митина на занятии академической живописью для взрослых. У нас тоже получились разные лица. Продолжим через неделю искать «лица необще...</t>
        </is>
      </c>
    </row>
    <row r="1086" ht="30" customHeight="1">
      <c r="A1086" s="28" t="n">
        <v>4021</v>
      </c>
      <c r="B1086" s="29" t="inlineStr">
        <is>
          <t>2018-11-15</t>
        </is>
      </c>
      <c r="C1086" s="30">
        <f>HYPERLINK("https://vk.com/wall-1825701_4021", "Открыть пост")</f>
        <v/>
      </c>
      <c r="D1086" s="31" t="inlineStr">
        <is>
          <t>Творческие мастер-классы и художественные студии</t>
        </is>
      </c>
      <c r="E1086" s="31" t="inlineStr">
        <is>
          <t>Творческие мастер-классы и художественные студии; Кулинарные, образовательные и социально-бытовые занятия</t>
        </is>
      </c>
      <c r="F1086" s="31" t="inlineStr">
        <is>
          <t>Подростки и взрослые с ментальными особенностями и ОВЗ (ПНИ / Социальные дома)</t>
        </is>
      </c>
      <c r="G1086" s="31" t="inlineStr">
        <is>
          <t>Студия фонда / выездная площадка</t>
        </is>
      </c>
      <c r="H1086" s="31" t="inlineStr">
        <is>
          <t>Художественно-прикладные и ремесленные навыки; Педагогические и наставнические навыки (кулинария, быт, учёба)</t>
        </is>
      </c>
      <c r="I1086" s="32" t="inlineStr">
        <is>
          <t>По формату занятия</t>
        </is>
      </c>
      <c r="J1086" s="31" t="inlineStr">
        <is>
          <t>Вика и Лена из ПНИ 20 наконец нашли нас в студии на Дмитровке (в прошлом году девочки ходили на Делегатскую, а в подвальчик дороги не знали). А тут столько нового! Кроме уже любимых рисования и лепки, поучаствовали в мастер-классе по папье-маше, а в кулинарном мастер-классе сами ...</t>
        </is>
      </c>
    </row>
    <row r="1087" ht="30" customHeight="1">
      <c r="A1087" s="23" t="n">
        <v>4018</v>
      </c>
      <c r="B1087" s="24" t="inlineStr">
        <is>
          <t>2018-11-15</t>
        </is>
      </c>
      <c r="C1087" s="25">
        <f>HYPERLINK("https://vk.com/wall-1825701_4018", "Открыть пост")</f>
        <v/>
      </c>
      <c r="D1087" s="26" t="inlineStr">
        <is>
          <t>Творческие мастер-классы и художественные студии</t>
        </is>
      </c>
      <c r="E1087" s="26" t="inlineStr">
        <is>
          <t>Творческие мастер-классы и художественные студии</t>
        </is>
      </c>
      <c r="F1087" s="26" t="inlineStr">
        <is>
          <t>Подопечные фонда «Дети Марии» (общая группа детей и подростков)</t>
        </is>
      </c>
      <c r="G1087" s="26" t="inlineStr">
        <is>
          <t>Студия фонда / выездная площадка</t>
        </is>
      </c>
      <c r="H1087" s="26" t="inlineStr">
        <is>
          <t>Коммуникативные навыки, эмпатия и тьюторское сопровождение</t>
        </is>
      </c>
      <c r="I1087" s="27" t="inlineStr">
        <is>
          <t>По формату занятия</t>
        </is>
      </c>
      <c r="J1087" s="26" t="inlineStr">
        <is>
          <t>Мастер-класс по эбру для взрослых от Александра Семёнова. Наконец-то и нам есть чем интересным поделится с Катей Островой, которая открывает для нас мир философии)</t>
        </is>
      </c>
    </row>
    <row r="1088" ht="30" customHeight="1">
      <c r="A1088" s="28" t="n">
        <v>4016</v>
      </c>
      <c r="B1088" s="29" t="inlineStr">
        <is>
          <t>2018-11-14</t>
        </is>
      </c>
      <c r="C1088" s="30">
        <f>HYPERLINK("https://vk.com/wall-1825701_4016", "Открыть пост")</f>
        <v/>
      </c>
      <c r="D1088" s="31" t="inlineStr">
        <is>
          <t>Выставки, экскурсии и культурные выходы</t>
        </is>
      </c>
      <c r="E1088" s="31" t="inlineStr">
        <is>
          <t>Выставки, экскурсии и культурные выходы</t>
        </is>
      </c>
      <c r="F1088" s="31" t="inlineStr">
        <is>
          <t>Подростки и взрослые с ментальными особенностями и ОВЗ (ПНИ / Социальные дома)</t>
        </is>
      </c>
      <c r="G1088" s="31" t="inlineStr">
        <is>
          <t>Студия фонда / выездная площадка</t>
        </is>
      </c>
      <c r="H1088" s="31" t="inlineStr">
        <is>
          <t>Мобильность, выездное сопровождение и автоволонтёрство</t>
        </is>
      </c>
      <c r="I1088" s="32" t="inlineStr">
        <is>
          <t>По формату занятия</t>
        </is>
      </c>
      <c r="J1088" s="31" t="inlineStr">
        <is>
          <t>Сегодня на выставке в ЦДХ взрослые с особенностями развития из ПНИ 20. Для многих ребят поездка на выставку — настоящий «выход в свет».</t>
        </is>
      </c>
    </row>
    <row r="1089" ht="30" customHeight="1">
      <c r="A1089" s="23" t="n">
        <v>4015</v>
      </c>
      <c r="B1089" s="24" t="inlineStr">
        <is>
          <t>2018-11-14</t>
        </is>
      </c>
      <c r="C1089" s="25">
        <f>HYPERLINK("https://vk.com/wall-1825701_4015", "Открыть пост")</f>
        <v/>
      </c>
      <c r="D1089" s="26" t="inlineStr">
        <is>
          <t>Творческие мастер-классы и художественные студии</t>
        </is>
      </c>
      <c r="E1089" s="26" t="inlineStr">
        <is>
          <t>Творческие мастер-классы и художественные студии</t>
        </is>
      </c>
      <c r="F1089" s="26" t="inlineStr">
        <is>
          <t>Подростки и взрослые с ментальными особенностями и ОВЗ (ПНИ / Социальные дома)</t>
        </is>
      </c>
      <c r="G1089" s="26" t="inlineStr">
        <is>
          <t>интернате №16</t>
        </is>
      </c>
      <c r="H1089" s="26" t="inlineStr">
        <is>
          <t>Художественно-прикладные и ремесленные навыки; Артистические, музыкальные и спортивно-игровые навыки; Педагогические и наставнические навыки (кулинария, быт, учёба)</t>
        </is>
      </c>
      <c r="I1089" s="27" t="inlineStr">
        <is>
          <t>По формату занятия</t>
        </is>
      </c>
      <c r="J1089" s="26" t="inlineStr">
        <is>
          <t>В психоневрологическом интернате №16 гораздо больше желающих заниматься, чем может вместить наша студия. Так что часть занятий наши преподаватели проводят в самом интернате — нам для этого выделили комнату, а мы её оборудовали и украсили. Теперь вот ещё и музыка звучит — Любовь И...</t>
        </is>
      </c>
    </row>
    <row r="1090" ht="30" customHeight="1">
      <c r="A1090" s="28" t="n">
        <v>4014</v>
      </c>
      <c r="B1090" s="29" t="inlineStr">
        <is>
          <t>2018-11-14</t>
        </is>
      </c>
      <c r="C1090" s="30">
        <f>HYPERLINK("https://vk.com/wall-1825701_4014", "Открыть пост")</f>
        <v/>
      </c>
      <c r="D1090" s="31" t="inlineStr">
        <is>
          <t>Выставки, экскурсии и культурные выходы</t>
        </is>
      </c>
      <c r="E1090" s="31" t="inlineStr">
        <is>
          <t>Выставки, экскурсии и культурные выходы</t>
        </is>
      </c>
      <c r="F1090" s="31" t="inlineStr">
        <is>
          <t>Подростки и взрослые с ментальными особенностями и ОВЗ (ПНИ / Социальные дома)</t>
        </is>
      </c>
      <c r="G1090" s="31" t="inlineStr">
        <is>
          <t>Студия фонда / выездная площадка</t>
        </is>
      </c>
      <c r="H1090" s="31" t="inlineStr">
        <is>
          <t>Коммуникативные навыки, эмпатия и тьюторское сопровождение</t>
        </is>
      </c>
      <c r="I1090" s="32" t="inlineStr">
        <is>
          <t>По формату занятия</t>
        </is>
      </c>
      <c r="J1090" s="31" t="inlineStr">
        <is>
          <t>Вчера, сегодня, завтра — занятия групп из интернатов проходят в ЦДХ прямо в зале нашей выставки. Во вторник взрослые из ПНИ 16. Посмотрели другие выставки, надо и людей посмотреть, а не только себя показать) А у своих работ сфотографироваться — это традиция.</t>
        </is>
      </c>
    </row>
    <row r="1091" ht="30" customHeight="1">
      <c r="A1091" s="23" t="n">
        <v>4011</v>
      </c>
      <c r="B1091" s="24" t="inlineStr">
        <is>
          <t>2018-11-14</t>
        </is>
      </c>
      <c r="C1091" s="25">
        <f>HYPERLINK("https://vk.com/wall-1825701_4011", "Открыть пост")</f>
        <v/>
      </c>
      <c r="D1091" s="26" t="inlineStr">
        <is>
          <t>Творческие мастер-классы и художественные студии</t>
        </is>
      </c>
      <c r="E1091" s="26" t="inlineStr">
        <is>
          <t>Творческие мастер-классы и художественные студии</t>
        </is>
      </c>
      <c r="F1091" s="26" t="inlineStr">
        <is>
          <t>Широкая аудитория, гости и благотворители (открытые события)</t>
        </is>
      </c>
      <c r="G1091" s="26" t="inlineStr">
        <is>
          <t>Студия фонда / выездная площадка</t>
        </is>
      </c>
      <c r="H1091" s="26" t="inlineStr">
        <is>
          <t>Художественно-прикладные и ремесленные навыки</t>
        </is>
      </c>
      <c r="I1091" s="27" t="inlineStr">
        <is>
          <t>По формату занятия</t>
        </is>
      </c>
      <c r="J1091" s="26" t="inlineStr">
        <is>
          <t>Вечером понедельника у нас керамика для взрослых с Николаем Панюковым. Кабанчиков, слепленных в прошлый раз, теперь расписывали. После рабочего дня — прекрасный релакс! Приглашаем жителей Тверского района и всех желающих научиться лепить. Понедельник, с 19 часов, Дмитровский пере...</t>
        </is>
      </c>
    </row>
    <row r="1092" ht="30" customHeight="1">
      <c r="A1092" s="28" t="n">
        <v>4010</v>
      </c>
      <c r="B1092" s="29" t="inlineStr">
        <is>
          <t>2018-11-13</t>
        </is>
      </c>
      <c r="C1092" s="30">
        <f>HYPERLINK("https://vk.com/wall-1825701_4010", "Открыть пост")</f>
        <v/>
      </c>
      <c r="D1092" s="31" t="inlineStr">
        <is>
          <t>Творческие мастер-классы и художественные студии</t>
        </is>
      </c>
      <c r="E1092" s="31" t="inlineStr">
        <is>
          <t>Творческие мастер-классы и художественные студии</t>
        </is>
      </c>
      <c r="F1092" s="31" t="inlineStr">
        <is>
          <t>Подопечные фонда «Дети Марии» (общая группа детей и подростков)</t>
        </is>
      </c>
      <c r="G1092" s="31" t="inlineStr">
        <is>
          <t>Студия фонда / выездная площадка</t>
        </is>
      </c>
      <c r="H1092" s="31" t="inlineStr">
        <is>
          <t>Педагогические и наставнические навыки (кулинария, быт, учёба)</t>
        </is>
      </c>
      <c r="I1092" s="32" t="inlineStr">
        <is>
          <t>По формату занятия</t>
        </is>
      </c>
      <c r="J1092" s="31" t="inlineStr">
        <is>
          <t>Новые работы начали ребята под руководством Иры Скимбаторь на мастер-классе по стеклу в технике «Тиффани». Женя занимался первый раз и учился резать стекло. Ярослав будет делать сову, а Игорь — вот таких собак. Присоединяйтесь!</t>
        </is>
      </c>
    </row>
    <row r="1093" ht="30" customHeight="1">
      <c r="A1093" s="23" t="n">
        <v>4007</v>
      </c>
      <c r="B1093" s="24" t="inlineStr">
        <is>
          <t>2018-11-12</t>
        </is>
      </c>
      <c r="C1093" s="25">
        <f>HYPERLINK("https://vk.com/wall-1825701_4007", "Открыть пост")</f>
        <v/>
      </c>
      <c r="D1093" s="26" t="inlineStr">
        <is>
          <t>Выставки, экскурсии и культурные выходы</t>
        </is>
      </c>
      <c r="E1093" s="26" t="inlineStr">
        <is>
          <t>Выставки, экскурсии и культурные выходы</t>
        </is>
      </c>
      <c r="F1093" s="26" t="inlineStr">
        <is>
          <t>Подростки и взрослые с ментальными особенностями и ОВЗ (ПНИ / Социальные дома)</t>
        </is>
      </c>
      <c r="G1093" s="26" t="inlineStr">
        <is>
          <t>Студия фонда / выездная площадка</t>
        </is>
      </c>
      <c r="H1093" s="26" t="inlineStr">
        <is>
          <t>Коммуникативные навыки, эмпатия и тьюторское сопровождение</t>
        </is>
      </c>
      <c r="I1093" s="27" t="inlineStr">
        <is>
          <t>По формату занятия</t>
        </is>
      </c>
      <c r="J1093" s="26" t="inlineStr">
        <is>
          <t>Сегодня в ЦДХ, где идёт наша выставка, был выходной день, так что взрослые ребята из ПНИ 11 творили в студии. А завтра и всю неделю группы приезжают и занимаются прямо на выставке.</t>
        </is>
      </c>
    </row>
    <row r="1094" ht="30" customHeight="1">
      <c r="A1094" s="28" t="n">
        <v>4006</v>
      </c>
      <c r="B1094" s="29" t="inlineStr">
        <is>
          <t>2018-11-12</t>
        </is>
      </c>
      <c r="C1094" s="30">
        <f>HYPERLINK("https://vk.com/wall-1825701_4006", "Открыть пост")</f>
        <v/>
      </c>
      <c r="D1094" s="31" t="inlineStr">
        <is>
          <t>Творческие мастер-классы и художественные студии</t>
        </is>
      </c>
      <c r="E1094" s="31" t="inlineStr">
        <is>
          <t>Творческие мастер-классы и художественные студии</t>
        </is>
      </c>
      <c r="F1094" s="31" t="inlineStr">
        <is>
          <t>Подопечные фонда «Дети Марии» (общая группа детей и подростков)</t>
        </is>
      </c>
      <c r="G1094" s="31" t="inlineStr">
        <is>
          <t>Студия фонда / выездная площадка</t>
        </is>
      </c>
      <c r="H1094" s="31" t="inlineStr">
        <is>
          <t>Художественно-прикладные и ремесленные навыки; Педагогические и наставнические навыки (кулинария, быт, учёба)</t>
        </is>
      </c>
      <c r="I1094" s="32" t="inlineStr">
        <is>
          <t>По формату занятия</t>
        </is>
      </c>
      <c r="J1094" s="31" t="inlineStr">
        <is>
          <t>Вчера занимались дети, проходящие реабилитацию после онкозаболеваний, и их родители-братья-сёстры. Вот таких слонов и муравьедов (и не только) сотворили прямо на этом занятии с преподавателем Николаем Панюковым. Сегодня в 19 часов — керамика для взрослых, ведёт снова Николай. При...</t>
        </is>
      </c>
    </row>
    <row r="1095" ht="30" customHeight="1">
      <c r="A1095" s="23" t="n">
        <v>4003</v>
      </c>
      <c r="B1095" s="24" t="inlineStr">
        <is>
          <t>2018-11-12</t>
        </is>
      </c>
      <c r="C1095" s="25">
        <f>HYPERLINK("https://vk.com/wall-1825701_4003", "Открыть пост")</f>
        <v/>
      </c>
      <c r="D1095" s="26" t="inlineStr">
        <is>
          <t>Ярмарки, фестивали и благотворительные базары</t>
        </is>
      </c>
      <c r="E1095" s="26" t="inlineStr">
        <is>
          <t>Ярмарки, фестивали и благотворительные базары; Выставки, экскурсии и культурные выходы</t>
        </is>
      </c>
      <c r="F1095" s="26" t="inlineStr">
        <is>
          <t>Подопечные фонда «Дети Марии» (общая группа детей и подростков)</t>
        </is>
      </c>
      <c r="G1095" s="26" t="inlineStr">
        <is>
          <t>Студия фонда / выездная площадка</t>
        </is>
      </c>
      <c r="H1095" s="26" t="inlineStr">
        <is>
          <t>Организационные, ивент- и ярмарочные навыки</t>
        </is>
      </c>
      <c r="I1095" s="27" t="inlineStr">
        <is>
          <t>По формату занятия</t>
        </is>
      </c>
      <c r="J1095" s="26" t="inlineStr">
        <is>
          <t>Ура, друзья! Готов наш новый настенный календарь на 2019 год. Вот несколько картинок для примера. Увидеть его целиком и купить можно следующими способами: - заказать в нашем интернет-магазине http://mariaschildren.ru/ru/store/calendars - придти до 20 ноября на выставку-продажу в ...</t>
        </is>
      </c>
    </row>
    <row r="1096" ht="30" customHeight="1">
      <c r="A1096" s="28" t="n">
        <v>4000</v>
      </c>
      <c r="B1096" s="29" t="inlineStr">
        <is>
          <t>2018-11-12</t>
        </is>
      </c>
      <c r="C1096" s="30">
        <f>HYPERLINK("https://vk.com/wall-1825701_4000", "Открыть пост")</f>
        <v/>
      </c>
      <c r="D1096" s="31" t="inlineStr">
        <is>
          <t>Выставки, экскурсии и культурные выходы</t>
        </is>
      </c>
      <c r="E1096" s="31" t="inlineStr">
        <is>
          <t>Выставки, экскурсии и культурные выходы</t>
        </is>
      </c>
      <c r="F1096" s="31" t="inlineStr">
        <is>
          <t>Подопечные фонда «Дети Марии» (общая группа детей и подростков)</t>
        </is>
      </c>
      <c r="G1096" s="31" t="inlineStr">
        <is>
          <t>Студия фонда / выездная площадка</t>
        </is>
      </c>
      <c r="H1096" s="31" t="inlineStr">
        <is>
          <t>Коммуникативные навыки, эмпатия и тьюторское сопровождение</t>
        </is>
      </c>
      <c r="I1096" s="32" t="inlineStr">
        <is>
          <t>По формату занятия</t>
        </is>
      </c>
      <c r="J1096" s="31" t="inlineStr">
        <is>
          <t>До 20 ноября будет открыта выставка «Планета детей» в ЦДХ. Все чувства ребят студии «Дети Марии» — в их работах. Разделите с нами и радость, и грусть, приходите посмотреть и может быть унести домой частицу тепла)</t>
        </is>
      </c>
    </row>
    <row r="1097" ht="30" customHeight="1">
      <c r="A1097" s="23" t="n">
        <v>3998</v>
      </c>
      <c r="B1097" s="24" t="inlineStr">
        <is>
          <t>2018-11-11</t>
        </is>
      </c>
      <c r="C1097" s="25">
        <f>HYPERLINK("https://vk.com/wall-1825701_3998", "Открыть пост")</f>
        <v/>
      </c>
      <c r="D1097" s="26" t="inlineStr">
        <is>
          <t>Творческие мастер-классы и художественные студии</t>
        </is>
      </c>
      <c r="E1097" s="26" t="inlineStr">
        <is>
          <t>Творческие мастер-классы и художественные студии</t>
        </is>
      </c>
      <c r="F1097" s="26" t="inlineStr">
        <is>
          <t>Подопечные фонда «Дети Марии» (общая группа детей и подростков)</t>
        </is>
      </c>
      <c r="G1097" s="26" t="inlineStr">
        <is>
          <t>Студия фонда / выездная площадка</t>
        </is>
      </c>
      <c r="H1097" s="26" t="inlineStr">
        <is>
          <t>Художественно-прикладные и ремесленные навыки</t>
        </is>
      </c>
      <c r="I1097" s="27" t="inlineStr">
        <is>
          <t>По формату занятия</t>
        </is>
      </c>
      <c r="J1097" s="26" t="inlineStr">
        <is>
          <t>В субботу в студии занятия для детей Тверского и других ближних районов. Керамика — лепим и раскрашиваем. Красота получается! Мамы тоже участвуют.</t>
        </is>
      </c>
    </row>
    <row r="1098" ht="30" customHeight="1">
      <c r="A1098" s="28" t="n">
        <v>3996</v>
      </c>
      <c r="B1098" s="29" t="inlineStr">
        <is>
          <t>2018-11-09</t>
        </is>
      </c>
      <c r="C1098" s="30">
        <f>HYPERLINK("https://vk.com/wall-1825701_3996", "Открыть пост")</f>
        <v/>
      </c>
      <c r="D1098" s="31" t="inlineStr">
        <is>
          <t>Кулинарные, образовательные и социально-бытовые занятия</t>
        </is>
      </c>
      <c r="E1098" s="31" t="inlineStr">
        <is>
          <t>Кулинарные, образовательные и социально-бытовые занятия; Творческие мастер-классы и художественные студии</t>
        </is>
      </c>
      <c r="F1098" s="31" t="inlineStr">
        <is>
          <t>Выпускники интернатов и детских домов (молодые взрослые)</t>
        </is>
      </c>
      <c r="G1098" s="31" t="inlineStr">
        <is>
          <t>ТВЕРСКАЯ 15, Тверская 15</t>
        </is>
      </c>
      <c r="H1098" s="31" t="inlineStr">
        <is>
          <t>Коммуникативные навыки, эмпатия и тьюторское сопровождение</t>
        </is>
      </c>
      <c r="I1098" s="32" t="inlineStr">
        <is>
          <t>По формату занятия</t>
        </is>
      </c>
      <c r="J1098" s="31" t="inlineStr">
        <is>
          <t>Друзья! Завтра запускается проект! Приглашаем всех друзей студии на неформальный дружеский вечер, посвященный открытию нового московского пространства творчества и развития «ТВЕРСКАЯ 15». Презентация состоится 10 ноября, в субботу, по адресу улица Тверская, дом 15 (вход с Вознесе...</t>
        </is>
      </c>
    </row>
    <row r="1099" ht="30" customHeight="1">
      <c r="A1099" s="23" t="n">
        <v>3993</v>
      </c>
      <c r="B1099" s="24" t="inlineStr">
        <is>
          <t>2018-11-08</t>
        </is>
      </c>
      <c r="C1099" s="25">
        <f>HYPERLINK("https://vk.com/wall-1825701_3993", "Открыть пост")</f>
        <v/>
      </c>
      <c r="D1099" s="26" t="inlineStr">
        <is>
          <t>Творческие мастер-классы и художественные студии</t>
        </is>
      </c>
      <c r="E1099" s="26" t="inlineStr">
        <is>
          <t>Творческие мастер-классы и художественные студии</t>
        </is>
      </c>
      <c r="F1099" s="26" t="inlineStr">
        <is>
          <t>Подопечные фонда «Дети Марии» (общая группа детей и подростков)</t>
        </is>
      </c>
      <c r="G1099" s="26" t="inlineStr">
        <is>
          <t>Студия фонда / выездная площадка</t>
        </is>
      </c>
      <c r="H1099" s="26" t="inlineStr">
        <is>
          <t>Художественно-прикладные и ремесленные навыки</t>
        </is>
      </c>
      <c r="I1099" s="27" t="inlineStr">
        <is>
          <t>По формату занятия</t>
        </is>
      </c>
      <c r="J1099" s="26" t="inlineStr">
        <is>
          <t>На занятии академической живописью для взрослых вчера рисовали пейзажи. Они получились очень разные, как и их авторы, ведь «каждый пишет, как он дышит». Приходите по средам вечером самовыражаться и искать свой стиль.</t>
        </is>
      </c>
    </row>
    <row r="1100" ht="30" customHeight="1">
      <c r="A1100" s="28" t="n">
        <v>3991</v>
      </c>
      <c r="B1100" s="29" t="inlineStr">
        <is>
          <t>2018-11-07</t>
        </is>
      </c>
      <c r="C1100" s="30">
        <f>HYPERLINK("https://vk.com/wall-1825701_3991", "Открыть пост")</f>
        <v/>
      </c>
      <c r="D1100" s="31" t="inlineStr">
        <is>
          <t>Выставки, экскурсии и культурные выходы</t>
        </is>
      </c>
      <c r="E1100" s="31" t="inlineStr">
        <is>
          <t>Выставки, экскурсии и культурные выходы; Творческие мастер-классы и художественные студии</t>
        </is>
      </c>
      <c r="F1100" s="31" t="inlineStr">
        <is>
          <t>Подростки и взрослые с ментальными особенностями и ОВЗ (ПНИ / Социальные дома); Воспитанники ЦССВ, ДДИ и детских домов-интернатов; Выпускники интернатов и детских домов (молодые взрослые)</t>
        </is>
      </c>
      <c r="G1100" s="31" t="inlineStr">
        <is>
          <t>Студия фонда / выездная площадка</t>
        </is>
      </c>
      <c r="H1100"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t>
        </is>
      </c>
      <c r="I1100" s="32" t="inlineStr">
        <is>
          <t>Да (в тексте)</t>
        </is>
      </c>
      <c r="J1100" s="31" t="inlineStr">
        <is>
          <t>Вчера у нас был большой праздник — открытие выставки в ЦДХ. Собрались ребята из интернатов, выпускники, волонтёры, преподаватели и самая шумная часть аудитории — клоуны во главе с Пэтчем Адамсом. Темой года в студии была сказка «Маленький принц» — мы читали её и рисовали картины....</t>
        </is>
      </c>
    </row>
    <row r="1101" ht="30" customHeight="1">
      <c r="A1101" s="23" t="n">
        <v>3987</v>
      </c>
      <c r="B1101" s="24" t="inlineStr">
        <is>
          <t>2018-11-05</t>
        </is>
      </c>
      <c r="C1101" s="25">
        <f>HYPERLINK("https://vk.com/wall-1825701_3987", "Открыть пост")</f>
        <v/>
      </c>
      <c r="D1101" s="26" t="inlineStr">
        <is>
          <t>Выставки, экскурсии и культурные выходы</t>
        </is>
      </c>
      <c r="E1101" s="26" t="inlineStr">
        <is>
          <t>Выставки, экскурсии и культурные выходы</t>
        </is>
      </c>
      <c r="F1101" s="26" t="inlineStr">
        <is>
          <t>Подростки и взрослые с ментальными особенностями и ОВЗ (ПНИ / Социальные дома)</t>
        </is>
      </c>
      <c r="G1101" s="26" t="inlineStr">
        <is>
          <t>Студия фонда / выездная площадка</t>
        </is>
      </c>
      <c r="H1101" s="26" t="inlineStr">
        <is>
          <t>Коммуникативные навыки, эмпатия и тьюторское сопровождение</t>
        </is>
      </c>
      <c r="I1101" s="27" t="inlineStr">
        <is>
          <t>По формату занятия</t>
        </is>
      </c>
      <c r="J1101" s="26" t="inlineStr">
        <is>
          <t>Прийти в нашу художественную комнату в ПНИ 16 и порисовать всегда много желающих. Ребята помнят о днях и времени занятий и очень их ждут. Это ученики Нюси Митиной и их работы. Самые шедевральные картины — на нашей выставке в ЦДХ, уже с завтрашнего дня! Зал №13, на втором этаже.</t>
        </is>
      </c>
    </row>
    <row r="1102" ht="30" customHeight="1">
      <c r="A1102" s="28" t="n">
        <v>3985</v>
      </c>
      <c r="B1102" s="29" t="inlineStr">
        <is>
          <t>2018-11-05</t>
        </is>
      </c>
      <c r="C1102" s="30">
        <f>HYPERLINK("https://vk.com/wall-1825701_3985", "Открыть пост")</f>
        <v/>
      </c>
      <c r="D1102" s="31" t="inlineStr">
        <is>
          <t>Выставки, экскурсии и культурные выходы</t>
        </is>
      </c>
      <c r="E1102" s="31" t="inlineStr">
        <is>
          <t>Выставки, экскурсии и культурные выходы; Выездные лагеря, дача и сезонные программы; Творческие мастер-классы и художественные студии</t>
        </is>
      </c>
      <c r="F1102" s="31" t="inlineStr">
        <is>
          <t>Выпускники интернатов и детских домов (молодые взрослые)</t>
        </is>
      </c>
      <c r="G1102" s="31" t="inlineStr">
        <is>
          <t>Студия фонда / выездная площадка</t>
        </is>
      </c>
      <c r="H1102" s="31" t="inlineStr">
        <is>
          <t>Коммуникативные навыки, эмпатия и тьюторское сопровождение; Мобильность, выездное сопровождение и автоволонтёрство</t>
        </is>
      </c>
      <c r="I1102" s="32" t="inlineStr">
        <is>
          <t>По формату занятия</t>
        </is>
      </c>
      <c r="J1102" s="31" t="inlineStr">
        <is>
          <t>Приглашаем всех на нашу выставку «Планета детей» в ЦДХ с 6 по 20 ноября. На выставке вы сможете увидеть лучшие работы детей и взрослых из интернатов, выпускников интернатов, созданные на занятиях в студии и в летнем лагере за последний год. Приходите, нашим ребятам так важно и ну...</t>
        </is>
      </c>
    </row>
    <row r="1103" ht="30" customHeight="1">
      <c r="A1103" s="23" t="n">
        <v>3982</v>
      </c>
      <c r="B1103" s="24" t="inlineStr">
        <is>
          <t>2018-11-03</t>
        </is>
      </c>
      <c r="C1103" s="25">
        <f>HYPERLINK("https://vk.com/wall-1825701_3982", "Открыть пост")</f>
        <v/>
      </c>
      <c r="D1103" s="26" t="inlineStr">
        <is>
          <t>Творческие мастер-классы и художественные студии</t>
        </is>
      </c>
      <c r="E1103" s="26" t="inlineStr">
        <is>
          <t>Творческие мастер-классы и художественные студии</t>
        </is>
      </c>
      <c r="F1103" s="26" t="inlineStr">
        <is>
          <t>Подопечные фонда «Дети Марии» (общая группа детей и подростков)</t>
        </is>
      </c>
      <c r="G1103" s="26" t="inlineStr">
        <is>
          <t>Студия фонда / выездная площадка</t>
        </is>
      </c>
      <c r="H1103" s="26" t="inlineStr">
        <is>
          <t>Коммуникативные навыки, эмпатия и тьюторское сопровождение</t>
        </is>
      </c>
      <c r="I1103" s="27" t="inlineStr">
        <is>
          <t>По формату занятия</t>
        </is>
      </c>
      <c r="J1103" s="26" t="inlineStr">
        <is>
          <t>Нина Максовна — редактор с многолетним стажем — не только проводит диктанты для молодёжи по русскому языку, она в любой момент готова устроить студентам мастер-класс по оформлению реферата в Word.</t>
        </is>
      </c>
    </row>
    <row r="1104" ht="30" customHeight="1">
      <c r="A1104" s="28" t="n">
        <v>3981</v>
      </c>
      <c r="B1104" s="29" t="inlineStr">
        <is>
          <t>2018-11-03</t>
        </is>
      </c>
      <c r="C1104" s="30">
        <f>HYPERLINK("https://vk.com/wall-1825701_3981", "Открыть пост")</f>
        <v/>
      </c>
      <c r="D1104" s="31" t="inlineStr">
        <is>
          <t>Выставки, экскурсии и культурные выходы</t>
        </is>
      </c>
      <c r="E1104" s="31" t="inlineStr">
        <is>
          <t>Выставки, экскурсии и культурные выходы</t>
        </is>
      </c>
      <c r="F1104" s="31" t="inlineStr">
        <is>
          <t>Подростки и взрослые с ментальными особенностями и ОВЗ (ПНИ / Социальные дома)</t>
        </is>
      </c>
      <c r="G1104" s="31" t="inlineStr">
        <is>
          <t>Студия фонда / выездная площадка</t>
        </is>
      </c>
      <c r="H1104" s="31" t="inlineStr">
        <is>
          <t>Коммуникативные навыки, эмпатия и тьюторское сопровождение</t>
        </is>
      </c>
      <c r="I1104" s="32" t="inlineStr">
        <is>
          <t>По формату занятия</t>
        </is>
      </c>
      <c r="J1104" s="31" t="inlineStr">
        <is>
          <t>Последние приготовления к выставке в ЦДХ — взрослые ребята из ПНИ 16 и Катя из ПНИ 12 в пятницу заканчивают работы, педагоги и мастер на все руки Лёша Строев оформляют их в рамы. Выставка откроется сразу после выходных, 6 ноября и продлится до 20 ноября. Приглашаем всех!</t>
        </is>
      </c>
    </row>
    <row r="1105" ht="30" customHeight="1">
      <c r="A1105" s="23" t="n">
        <v>3978</v>
      </c>
      <c r="B1105" s="24" t="inlineStr">
        <is>
          <t>2018-11-02</t>
        </is>
      </c>
      <c r="C1105" s="25">
        <f>HYPERLINK("https://vk.com/wall-1825701_3978", "Открыть пост")</f>
        <v/>
      </c>
      <c r="D1105" s="26" t="inlineStr">
        <is>
          <t>Спектакли, концерты и музыкально-театральные занятия</t>
        </is>
      </c>
      <c r="E1105" s="26" t="inlineStr">
        <is>
          <t>Спектакли, концерты и музыкально-театральные занятия</t>
        </is>
      </c>
      <c r="F1105" s="26" t="inlineStr">
        <is>
          <t>Подопечные фонда «Дети Марии» (общая группа детей и подростков)</t>
        </is>
      </c>
      <c r="G1105" s="26" t="inlineStr">
        <is>
          <t>Студия фонда / выездная площадка</t>
        </is>
      </c>
      <c r="H1105" s="26" t="inlineStr">
        <is>
          <t>Коммуникативные навыки, эмпатия и тьюторское сопровождение; Артистические, музыкальные и спортивно-игровые навыки</t>
        </is>
      </c>
      <c r="I1105" s="27" t="inlineStr">
        <is>
          <t>По формату занятия</t>
        </is>
      </c>
      <c r="J1105" s="26" t="inlineStr">
        <is>
          <t>Занятие группы из 31го интерната вчера началось с небольшого концерта — к нам в гости приехал дуэт «Мама ГАмМА» — Галина Войниченко (сопрано) Майя Андреевская (фортепиано). Галина и Майя исполнили для детей несколько весёлых и мелодичных песен, к последней можно было даже присоед...</t>
        </is>
      </c>
    </row>
    <row r="1106" ht="30" customHeight="1">
      <c r="A1106" s="28" t="n">
        <v>3977</v>
      </c>
      <c r="B1106" s="29" t="inlineStr">
        <is>
          <t>2018-11-02</t>
        </is>
      </c>
      <c r="C1106" s="30">
        <f>HYPERLINK("https://vk.com/wall-1825701_3977", "Открыть пост")</f>
        <v/>
      </c>
      <c r="D1106" s="31" t="inlineStr">
        <is>
          <t>Творческие мастер-классы и художественные студии</t>
        </is>
      </c>
      <c r="E1106" s="31" t="inlineStr">
        <is>
          <t>Творческие мастер-классы и художественные студии</t>
        </is>
      </c>
      <c r="F1106" s="31" t="inlineStr">
        <is>
          <t>Подопечные фонда «Дети Марии» (общая группа детей и подростков)</t>
        </is>
      </c>
      <c r="G1106" s="31" t="inlineStr">
        <is>
          <t>Студия фонда / выездная площадка</t>
        </is>
      </c>
      <c r="H1106" s="31" t="inlineStr">
        <is>
          <t>Художественно-прикладные и ремесленные навыки</t>
        </is>
      </c>
      <c r="I1106" s="32" t="inlineStr">
        <is>
          <t>Да (в тексте)</t>
        </is>
      </c>
      <c r="J1106" s="31" t="inlineStr">
        <is>
          <t>Наша маленькая волонтерская банда. Лепим. И вас приглашаем. Как обычно, в воскресенье в 17.00 Дмитровский пер., 2/10.</t>
        </is>
      </c>
    </row>
    <row r="1107" ht="30" customHeight="1">
      <c r="A1107" s="23" t="n">
        <v>3975</v>
      </c>
      <c r="B1107" s="24" t="inlineStr">
        <is>
          <t>2018-11-01</t>
        </is>
      </c>
      <c r="C1107" s="25">
        <f>HYPERLINK("https://vk.com/wall-1825701_3975", "Открыть пост")</f>
        <v/>
      </c>
      <c r="D1107" s="26" t="inlineStr">
        <is>
          <t>Кулинарные, образовательные и социально-бытовые занятия</t>
        </is>
      </c>
      <c r="E1107" s="26" t="inlineStr">
        <is>
          <t>Кулинарные, образовательные и социально-бытовые занятия; Творческие мастер-классы и художественные студии</t>
        </is>
      </c>
      <c r="F1107" s="26" t="inlineStr">
        <is>
          <t>Подопечные фонда «Дети Марии» (общая группа детей и подростков)</t>
        </is>
      </c>
      <c r="G1107" s="26" t="inlineStr">
        <is>
          <t>Студия фонда / выездная площадка</t>
        </is>
      </c>
      <c r="H1107" s="26" t="inlineStr">
        <is>
          <t>Педагогические и наставнические навыки (кулинария, быт, учёба)</t>
        </is>
      </c>
      <c r="I1107" s="27" t="inlineStr">
        <is>
          <t>По формату занятия</t>
        </is>
      </c>
      <c r="J1107" s="26" t="inlineStr">
        <is>
          <t>Рассольник с оливками, суп-пюре грибной, который не успел стать пюре) и самый простой в мире салат из красной и белой фасоли учились готовить в среду на кулинарном мастер-классе в студии. Спасибо всем за участие и прекрасный аппетит!</t>
        </is>
      </c>
    </row>
    <row r="1108" ht="30" customHeight="1">
      <c r="A1108" s="28" t="n">
        <v>3973</v>
      </c>
      <c r="B1108" s="29" t="inlineStr">
        <is>
          <t>2018-11-01</t>
        </is>
      </c>
      <c r="C1108" s="30">
        <f>HYPERLINK("https://vk.com/wall-1825701_3973", "Открыть пост")</f>
        <v/>
      </c>
      <c r="D1108" s="31" t="inlineStr">
        <is>
          <t>Творческие мастер-классы и художественные студии</t>
        </is>
      </c>
      <c r="E1108" s="31" t="inlineStr">
        <is>
          <t>Творческие мастер-классы и художественные студии</t>
        </is>
      </c>
      <c r="F1108" s="31" t="inlineStr">
        <is>
          <t>Подопечные фонда «Дети Марии» (общая группа детей и подростков)</t>
        </is>
      </c>
      <c r="G1108" s="31" t="inlineStr">
        <is>
          <t>Студия фонда / выездная площадка</t>
        </is>
      </c>
      <c r="H1108" s="31" t="inlineStr">
        <is>
          <t>Художественно-прикладные и ремесленные навыки</t>
        </is>
      </c>
      <c r="I1108" s="32" t="inlineStr">
        <is>
          <t>По формату занятия</t>
        </is>
      </c>
      <c r="J1108" s="31" t="inlineStr">
        <is>
          <t>На занятиях рисованием для взрослых в среду вечером Нюся предложила поучаствовать в доведении до совершенства большой детской картины. Картина называется «Страна, где исполняются мечты», её рисовали много детей из разных интернатов и не из интернатов, на ней замки, принцессы и ры...</t>
        </is>
      </c>
    </row>
    <row r="1109" ht="30" customHeight="1">
      <c r="A1109" s="23" t="n">
        <v>3970</v>
      </c>
      <c r="B1109" s="24" t="inlineStr">
        <is>
          <t>2018-10-31</t>
        </is>
      </c>
      <c r="C1109" s="25">
        <f>HYPERLINK("https://vk.com/wall-1825701_3970", "Открыть пост")</f>
        <v/>
      </c>
      <c r="D1109" s="26" t="inlineStr">
        <is>
          <t>Кулинарные, образовательные и социально-бытовые занятия</t>
        </is>
      </c>
      <c r="E1109" s="26" t="inlineStr">
        <is>
          <t>Кулинарные, образовательные и социально-бытовые занятия</t>
        </is>
      </c>
      <c r="F1109" s="26" t="inlineStr">
        <is>
          <t>Подопечные фонда «Дети Марии» (общая группа детей и подростков)</t>
        </is>
      </c>
      <c r="G1109" s="26" t="inlineStr">
        <is>
          <t>Студия фонда / выездная площадка</t>
        </is>
      </c>
      <c r="H1109" s="26" t="inlineStr">
        <is>
          <t>Коммуникативные навыки, эмпатия и тьюторское сопровождение</t>
        </is>
      </c>
      <c r="I1109" s="27" t="inlineStr">
        <is>
          <t>По формату занятия</t>
        </is>
      </c>
      <c r="J1109" s="26" t="inlineStr">
        <is>
          <t>По теме прошлого занятия по философии «Уверенность» вчера на киноклубе посмотрели фильм 2011 г. режиссера Сонгиоса Сугмаканана «Тинейджер на миллиард», основанный на реальных событиях. Никогда не сдавайся и пребудет с тобой сила духа! Очень вдохновляет. Кому не хватает мотивации ...</t>
        </is>
      </c>
    </row>
    <row r="1110" ht="30" customHeight="1">
      <c r="A1110" s="28" t="n">
        <v>3968</v>
      </c>
      <c r="B1110" s="29" t="inlineStr">
        <is>
          <t>2018-10-30</t>
        </is>
      </c>
      <c r="C1110" s="30">
        <f>HYPERLINK("https://vk.com/wall-1825701_3968", "Открыть пост")</f>
        <v/>
      </c>
      <c r="D1110" s="31" t="inlineStr">
        <is>
          <t>Творческие мастер-классы и художественные студии</t>
        </is>
      </c>
      <c r="E1110" s="31" t="inlineStr">
        <is>
          <t>Творческие мастер-классы и художественные студии</t>
        </is>
      </c>
      <c r="F1110" s="31" t="inlineStr">
        <is>
          <t>Подопечные фонда «Дети Марии» (общая группа детей и подростков)</t>
        </is>
      </c>
      <c r="G1110" s="31" t="inlineStr">
        <is>
          <t>Студия фонда / выездная площадка</t>
        </is>
      </c>
      <c r="H1110" s="31" t="inlineStr">
        <is>
          <t>Художественно-прикладные и ремесленные навыки</t>
        </is>
      </c>
      <c r="I1110" s="32" t="inlineStr">
        <is>
          <t>По формату занятия</t>
        </is>
      </c>
      <c r="J1110" s="31" t="inlineStr">
        <is>
          <t>По понедельникам в семь вечера у нас керамика для взрослых — жителей Тверского и других ближних районов. Ведёт занятия Николай Панюков. Вчера лепили кабанчиков — эта тема возникла, потому что наступающий 2019 по восточному гороскопу — год кабана. Кабачки получаются выразительные!...</t>
        </is>
      </c>
    </row>
    <row r="1111" ht="30" customHeight="1">
      <c r="A1111" s="23" t="n">
        <v>3962</v>
      </c>
      <c r="B1111" s="24" t="inlineStr">
        <is>
          <t>2018-10-30</t>
        </is>
      </c>
      <c r="C1111" s="25">
        <f>HYPERLINK("https://vk.com/wall-1825701_3962", "Открыть пост")</f>
        <v/>
      </c>
      <c r="D1111" s="26" t="inlineStr">
        <is>
          <t>Творческие мастер-классы и художественные студии</t>
        </is>
      </c>
      <c r="E1111" s="26" t="inlineStr">
        <is>
          <t>Творческие мастер-классы и художественные студии; Выставки, экскурсии и культурные выходы; Спектакли, концерты и музыкально-театральные занятия</t>
        </is>
      </c>
      <c r="F1111" s="26" t="inlineStr">
        <is>
          <t>Подопечные фонда «Дети Марии» (общая группа детей и подростков)</t>
        </is>
      </c>
      <c r="G1111" s="26" t="inlineStr">
        <is>
          <t>Студия фонда / выездная площадка</t>
        </is>
      </c>
      <c r="H1111" s="26" t="inlineStr">
        <is>
          <t>Художественно-прикладные и ремесленные навыки; Артистические, музыкальные и спортивно-игровые навыки; Педагогические и наставнические навыки (кулинария, быт, учёба)</t>
        </is>
      </c>
      <c r="I1111" s="27" t="inlineStr">
        <is>
          <t>По формату занятия</t>
        </is>
      </c>
      <c r="J1111" s="26" t="inlineStr">
        <is>
          <t>В воскресенье занимались дети из окрестных домов. Преподаватель рукоделия Мария Ивановна — настоящая волшебница — что бы ни выдумали дети, она знает как свалять это из шерсти. Вот что получилось у подружек: оранжевая свинка на воздушном шаре. Кроме того, в воскресенье на валянии ...</t>
        </is>
      </c>
    </row>
    <row r="1112" ht="30" customHeight="1">
      <c r="A1112" s="28" t="n">
        <v>3961</v>
      </c>
      <c r="B1112" s="29" t="inlineStr">
        <is>
          <t>2018-10-28</t>
        </is>
      </c>
      <c r="C1112" s="30">
        <f>HYPERLINK("https://vk.com/wall-1825701_3961", "Открыть пост")</f>
        <v/>
      </c>
      <c r="D1112" s="31" t="inlineStr">
        <is>
          <t>Ярмарки, фестивали и благотворительные базары</t>
        </is>
      </c>
      <c r="E1112" s="31" t="inlineStr">
        <is>
          <t>Ярмарки, фестивали и благотворительные базары</t>
        </is>
      </c>
      <c r="F1112" s="31" t="inlineStr">
        <is>
          <t>Подопечные фонда «Дети Марии» (общая группа детей и подростков)</t>
        </is>
      </c>
      <c r="G1112" s="31" t="inlineStr">
        <is>
          <t>Студия фонда / выездная площадка</t>
        </is>
      </c>
      <c r="H1112" s="31" t="inlineStr">
        <is>
          <t>Организационные, ивент- и ярмарочные навыки</t>
        </is>
      </c>
      <c r="I1112" s="32" t="inlineStr">
        <is>
          <t>По формату занятия</t>
        </is>
      </c>
      <c r="J1112" s="31" t="inlineStr">
        <is>
          <t>Лоты № 38, 39, 40 нашего открытого интернет-аукциона, участвовать могут все, ссылка в закреплённом посте. Впервые: кресла-мешки с нашими коллективными картинами. Стартовая цена на каждый 7000 рублей. Описание: Кресло-мешок с двумя чехлами — внутренним и внешним. Это позволяет сти...</t>
        </is>
      </c>
    </row>
    <row r="1113" ht="30" customHeight="1">
      <c r="A1113" s="23" t="n">
        <v>3959</v>
      </c>
      <c r="B1113" s="24" t="inlineStr">
        <is>
          <t>2018-10-27</t>
        </is>
      </c>
      <c r="C1113" s="25">
        <f>HYPERLINK("https://vk.com/wall-1825701_3959", "Открыть пост")</f>
        <v/>
      </c>
      <c r="D1113" s="26" t="inlineStr">
        <is>
          <t>Выездные лагеря, дача и сезонные программы</t>
        </is>
      </c>
      <c r="E1113" s="26" t="inlineStr">
        <is>
          <t>Выездные лагеря, дача и сезонные программы; Творческие мастер-классы и художественные студии</t>
        </is>
      </c>
      <c r="F1113" s="26" t="inlineStr">
        <is>
          <t>Воспитанники ЦССВ, ДДИ и детских домов-интернатов</t>
        </is>
      </c>
      <c r="G1113" s="26" t="inlineStr">
        <is>
          <t>Студия фонда / выездная площадка</t>
        </is>
      </c>
      <c r="H1113" s="26" t="inlineStr">
        <is>
          <t>Мобильность, выездное сопровождение и автоволонтёрство</t>
        </is>
      </c>
      <c r="I1113" s="27" t="inlineStr">
        <is>
          <t>По формату занятия</t>
        </is>
      </c>
      <c r="J1113" s="26" t="inlineStr">
        <is>
          <t>Ребята из Моздокского детского дома Республики Северная Осетия приезжают летом в лагерь студии «Дети Марии». А сейчас наши друзья Наташа, Олег, Лена и Саша у них в гостях. Вот такие марионетки проучились у них на мастер-классе!</t>
        </is>
      </c>
    </row>
    <row r="1114" ht="30" customHeight="1">
      <c r="A1114" s="28" t="n">
        <v>3955</v>
      </c>
      <c r="B1114" s="29" t="inlineStr">
        <is>
          <t>2018-10-26</t>
        </is>
      </c>
      <c r="C1114" s="30">
        <f>HYPERLINK("https://vk.com/wall-1825701_3955", "Открыть пост")</f>
        <v/>
      </c>
      <c r="D1114" s="31" t="inlineStr">
        <is>
          <t>Творческие мастер-классы и художественные студии</t>
        </is>
      </c>
      <c r="E1114" s="31" t="inlineStr">
        <is>
          <t>Творческие мастер-классы и художественные студии</t>
        </is>
      </c>
      <c r="F1114" s="31" t="inlineStr">
        <is>
          <t>Воспитанники ЦССВ, ДДИ и детских домов-интернатов</t>
        </is>
      </c>
      <c r="G1114" s="31" t="inlineStr">
        <is>
          <t>Студия фонда / выездная площадка</t>
        </is>
      </c>
      <c r="H1114" s="31" t="inlineStr">
        <is>
          <t>Коммуникативные навыки, эмпатия и тьюторское сопровождение</t>
        </is>
      </c>
      <c r="I1114" s="32" t="inlineStr">
        <is>
          <t>По формату занятия</t>
        </is>
      </c>
      <c r="J1114" s="31" t="inlineStr">
        <is>
          <t>И снова в Осетию прилетели друзья! Их ждут с нетерпением и встречают с радостью. Олег Фогель, Наташа Жернова, Елена Свистова, Саша Королев вчера провели мастер-классы в детском доме села Дур-дур. Сегодня поехали в Моздок.</t>
        </is>
      </c>
    </row>
    <row r="1115" ht="30" customHeight="1">
      <c r="A1115" s="23" t="n">
        <v>3953</v>
      </c>
      <c r="B1115" s="24" t="inlineStr">
        <is>
          <t>2018-10-26</t>
        </is>
      </c>
      <c r="C1115" s="25">
        <f>HYPERLINK("https://vk.com/wall-1825701_3953", "Открыть пост")</f>
        <v/>
      </c>
      <c r="D1115" s="26" t="inlineStr">
        <is>
          <t>Творческие мастер-классы и художественные студии</t>
        </is>
      </c>
      <c r="E1115" s="26" t="inlineStr">
        <is>
          <t>Творческие мастер-классы и художественные студии</t>
        </is>
      </c>
      <c r="F1115" s="26" t="inlineStr">
        <is>
          <t>Подопечные фонда «Дети Марии» (общая группа детей и подростков)</t>
        </is>
      </c>
      <c r="G1115" s="26" t="inlineStr">
        <is>
          <t>Студия фонда / выездная площадка</t>
        </is>
      </c>
      <c r="H1115" s="26" t="inlineStr">
        <is>
          <t>Художественно-прикладные и ремесленные навыки</t>
        </is>
      </c>
      <c r="I1115" s="27" t="inlineStr">
        <is>
          <t>Да (в тексте)</t>
        </is>
      </c>
      <c r="J1115" s="26" t="inlineStr">
        <is>
          <t>В это воскресенье в 17 часов Ирина Рокотнина снова ждёт волонтёров на занятиях по керамике. Для рекламы — вот результат прошлого занятия.</t>
        </is>
      </c>
    </row>
    <row r="1116" ht="30" customHeight="1">
      <c r="A1116" s="28" t="n">
        <v>3949</v>
      </c>
      <c r="B1116" s="29" t="inlineStr">
        <is>
          <t>2018-10-25</t>
        </is>
      </c>
      <c r="C1116" s="30">
        <f>HYPERLINK("https://vk.com/wall-1825701_3949", "Открыть пост")</f>
        <v/>
      </c>
      <c r="D1116" s="31" t="inlineStr">
        <is>
          <t>Творческие мастер-классы и художественные студии</t>
        </is>
      </c>
      <c r="E1116" s="31" t="inlineStr">
        <is>
          <t>Творческие мастер-классы и художественные студии</t>
        </is>
      </c>
      <c r="F1116" s="31" t="inlineStr">
        <is>
          <t>Подопечные фонда «Дети Марии» (общая группа детей и подростков)</t>
        </is>
      </c>
      <c r="G1116" s="31" t="inlineStr">
        <is>
          <t>Студия фонда / выездная площадка</t>
        </is>
      </c>
      <c r="H1116" s="31" t="inlineStr">
        <is>
          <t>Коммуникативные навыки, эмпатия и тьюторское сопровождение</t>
        </is>
      </c>
      <c r="I1116" s="32" t="inlineStr">
        <is>
          <t>По формату занятия</t>
        </is>
      </c>
      <c r="J1116" s="31" t="inlineStr">
        <is>
          <t>У нас не просто мастер-класс Александра Семёнова по эбру для взрослых. Мы делаем каталог ручной работы для благотворительного бала. Ах, и красота же получается!</t>
        </is>
      </c>
    </row>
    <row r="1117" ht="30" customHeight="1">
      <c r="A1117" s="23" t="n">
        <v>3948</v>
      </c>
      <c r="B1117" s="24" t="inlineStr">
        <is>
          <t>2018-10-25</t>
        </is>
      </c>
      <c r="C1117" s="25">
        <f>HYPERLINK("https://vk.com/wall-1825701_3948", "Открыть пост")</f>
        <v/>
      </c>
      <c r="D1117" s="26" t="inlineStr">
        <is>
          <t>Творческие мастер-классы и художественные студии</t>
        </is>
      </c>
      <c r="E1117" s="26" t="inlineStr">
        <is>
          <t>Творческие мастер-классы и художественные студии; Кулинарные, образовательные и социально-бытовые занятия</t>
        </is>
      </c>
      <c r="F1117" s="26" t="inlineStr">
        <is>
          <t>Подопечные фонда «Дети Марии» (общая группа детей и подростков)</t>
        </is>
      </c>
      <c r="G1117" s="26" t="inlineStr">
        <is>
          <t>Студия фонда / выездная площадка</t>
        </is>
      </c>
      <c r="H1117" s="26" t="inlineStr">
        <is>
          <t>Педагогические и наставнические навыки (кулинария, быт, учёба)</t>
        </is>
      </c>
      <c r="I1117" s="27" t="inlineStr">
        <is>
          <t>По формату занятия</t>
        </is>
      </c>
      <c r="J1117" s="26" t="inlineStr">
        <is>
          <t>Вчера на кулинарном мастер-классе учились готовить и правильно есть шаурму в пите. А для самых стойких ещё мастер-класс по сырникам.</t>
        </is>
      </c>
    </row>
    <row r="1118" ht="30" customHeight="1">
      <c r="A1118" s="28" t="n">
        <v>3947</v>
      </c>
      <c r="B1118" s="29" t="inlineStr">
        <is>
          <t>2018-10-25</t>
        </is>
      </c>
      <c r="C1118" s="30">
        <f>HYPERLINK("https://vk.com/wall-1825701_3947", "Открыть пост")</f>
        <v/>
      </c>
      <c r="D1118" s="31" t="inlineStr">
        <is>
          <t>Ярмарки, фестивали и благотворительные базары</t>
        </is>
      </c>
      <c r="E1118" s="31" t="inlineStr">
        <is>
          <t>Ярмарки, фестивали и благотворительные базары; Творческие мастер-классы и художественные студии; Выездные лагеря, дача и сезонные программы; Выставки, экскурсии и культурные выходы; Спектакли, концерты и музыкально-театральные занятия</t>
        </is>
      </c>
      <c r="F1118" s="31" t="inlineStr">
        <is>
          <t>Воспитанники ЦССВ, ДДИ и детских домов-интернатов; Широкая аудитория, гости и благотворители (открытые события); Выпускники интернатов и детских домов (молодые взрослые); Дети и семьи (в т.ч. приёмные семьи и программа в Беслане)</t>
        </is>
      </c>
      <c r="G1118" s="31" t="inlineStr">
        <is>
          <t>Беслан</t>
        </is>
      </c>
      <c r="H1118"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 Мобильность, выездное сопровождение и автоволонтёрство</t>
        </is>
      </c>
      <c r="I1118" s="32" t="inlineStr">
        <is>
          <t>По формату занятия</t>
        </is>
      </c>
      <c r="J1118" s="31" t="inlineStr">
        <is>
          <t>http://silentauction.ru С 25 октября по 8 ноября 2018 года проходит первый открытый благотворительный интернет-аукцион Художественного центра «Дети Марии» и фонда «Пеликан», в котором каждый может принять участие. «Дети Марии» и «Пеликан»помогают детям-сиротам, детям и взрослым с...</t>
        </is>
      </c>
    </row>
    <row r="1119" ht="30" customHeight="1">
      <c r="A1119" s="23" t="n">
        <v>3945</v>
      </c>
      <c r="B1119" s="24" t="inlineStr">
        <is>
          <t>2018-10-25</t>
        </is>
      </c>
      <c r="C1119" s="25">
        <f>HYPERLINK("https://vk.com/wall-1825701_3945", "Открыть пост")</f>
        <v/>
      </c>
      <c r="D1119" s="26" t="inlineStr">
        <is>
          <t>Выездные лагеря, дача и сезонные программы</t>
        </is>
      </c>
      <c r="E1119" s="26" t="inlineStr">
        <is>
          <t>Выездные лагеря, дача и сезонные программы; Выставки, экскурсии и культурные выходы</t>
        </is>
      </c>
      <c r="F1119" s="26" t="inlineStr">
        <is>
          <t>Подопечные фонда «Дети Марии» (общая группа детей и подростков)</t>
        </is>
      </c>
      <c r="G1119" s="26" t="inlineStr">
        <is>
          <t>Студия фонда / выездная площадка</t>
        </is>
      </c>
      <c r="H1119" s="26" t="inlineStr">
        <is>
          <t>Коммуникативные навыки, эмпатия и тьюторское сопровождение</t>
        </is>
      </c>
      <c r="I1119" s="27" t="inlineStr">
        <is>
          <t>По формату занятия</t>
        </is>
      </c>
      <c r="J1119" s="26" t="inlineStr">
        <is>
          <t>В загородных мастерских в среду дети из Филимонок. Дружно рисуем детали для больших картин — их почему-то никогда не бывает достаточно, а перед выставкой особенно!</t>
        </is>
      </c>
    </row>
    <row r="1120" ht="30" customHeight="1">
      <c r="A1120" s="28" t="n">
        <v>3941</v>
      </c>
      <c r="B1120" s="29" t="inlineStr">
        <is>
          <t>2018-10-22</t>
        </is>
      </c>
      <c r="C1120" s="30">
        <f>HYPERLINK("https://vk.com/wall-1825701_3941", "Открыть пост")</f>
        <v/>
      </c>
      <c r="D1120" s="31" t="inlineStr">
        <is>
          <t>Творческие мастер-классы и художественные студии</t>
        </is>
      </c>
      <c r="E1120" s="31" t="inlineStr">
        <is>
          <t>Творческие мастер-классы и художественные студии</t>
        </is>
      </c>
      <c r="F1120" s="31" t="inlineStr">
        <is>
          <t>Подопечные фонда «Дети Марии» (общая группа детей и подростков)</t>
        </is>
      </c>
      <c r="G1120" s="31" t="inlineStr">
        <is>
          <t>Студия фонда / выездная площадка</t>
        </is>
      </c>
      <c r="H1120" s="31" t="inlineStr">
        <is>
          <t>Художественно-прикладные и ремесленные навыки</t>
        </is>
      </c>
      <c r="I1120" s="32" t="inlineStr">
        <is>
          <t>По формату занятия</t>
        </is>
      </c>
      <c r="J1120" s="31" t="inlineStr">
        <is>
          <t>В студии рисуют все, от мала до велика. Для кого-то главное — сюжет. Для кого-то — цвет. Но для всех важен сам процесс творчества как способ самовыражения. Приходите к нам рисовать!</t>
        </is>
      </c>
    </row>
    <row r="1121" ht="30" customHeight="1">
      <c r="A1121" s="23" t="n">
        <v>3939</v>
      </c>
      <c r="B1121" s="24" t="inlineStr">
        <is>
          <t>2018-10-21</t>
        </is>
      </c>
      <c r="C1121" s="25">
        <f>HYPERLINK("https://vk.com/wall-1825701_3939", "Открыть пост")</f>
        <v/>
      </c>
      <c r="D1121" s="26" t="inlineStr">
        <is>
          <t>Творческие мастер-классы и художественные студии</t>
        </is>
      </c>
      <c r="E1121" s="26" t="inlineStr">
        <is>
          <t>Творческие мастер-классы и художественные студии</t>
        </is>
      </c>
      <c r="F1121" s="26" t="inlineStr">
        <is>
          <t>Подопечные фонда «Дети Марии» (общая группа детей и подростков)</t>
        </is>
      </c>
      <c r="G1121" s="26" t="inlineStr">
        <is>
          <t>Студия фонда / выездная площадка</t>
        </is>
      </c>
      <c r="H1121" s="26" t="inlineStr">
        <is>
          <t>Художественно-прикладные и ремесленные навыки; Педагогические и наставнические навыки (кулинария, быт, учёба)</t>
        </is>
      </c>
      <c r="I1121" s="27" t="inlineStr">
        <is>
          <t>По формату занятия</t>
        </is>
      </c>
      <c r="J1121" s="26" t="inlineStr">
        <is>
          <t>Вчера в студии занимались дети из окрестных домов. Некоторые мамы тоже присоединяются к занятиям, чему мы очень рады. На мастер-классе по валянию валяли объёмную фигуру. Маша с мамой решили сделать черепаху, а вот Велеса создала звезду Бетельгейзе, которую видела в книжке! Рисова...</t>
        </is>
      </c>
    </row>
    <row r="1122" ht="30" customHeight="1">
      <c r="A1122" s="28" t="n">
        <v>3938</v>
      </c>
      <c r="B1122" s="29" t="inlineStr">
        <is>
          <t>2018-10-20</t>
        </is>
      </c>
      <c r="C1122" s="30">
        <f>HYPERLINK("https://vk.com/wall-1825701_3938", "Открыть пост")</f>
        <v/>
      </c>
      <c r="D1122" s="31" t="inlineStr">
        <is>
          <t>Творческие мастер-классы и художественные студии</t>
        </is>
      </c>
      <c r="E1122" s="31" t="inlineStr">
        <is>
          <t>Творческие мастер-классы и художественные студии; Выездные лагеря, дача и сезонные программы</t>
        </is>
      </c>
      <c r="F1122" s="31" t="inlineStr">
        <is>
          <t>Воспитанники ЦССВ, ДДИ и детских домов-интернатов</t>
        </is>
      </c>
      <c r="G1122" s="31" t="inlineStr">
        <is>
          <t>ЦССВ «Спутник»</t>
        </is>
      </c>
      <c r="H1122" s="31" t="inlineStr">
        <is>
          <t>Художественно-прикладные и ремесленные навыки</t>
        </is>
      </c>
      <c r="I1122" s="32" t="inlineStr">
        <is>
          <t>По формату занятия</t>
        </is>
      </c>
      <c r="J1122" s="31" t="inlineStr">
        <is>
          <t>Сегодня в загородных мастерских дети из ЦССВ «Спутник» продолжают занятия мозаикой и керамикой.</t>
        </is>
      </c>
    </row>
    <row r="1123" ht="30" customHeight="1">
      <c r="A1123" s="23" t="n">
        <v>3935</v>
      </c>
      <c r="B1123" s="24" t="inlineStr">
        <is>
          <t>2018-10-19</t>
        </is>
      </c>
      <c r="C1123" s="25">
        <f>HYPERLINK("https://vk.com/wall-1825701_3935", "Открыть пост")</f>
        <v/>
      </c>
      <c r="D1123" s="26" t="inlineStr">
        <is>
          <t>Творческие мастер-классы и художественные студии</t>
        </is>
      </c>
      <c r="E1123" s="26" t="inlineStr">
        <is>
          <t>Творческие мастер-классы и художественные студии</t>
        </is>
      </c>
      <c r="F1123" s="26" t="inlineStr">
        <is>
          <t>Воспитанники ЦССВ, ДДИ и детских домов-интернатов</t>
        </is>
      </c>
      <c r="G1123" s="26" t="inlineStr">
        <is>
          <t>ЦССВ «Юнона»</t>
        </is>
      </c>
      <c r="H1123"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 Медиа, фото/видеосъёмка и культурная медиация</t>
        </is>
      </c>
      <c r="I1123" s="27" t="inlineStr">
        <is>
          <t>По формату занятия</t>
        </is>
      </c>
      <c r="J1123" s="26" t="inlineStr">
        <is>
          <t>Как много вмещает наш крошечный подвальчик! В четверг снова две группы детей — утром из ЦССВ «Юнона» (филиал в Коньково), днём — из 31ой школы-интерната. А ещё у нас были гости — Посол Королевства Тайланд в России с супругой и его сотрудники! Два года назад в Тайланде умер король...</t>
        </is>
      </c>
    </row>
    <row r="1124" ht="30" customHeight="1">
      <c r="A1124" s="28" t="n">
        <v>3933</v>
      </c>
      <c r="B1124" s="29" t="inlineStr">
        <is>
          <t>2018-10-18</t>
        </is>
      </c>
      <c r="C1124" s="30">
        <f>HYPERLINK("https://vk.com/wall-1825701_3933", "Открыть пост")</f>
        <v/>
      </c>
      <c r="D1124" s="31" t="inlineStr">
        <is>
          <t>Выставки, экскурсии и культурные выходы</t>
        </is>
      </c>
      <c r="E1124" s="31" t="inlineStr">
        <is>
          <t>Выставки, экскурсии и культурные выходы; Творческие мастер-классы и художественные студии</t>
        </is>
      </c>
      <c r="F1124" s="31" t="inlineStr">
        <is>
          <t>Подопечные фонда «Дети Марии» (общая группа детей и подростков)</t>
        </is>
      </c>
      <c r="G1124" s="31" t="inlineStr">
        <is>
          <t>Студия фонда / выездная площадка</t>
        </is>
      </c>
      <c r="H1124" s="31" t="inlineStr">
        <is>
          <t>Художественно-прикладные и ремесленные навыки</t>
        </is>
      </c>
      <c r="I1124" s="32" t="inlineStr">
        <is>
          <t>По формату занятия</t>
        </is>
      </c>
      <c r="J1124" s="31" t="inlineStr">
        <is>
          <t>Много новых лиц на занятии живописью для взрослых у Нюси Митиной. Некоторые работы можно будет увидеть на нашей выставке в ЦДХ в ноябре.</t>
        </is>
      </c>
    </row>
    <row r="1125" ht="30" customHeight="1">
      <c r="A1125" s="23" t="n">
        <v>3929</v>
      </c>
      <c r="B1125" s="24" t="inlineStr">
        <is>
          <t>2018-10-17</t>
        </is>
      </c>
      <c r="C1125" s="25">
        <f>HYPERLINK("https://vk.com/wall-1825701_3929", "Открыть пост")</f>
        <v/>
      </c>
      <c r="D1125" s="26" t="inlineStr">
        <is>
          <t>Кулинарные, образовательные и социально-бытовые занятия</t>
        </is>
      </c>
      <c r="E1125" s="26" t="inlineStr">
        <is>
          <t>Кулинарные, образовательные и социально-бытовые занятия; Творческие мастер-классы и художественные студии</t>
        </is>
      </c>
      <c r="F1125" s="26" t="inlineStr">
        <is>
          <t>Подопечные фонда «Дети Марии» (общая группа детей и подростков)</t>
        </is>
      </c>
      <c r="G1125" s="26" t="inlineStr">
        <is>
          <t>Студия фонда / выездная площадка</t>
        </is>
      </c>
      <c r="H1125" s="26" t="inlineStr">
        <is>
          <t>Педагогические и наставнические навыки (кулинария, быт, учёба)</t>
        </is>
      </c>
      <c r="I1125" s="27" t="inlineStr">
        <is>
          <t>По формату занятия</t>
        </is>
      </c>
      <c r="J1125" s="26" t="inlineStr">
        <is>
          <t>Среда — день кулинарных мастер-классов для молодёжи и подростков. Ташкентскую шурпу и сырный суп готовили мужчины. Девушки — «гнёзда» с овощами и сыром. Хотите учиться готовить с нами? Приходите по средам в студию на Дмитровке!</t>
        </is>
      </c>
    </row>
    <row r="1126" ht="30" customHeight="1">
      <c r="A1126" s="28" t="n">
        <v>3928</v>
      </c>
      <c r="B1126" s="29" t="inlineStr">
        <is>
          <t>2018-10-17</t>
        </is>
      </c>
      <c r="C1126" s="30">
        <f>HYPERLINK("https://vk.com/wall-1825701_3928", "Открыть пост")</f>
        <v/>
      </c>
      <c r="D1126" s="31" t="inlineStr">
        <is>
          <t>Выставки, экскурсии и культурные выходы</t>
        </is>
      </c>
      <c r="E1126" s="31" t="inlineStr">
        <is>
          <t>Выставки, экскурсии и культурные выходы</t>
        </is>
      </c>
      <c r="F1126" s="31" t="inlineStr">
        <is>
          <t>Подростки и взрослые с ментальными особенностями и ОВЗ (ПНИ / Социальные дома)</t>
        </is>
      </c>
      <c r="G1126" s="31" t="inlineStr">
        <is>
          <t>Студия фонда / выездная площадка</t>
        </is>
      </c>
      <c r="H1126" s="31" t="inlineStr">
        <is>
          <t>Коммуникативные навыки, эмпатия и тьюторское сопровождение; Мобильность, выездное сопровождение и автоволонтёрство</t>
        </is>
      </c>
      <c r="I1126" s="32" t="inlineStr">
        <is>
          <t>По формату занятия</t>
        </is>
      </c>
      <c r="J1126" s="31" t="inlineStr">
        <is>
          <t>Благодаря фирме «Скадден, Арпс, Слейт, Маар и Флом ЛЛП» второй раз ребята из ПНИ 16 побывали в Пушкинском музее. Первый раз был в апреле, тогда фирма сделала нам такой подарок в честь своего 70-летия. Руководители компании решили не ждать следующей круглой или некруглой даты, а у...</t>
        </is>
      </c>
    </row>
    <row r="1127" ht="30" customHeight="1">
      <c r="A1127" s="23" t="n">
        <v>3925</v>
      </c>
      <c r="B1127" s="24" t="inlineStr">
        <is>
          <t>2018-10-16</t>
        </is>
      </c>
      <c r="C1127" s="25">
        <f>HYPERLINK("https://vk.com/wall-1825701_3925", "Открыть пост")</f>
        <v/>
      </c>
      <c r="D1127" s="26" t="inlineStr">
        <is>
          <t>Выставки, экскурсии и культурные выходы</t>
        </is>
      </c>
      <c r="E1127" s="26" t="inlineStr">
        <is>
          <t>Выставки, экскурсии и культурные выходы; Творческие мастер-классы и художественные студии</t>
        </is>
      </c>
      <c r="F1127" s="26" t="inlineStr">
        <is>
          <t>Подростки и взрослые с ментальными особенностями и ОВЗ (ПНИ / Социальные дома)</t>
        </is>
      </c>
      <c r="G1127" s="26" t="inlineStr">
        <is>
          <t>Студия фонда / выездная площадка</t>
        </is>
      </c>
      <c r="H1127" s="26" t="inlineStr">
        <is>
          <t>Художественно-прикладные и ремесленные навыки</t>
        </is>
      </c>
      <c r="I1127" s="27" t="inlineStr">
        <is>
          <t>По формату занятия</t>
        </is>
      </c>
      <c r="J1127" s="26" t="inlineStr">
        <is>
          <t>В студии взрослые с особенностями из ПНИ 16. Никита с гордостью позирует со своими керамическими поделками. Остальным тоже есть, что показать на выставке в ноябре.</t>
        </is>
      </c>
    </row>
    <row r="1128" ht="30" customHeight="1">
      <c r="A1128" s="28" t="n">
        <v>3921</v>
      </c>
      <c r="B1128" s="29" t="inlineStr">
        <is>
          <t>2018-10-15</t>
        </is>
      </c>
      <c r="C1128" s="30">
        <f>HYPERLINK("https://vk.com/wall-1825701_3921", "Открыть пост")</f>
        <v/>
      </c>
      <c r="D1128" s="31" t="inlineStr">
        <is>
          <t>Ярмарки, фестивали и благотворительные базары</t>
        </is>
      </c>
      <c r="E1128" s="31" t="inlineStr">
        <is>
          <t>Ярмарки, фестивали и благотворительные базары; Творческие мастер-классы и художественные студии</t>
        </is>
      </c>
      <c r="F1128" s="31" t="inlineStr">
        <is>
          <t>Подопечные фонда «Дети Марии» (общая группа детей и подростков)</t>
        </is>
      </c>
      <c r="G1128" s="31" t="inlineStr">
        <is>
          <t>Студия фонда / выездная площадка</t>
        </is>
      </c>
      <c r="H1128" s="31" t="inlineStr">
        <is>
          <t>Организационные, ивент- и ярмарочные навыки</t>
        </is>
      </c>
      <c r="I1128" s="32" t="inlineStr">
        <is>
          <t>По формату занятия</t>
        </is>
      </c>
      <c r="J1128" s="31" t="inlineStr">
        <is>
          <t>От души благодарим команду @mercymoscow — ребята уже второй раз проводят в своей школе благотворительную ярмарку с нашими сувенирами, и в этот раз собрали 34125 рублей! Собранные средства будут использованы на продолжение нашей программы творческих занятий для детей и взрослых из...</t>
        </is>
      </c>
    </row>
    <row r="1129" ht="30" customHeight="1">
      <c r="A1129" s="23" t="n">
        <v>3919</v>
      </c>
      <c r="B1129" s="24" t="inlineStr">
        <is>
          <t>2018-10-14</t>
        </is>
      </c>
      <c r="C1129" s="25">
        <f>HYPERLINK("https://vk.com/wall-1825701_3919", "Открыть пост")</f>
        <v/>
      </c>
      <c r="D1129" s="26" t="inlineStr">
        <is>
          <t>Выездные лагеря, дача и сезонные программы</t>
        </is>
      </c>
      <c r="E1129" s="26" t="inlineStr">
        <is>
          <t>Выездные лагеря, дача и сезонные программы; Спортивные и активные мероприятия</t>
        </is>
      </c>
      <c r="F1129" s="26" t="inlineStr">
        <is>
          <t>Воспитанники ЦССВ, ДДИ и детских домов-интернатов</t>
        </is>
      </c>
      <c r="G1129" s="26" t="inlineStr">
        <is>
          <t>ЦССВ «Спутник»</t>
        </is>
      </c>
      <c r="H1129" s="26" t="inlineStr">
        <is>
          <t>Коммуникативные навыки, эмпатия и тьюторское сопровождение</t>
        </is>
      </c>
      <c r="I1129" s="27" t="inlineStr">
        <is>
          <t>По формату занятия</t>
        </is>
      </c>
      <c r="J1129" s="26" t="inlineStr">
        <is>
          <t>В субботу в загородных мастерских на даче Марии дети из ЦССВ «Спутник». Арттерапия к концу занятия сменяется собако-терапией и батуто-терапией.</t>
        </is>
      </c>
    </row>
    <row r="1130" ht="30" customHeight="1">
      <c r="A1130" s="28" t="n">
        <v>3909</v>
      </c>
      <c r="B1130" s="29" t="inlineStr">
        <is>
          <t>2018-10-12</t>
        </is>
      </c>
      <c r="C1130" s="30">
        <f>HYPERLINK("https://vk.com/wall-1825701_3909", "Открыть пост")</f>
        <v/>
      </c>
      <c r="D1130" s="31" t="inlineStr">
        <is>
          <t>Творческие мастер-классы и художественные студии</t>
        </is>
      </c>
      <c r="E1130" s="31" t="inlineStr">
        <is>
          <t>Творческие мастер-классы и художественные студии</t>
        </is>
      </c>
      <c r="F1130" s="31" t="inlineStr">
        <is>
          <t>Подопечные фонда «Дети Марии» (общая группа детей и подростков)</t>
        </is>
      </c>
      <c r="G1130" s="31" t="inlineStr">
        <is>
          <t>Студия фонда / выездная площадка</t>
        </is>
      </c>
      <c r="H1130" s="31" t="inlineStr">
        <is>
          <t>Художественно-прикладные и ремесленные навыки</t>
        </is>
      </c>
      <c r="I1130" s="32" t="inlineStr">
        <is>
          <t>По формату занятия</t>
        </is>
      </c>
      <c r="J1130" s="31" t="inlineStr">
        <is>
          <t>Приглашаем жителей Тверского и других ближних районов на бесплатные занятия в студии на Большой Дмитровке по следующим направлениям: — керамика — понедельник с 19.00 часов — ведёт член Московского союза художников Николай Панюков. — гобелен и валяние — суббота с 12.00 часов — вед...</t>
        </is>
      </c>
    </row>
    <row r="1131" ht="30" customHeight="1">
      <c r="A1131" s="23" t="n">
        <v>3908</v>
      </c>
      <c r="B1131" s="24" t="inlineStr">
        <is>
          <t>2018-10-12</t>
        </is>
      </c>
      <c r="C1131" s="25">
        <f>HYPERLINK("https://vk.com/wall-1825701_3908", "Открыть пост")</f>
        <v/>
      </c>
      <c r="D1131" s="26" t="inlineStr">
        <is>
          <t>Творческие мастер-классы и художественные студии</t>
        </is>
      </c>
      <c r="E1131" s="26" t="inlineStr">
        <is>
          <t>Творческие мастер-классы и художественные студии</t>
        </is>
      </c>
      <c r="F1131" s="26" t="inlineStr">
        <is>
          <t>Подопечные фонда «Дети Марии» (общая группа детей и подростков)</t>
        </is>
      </c>
      <c r="G1131" s="26" t="inlineStr">
        <is>
          <t>Студия фонда / выездная площадка</t>
        </is>
      </c>
      <c r="H1131" s="26" t="inlineStr">
        <is>
          <t>Художественно-прикладные и ремесленные навыки</t>
        </is>
      </c>
      <c r="I1131" s="27" t="inlineStr">
        <is>
          <t>По формату занятия</t>
        </is>
      </c>
      <c r="J1131" s="26" t="inlineStr">
        <is>
          <t>В воскресенье с 17 часов в студии продолжатся занятия керамикой для взрослых, которые проводит Ирина Рокотнина. Пришлашаем желающих научиться лепить и помочь нам сделать сувениры для ярмарок и интернет-магазина. Справки по телефону +79035284651 Вот что получилось на прошлом занят...</t>
        </is>
      </c>
    </row>
    <row r="1132" ht="30" customHeight="1">
      <c r="A1132" s="28" t="n">
        <v>3901</v>
      </c>
      <c r="B1132" s="29" t="inlineStr">
        <is>
          <t>2018-10-11</t>
        </is>
      </c>
      <c r="C1132" s="30">
        <f>HYPERLINK("https://vk.com/wall-1825701_3901", "Открыть пост")</f>
        <v/>
      </c>
      <c r="D1132" s="31" t="inlineStr">
        <is>
          <t>Творческие мастер-классы и художественные студии</t>
        </is>
      </c>
      <c r="E1132" s="31" t="inlineStr">
        <is>
          <t>Творческие мастер-классы и художественные студии</t>
        </is>
      </c>
      <c r="F1132" s="31" t="inlineStr">
        <is>
          <t>Подопечные фонда «Дети Марии» (общая группа детей и подростков)</t>
        </is>
      </c>
      <c r="G1132" s="31" t="inlineStr">
        <is>
          <t>Студия фонда / выездная площадка</t>
        </is>
      </c>
      <c r="H1132" s="31" t="inlineStr">
        <is>
          <t>Коммуникативные навыки, эмпатия и тьюторское сопровождение</t>
        </is>
      </c>
      <c r="I1132" s="32" t="inlineStr">
        <is>
          <t>По формату занятия</t>
        </is>
      </c>
      <c r="J1132" s="31" t="inlineStr">
        <is>
          <t>Второй витраж у фонаря начали делать на мастер-классе по стеклу в технике «Тиффани» Ира и Лёша. Это планета Фонарщика из сказки «Маленький принц». Хотите освоить технику — присоединяйтесь!</t>
        </is>
      </c>
    </row>
    <row r="1133" ht="30" customHeight="1">
      <c r="A1133" s="23" t="n">
        <v>3894</v>
      </c>
      <c r="B1133" s="24" t="inlineStr">
        <is>
          <t>2018-10-09</t>
        </is>
      </c>
      <c r="C1133" s="25">
        <f>HYPERLINK("https://vk.com/wall-1825701_3894", "Открыть пост")</f>
        <v/>
      </c>
      <c r="D1133" s="26" t="inlineStr">
        <is>
          <t>Творческие мастер-классы и художественные студии</t>
        </is>
      </c>
      <c r="E1133" s="26" t="inlineStr">
        <is>
          <t>Творческие мастер-классы и художественные студии</t>
        </is>
      </c>
      <c r="F1133" s="26" t="inlineStr">
        <is>
          <t>Подопечные фонда «Дети Марии» (общая группа детей и подростков)</t>
        </is>
      </c>
      <c r="G1133" s="26" t="inlineStr">
        <is>
          <t>Студия фонда / выездная площадка</t>
        </is>
      </c>
      <c r="H1133" s="26" t="inlineStr">
        <is>
          <t>Художественно-прикладные и ремесленные навыки</t>
        </is>
      </c>
      <c r="I1133" s="27" t="inlineStr">
        <is>
          <t>По формату занятия</t>
        </is>
      </c>
      <c r="J1133" s="26" t="inlineStr">
        <is>
          <t>В студии на Дмитровке рисуют все! Вот такого слона нарисовали вместе мамы-выпускницы и их дети, тем временем Марина начала картину про Маленького принца, #тимошарисует осень, Нелли тоже. Приходите к нам рисовать!</t>
        </is>
      </c>
    </row>
    <row r="1134" ht="30" customHeight="1">
      <c r="A1134" s="28" t="n">
        <v>3888</v>
      </c>
      <c r="B1134" s="29" t="inlineStr">
        <is>
          <t>2018-10-08</t>
        </is>
      </c>
      <c r="C1134" s="30">
        <f>HYPERLINK("https://vk.com/wall-1825701_3888", "Открыть пост")</f>
        <v/>
      </c>
      <c r="D1134" s="31" t="inlineStr">
        <is>
          <t>Творческие мастер-классы и художественные студии</t>
        </is>
      </c>
      <c r="E1134" s="31" t="inlineStr">
        <is>
          <t>Творческие мастер-классы и художественные студии</t>
        </is>
      </c>
      <c r="F1134" s="31" t="inlineStr">
        <is>
          <t>Подростки и взрослые с ментальными особенностями и ОВЗ (ПНИ / Социальные дома)</t>
        </is>
      </c>
      <c r="G1134" s="31" t="inlineStr">
        <is>
          <t>Студия фонда / выездная площадка</t>
        </is>
      </c>
      <c r="H1134" s="31" t="inlineStr">
        <is>
          <t>Художественно-прикладные и ремесленные навыки; Мобильность, выездное сопровождение и автоволонтёрство</t>
        </is>
      </c>
      <c r="I1134" s="32" t="inlineStr">
        <is>
          <t>По формату занятия</t>
        </is>
      </c>
      <c r="J1134" s="31" t="inlineStr">
        <is>
          <t>Сегодня в студии ребята из ПНИ 11. Сопровождающий их педагог тоже включилась в занятия керамикой и вылепила очень необычную вазу.</t>
        </is>
      </c>
    </row>
    <row r="1135" ht="30" customHeight="1">
      <c r="A1135" s="23" t="n">
        <v>3886</v>
      </c>
      <c r="B1135" s="24" t="inlineStr">
        <is>
          <t>2018-10-08</t>
        </is>
      </c>
      <c r="C1135" s="25">
        <f>HYPERLINK("https://vk.com/wall-1825701_3886", "Открыть пост")</f>
        <v/>
      </c>
      <c r="D1135" s="26" t="inlineStr">
        <is>
          <t>Творческие мастер-классы и художественные студии</t>
        </is>
      </c>
      <c r="E1135" s="26" t="inlineStr">
        <is>
          <t>Творческие мастер-классы и художественные студии; Выездные лагеря, дача и сезонные программы; Спектакли, концерты и музыкально-театральные занятия</t>
        </is>
      </c>
      <c r="F1135" s="26" t="inlineStr">
        <is>
          <t>Подопечные фонда «Дети Марии» (общая группа детей и подростков)</t>
        </is>
      </c>
      <c r="G1135" s="26" t="inlineStr">
        <is>
          <t>Студия фонда / выездная площадка</t>
        </is>
      </c>
      <c r="H1135" s="26" t="inlineStr">
        <is>
          <t>Художественно-прикладные и ремесленные навыки; Артистические, музыкальные и спортивно-игровые навыки; Мобильность, выездное сопровождение и автоволонтёрство</t>
        </is>
      </c>
      <c r="I1135" s="27" t="inlineStr">
        <is>
          <t>По формату занятия</t>
        </is>
      </c>
      <c r="J1135" s="26" t="inlineStr">
        <is>
          <t>С трёх часов дня — следующая группа. Сегодня пришли новички, друзья Сони, которая пришла летом к нам в лагерь, да и осталась. Никогда не угадать, что придумают дети свалять из шерсти! Кроме котиков сегодня появились: кактус, куколка и парашют. Из глины лепили рыбок. Рисовали в эт...</t>
        </is>
      </c>
    </row>
    <row r="1136" ht="30" customHeight="1">
      <c r="A1136" s="28" t="n">
        <v>3883</v>
      </c>
      <c r="B1136" s="29" t="inlineStr">
        <is>
          <t>2018-10-07</t>
        </is>
      </c>
      <c r="C1136" s="30">
        <f>HYPERLINK("https://vk.com/wall-1825701_3883", "Открыть пост")</f>
        <v/>
      </c>
      <c r="D1136" s="31" t="inlineStr">
        <is>
          <t>Выездные лагеря, дача и сезонные программы</t>
        </is>
      </c>
      <c r="E1136" s="31" t="inlineStr">
        <is>
          <t>Выездные лагеря, дача и сезонные программы; Творческие мастер-классы и художественные студии</t>
        </is>
      </c>
      <c r="F1136" s="31" t="inlineStr">
        <is>
          <t>Воспитанники ЦССВ, ДДИ и детских домов-интернатов</t>
        </is>
      </c>
      <c r="G1136" s="31" t="inlineStr">
        <is>
          <t>ЦССВ «Спутник»</t>
        </is>
      </c>
      <c r="H1136" s="31" t="inlineStr">
        <is>
          <t>Художественно-прикладные и ремесленные навыки</t>
        </is>
      </c>
      <c r="I1136" s="32" t="inlineStr">
        <is>
          <t>По формату занятия</t>
        </is>
      </c>
      <c r="J1136" s="31" t="inlineStr">
        <is>
          <t>В загородных мастерских на даче Марии в субботу занимались дети из ЦССВ «Спутник». Маленький Максимка, уже почти четырёхлетний — полноправный участник занятий, ему нравится рисовать, а ещё больше — точить карандаши.</t>
        </is>
      </c>
    </row>
    <row r="1137" ht="30" customHeight="1">
      <c r="A1137" s="23" t="n">
        <v>3879</v>
      </c>
      <c r="B1137" s="24" t="inlineStr">
        <is>
          <t>2018-10-05</t>
        </is>
      </c>
      <c r="C1137" s="25">
        <f>HYPERLINK("https://vk.com/wall-1825701_3879", "Открыть пост")</f>
        <v/>
      </c>
      <c r="D1137" s="26" t="inlineStr">
        <is>
          <t>Творческие мастер-классы и художественные студии</t>
        </is>
      </c>
      <c r="E1137" s="26" t="inlineStr">
        <is>
          <t>Творческие мастер-классы и художественные студии</t>
        </is>
      </c>
      <c r="F1137" s="26" t="inlineStr">
        <is>
          <t>Воспитанники ЦССВ, ДДИ и детских домов-интернатов</t>
        </is>
      </c>
      <c r="G1137" s="26" t="inlineStr">
        <is>
          <t>ЦССВ «Юнона»</t>
        </is>
      </c>
      <c r="H1137" s="26" t="inlineStr">
        <is>
          <t>Художественно-прикладные и ремесленные навыки; Артистические, музыкальные и спортивно-игровые навыки</t>
        </is>
      </c>
      <c r="I1137" s="27" t="inlineStr">
        <is>
          <t>Да (в тексте)</t>
        </is>
      </c>
      <c r="J1137" s="26" t="inlineStr">
        <is>
          <t>В четверг в студии дети из ЦССВ «Юнона» (Коньково). Очень по душе пришлись занятия батиком с волонтёром Ириной Свистовой, работы получаются большие, яркие, необычные.</t>
        </is>
      </c>
    </row>
    <row r="1138" ht="30" customHeight="1">
      <c r="A1138" s="28" t="n">
        <v>3878</v>
      </c>
      <c r="B1138" s="29" t="inlineStr">
        <is>
          <t>2018-10-05</t>
        </is>
      </c>
      <c r="C1138" s="30">
        <f>HYPERLINK("https://vk.com/wall-1825701_3878", "Открыть пост")</f>
        <v/>
      </c>
      <c r="D1138" s="31" t="inlineStr">
        <is>
          <t>Творческие мастер-классы и художественные студии</t>
        </is>
      </c>
      <c r="E1138" s="31" t="inlineStr">
        <is>
          <t>Творческие мастер-классы и художественные студии</t>
        </is>
      </c>
      <c r="F1138" s="31" t="inlineStr">
        <is>
          <t>Подростки и взрослые с ментальными особенностями и ОВЗ (ПНИ / Социальные дома)</t>
        </is>
      </c>
      <c r="G1138" s="31" t="inlineStr">
        <is>
          <t>Студия фонда / выездная площадка</t>
        </is>
      </c>
      <c r="H1138" s="31" t="inlineStr">
        <is>
          <t>Художественно-прикладные и ремесленные навыки</t>
        </is>
      </c>
      <c r="I1138" s="32" t="inlineStr">
        <is>
          <t>Да (в тексте)</t>
        </is>
      </c>
      <c r="J1138" s="31" t="inlineStr">
        <is>
          <t>Друзья! Мы тут подумали и решили позвать волонтёров для добрых дел. Есть люди, которые живут в ПНИ. Мы хотим сделать их жизнь немного интересней. А чтобы вы обо всём узнали и влились в нашу команду, приглашаем на керамические посиделки. Полепим работы для нашего интернет-магазина...</t>
        </is>
      </c>
    </row>
    <row r="1139" ht="30" customHeight="1">
      <c r="A1139" s="23" t="n">
        <v>3877</v>
      </c>
      <c r="B1139" s="24" t="inlineStr">
        <is>
          <t>2018-10-04</t>
        </is>
      </c>
      <c r="C1139" s="25">
        <f>HYPERLINK("https://vk.com/wall-1825701_3877", "Открыть пост")</f>
        <v/>
      </c>
      <c r="D1139" s="26" t="inlineStr">
        <is>
          <t>Творческие мастер-классы и художественные студии</t>
        </is>
      </c>
      <c r="E1139" s="26" t="inlineStr">
        <is>
          <t>Творческие мастер-классы и художественные студии</t>
        </is>
      </c>
      <c r="F1139" s="26" t="inlineStr">
        <is>
          <t>Подопечные фонда «Дети Марии» (общая группа детей и подростков)</t>
        </is>
      </c>
      <c r="G1139" s="26" t="inlineStr">
        <is>
          <t>Студия фонда / выездная площадка</t>
        </is>
      </c>
      <c r="H1139" s="26" t="inlineStr">
        <is>
          <t>Художественно-прикладные и ремесленные навыки; Коммуникативные навыки, эмпатия и тьюторское сопровождение</t>
        </is>
      </c>
      <c r="I1139" s="27" t="inlineStr">
        <is>
          <t>По формату занятия</t>
        </is>
      </c>
      <c r="J1139" s="26" t="inlineStr">
        <is>
          <t>Рисование для взрослых в среду вечером. К нам присоединились Ярослав и Август. Задания были практически индивидуальными — студенты так попросили, и добрая Нюся пошла навстречу. Так что не удивляйтесь разнообразию тем и техник. Приглашаем всех на бесплатные занятия живописью по ср...</t>
        </is>
      </c>
    </row>
    <row r="1140" ht="30" customHeight="1">
      <c r="A1140" s="28" t="n">
        <v>3876</v>
      </c>
      <c r="B1140" s="29" t="inlineStr">
        <is>
          <t>2018-10-04</t>
        </is>
      </c>
      <c r="C1140" s="30">
        <f>HYPERLINK("https://vk.com/wall-1825701_3876", "Открыть пост")</f>
        <v/>
      </c>
      <c r="D1140" s="31" t="inlineStr">
        <is>
          <t>Выездные лагеря, дача и сезонные программы</t>
        </is>
      </c>
      <c r="E1140" s="31" t="inlineStr">
        <is>
          <t>Выездные лагеря, дача и сезонные программы; Выставки, экскурсии и культурные выходы</t>
        </is>
      </c>
      <c r="F1140" s="31" t="inlineStr">
        <is>
          <t>Подопечные фонда «Дети Марии» (общая группа детей и подростков)</t>
        </is>
      </c>
      <c r="G1140" s="31" t="inlineStr">
        <is>
          <t>Студия фонда / выездная площадка</t>
        </is>
      </c>
      <c r="H1140" s="31" t="inlineStr">
        <is>
          <t>Коммуникативные навыки, эмпатия и тьюторское сопровождение</t>
        </is>
      </c>
      <c r="I1140" s="32" t="inlineStr">
        <is>
          <t>По формату занятия</t>
        </is>
      </c>
      <c r="J1140" s="31" t="inlineStr">
        <is>
          <t>В среду в загородных мастерских дети из Филимонок. Коллективная картина близка к завершению — ведь вместе мы сила! Увидеть её тоже можно будет на выставке в ЦДХ в ноябре.</t>
        </is>
      </c>
    </row>
    <row r="1141" ht="30" customHeight="1">
      <c r="A1141" s="23" t="n">
        <v>3872</v>
      </c>
      <c r="B1141" s="24" t="inlineStr">
        <is>
          <t>2018-10-04</t>
        </is>
      </c>
      <c r="C1141" s="25">
        <f>HYPERLINK("https://vk.com/wall-1825701_3872", "Открыть пост")</f>
        <v/>
      </c>
      <c r="D1141" s="26" t="inlineStr">
        <is>
          <t>Выставки, экскурсии и культурные выходы</t>
        </is>
      </c>
      <c r="E1141" s="26" t="inlineStr">
        <is>
          <t>Выставки, экскурсии и культурные выходы</t>
        </is>
      </c>
      <c r="F1141" s="26" t="inlineStr">
        <is>
          <t>Воспитанники ЦССВ, ДДИ и детских домов-интернатов</t>
        </is>
      </c>
      <c r="G1141" s="26" t="inlineStr">
        <is>
          <t>ЦССВ «Юнона»</t>
        </is>
      </c>
      <c r="H1141" s="26" t="inlineStr">
        <is>
          <t>Коммуникативные навыки, эмпатия и тьюторское сопровождение</t>
        </is>
      </c>
      <c r="I1141" s="27" t="inlineStr">
        <is>
          <t>По формату занятия</t>
        </is>
      </c>
      <c r="J1141" s="26" t="inlineStr">
        <is>
          <t>Сегодня у нас дети из ЦССВ «Юнона». Спешим доделать работы к выставке, которая будет в ЦДХ уже в ноябре.</t>
        </is>
      </c>
    </row>
    <row r="1142" ht="30" customHeight="1">
      <c r="A1142" s="28" t="n">
        <v>3869</v>
      </c>
      <c r="B1142" s="29" t="inlineStr">
        <is>
          <t>2018-10-01</t>
        </is>
      </c>
      <c r="C1142" s="30">
        <f>HYPERLINK("https://vk.com/wall-1825701_3869", "Открыть пост")</f>
        <v/>
      </c>
      <c r="D1142" s="31" t="inlineStr">
        <is>
          <t>Кулинарные, образовательные и социально-бытовые занятия</t>
        </is>
      </c>
      <c r="E1142" s="31" t="inlineStr">
        <is>
          <t>Кулинарные, образовательные и социально-бытовые занятия</t>
        </is>
      </c>
      <c r="F1142" s="31" t="inlineStr">
        <is>
          <t>Подопечные фонда «Дети Марии» (общая группа детей и подростков)</t>
        </is>
      </c>
      <c r="G1142" s="31" t="inlineStr">
        <is>
          <t>Студия фонда / выездная площадка</t>
        </is>
      </c>
      <c r="H1142" s="31" t="inlineStr">
        <is>
          <t>Коммуникативные навыки, эмпатия и тьюторское сопровождение</t>
        </is>
      </c>
      <c r="I1142" s="32" t="inlineStr">
        <is>
          <t>По формату занятия</t>
        </is>
      </c>
      <c r="J1142" s="31" t="inlineStr">
        <is>
          <t>Завтра, во вторник, в 19 часов, у нас в студии киноклуб. Смотрим фильм «Чудо» (2017) по одноимённой книге Р. Дж. Паласио. Приглашаем всех желающих (12+). Адрес: Дмитровский переулок, 2/10, вход со двора. Посещение наших мероприятий бесплатное.</t>
        </is>
      </c>
    </row>
    <row r="1143" ht="30" customHeight="1">
      <c r="A1143" s="23" t="n">
        <v>3864</v>
      </c>
      <c r="B1143" s="24" t="inlineStr">
        <is>
          <t>2018-09-29</t>
        </is>
      </c>
      <c r="C1143" s="25">
        <f>HYPERLINK("https://vk.com/wall-1825701_3864", "Открыть пост")</f>
        <v/>
      </c>
      <c r="D1143" s="26" t="inlineStr">
        <is>
          <t>Творческие мастер-классы и художественные студии</t>
        </is>
      </c>
      <c r="E1143" s="26" t="inlineStr">
        <is>
          <t>Творческие мастер-классы и художественные студии</t>
        </is>
      </c>
      <c r="F1143" s="26" t="inlineStr">
        <is>
          <t>Подопечные фонда «Дети Марии» (общая группа детей и подростков)</t>
        </is>
      </c>
      <c r="G1143" s="26" t="inlineStr">
        <is>
          <t>Студия фонда / выездная площадка</t>
        </is>
      </c>
      <c r="H1143" s="26" t="inlineStr">
        <is>
          <t>Художественно-прикладные и ремесленные навыки</t>
        </is>
      </c>
      <c r="I1143" s="27" t="inlineStr">
        <is>
          <t>По формату занятия</t>
        </is>
      </c>
      <c r="J1143" s="26" t="inlineStr">
        <is>
          <t>Приглашаем на бесплатные занятия художественным творчеством (живопись, керамика, декоративно-прикладное искусство) детей из Тверского и других ближних районов. По субботам с 16 часов. Наш адрес: Дмитровский переулок, дом 2/10, вход со двора. Сегодня было первое занятие, но присое...</t>
        </is>
      </c>
    </row>
    <row r="1144" ht="30" customHeight="1">
      <c r="A1144" s="28" t="n">
        <v>3860</v>
      </c>
      <c r="B1144" s="29" t="inlineStr">
        <is>
          <t>2018-09-29</t>
        </is>
      </c>
      <c r="C1144" s="30">
        <f>HYPERLINK("https://vk.com/wall-1825701_3860", "Открыть пост")</f>
        <v/>
      </c>
      <c r="D1144" s="31" t="inlineStr">
        <is>
          <t>Кулинарные, образовательные и социально-бытовые занятия</t>
        </is>
      </c>
      <c r="E1144" s="31" t="inlineStr">
        <is>
          <t>Кулинарные, образовательные и социально-бытовые занятия</t>
        </is>
      </c>
      <c r="F1144" s="31" t="inlineStr">
        <is>
          <t>Подопечные фонда «Дети Марии» (общая группа детей и подростков)</t>
        </is>
      </c>
      <c r="G1144" s="31" t="inlineStr">
        <is>
          <t>Студия фонда / выездная площадка</t>
        </is>
      </c>
      <c r="H1144" s="31" t="inlineStr">
        <is>
          <t>Коммуникативные навыки, эмпатия и тьюторское сопровождение</t>
        </is>
      </c>
      <c r="I1144" s="32" t="inlineStr">
        <is>
          <t>По формату занятия</t>
        </is>
      </c>
      <c r="J1144" s="31" t="inlineStr">
        <is>
          <t>Разбирались с хитросплетением эннеаграммы на занятии с Катей Островой. Узнать глубинные мотивы, движущие нами — это как «попасть домой». Каждый из 9 мотивов порождает совершенно определенный характер с присущими ему эмоциональными реакциями и жизненными установками. Зная это, мы ...</t>
        </is>
      </c>
    </row>
    <row r="1145" ht="30" customHeight="1">
      <c r="A1145" s="23" t="n">
        <v>3859</v>
      </c>
      <c r="B1145" s="24" t="inlineStr">
        <is>
          <t>2018-09-29</t>
        </is>
      </c>
      <c r="C1145" s="25">
        <f>HYPERLINK("https://vk.com/wall-1825701_3859", "Открыть пост")</f>
        <v/>
      </c>
      <c r="D1145" s="26" t="inlineStr">
        <is>
          <t>Выставки, экскурсии и культурные выходы</t>
        </is>
      </c>
      <c r="E1145" s="26" t="inlineStr">
        <is>
          <t>Выставки, экскурсии и культурные выходы</t>
        </is>
      </c>
      <c r="F1145" s="26" t="inlineStr">
        <is>
          <t>Выпускники интернатов и детских домов (молодые взрослые)</t>
        </is>
      </c>
      <c r="G1145" s="26" t="inlineStr">
        <is>
          <t>Студия фонда / выездная площадка</t>
        </is>
      </c>
      <c r="H1145" s="26" t="inlineStr">
        <is>
          <t>Художественно-прикладные и ремесленные навыки</t>
        </is>
      </c>
      <c r="I1145" s="27" t="inlineStr">
        <is>
          <t>По формату занятия</t>
        </is>
      </c>
      <c r="J1145" s="26" t="inlineStr">
        <is>
          <t>Глеб Гришанов, выпускник 31го интерната, продолжает серию женских портретов. Следующая акварельная девушка получилась плаксивая, но, правда, в радужных тонах. Мы с интересом ждём продолжения цикла и радуемся, что Глеб находит возможность приезжать в студию. Увидеть все портреты м...</t>
        </is>
      </c>
    </row>
    <row r="1146" ht="30" customHeight="1">
      <c r="A1146" s="28" t="n">
        <v>3850</v>
      </c>
      <c r="B1146" s="29" t="inlineStr">
        <is>
          <t>2018-09-27</t>
        </is>
      </c>
      <c r="C1146" s="30">
        <f>HYPERLINK("https://vk.com/wall-1825701_3850", "Открыть пост")</f>
        <v/>
      </c>
      <c r="D1146" s="31" t="inlineStr">
        <is>
          <t>Творческие мастер-классы и художественные студии</t>
        </is>
      </c>
      <c r="E1146" s="31" t="inlineStr">
        <is>
          <t>Творческие мастер-классы и художественные студии</t>
        </is>
      </c>
      <c r="F1146" s="31" t="inlineStr">
        <is>
          <t>Подопечные фонда «Дети Марии» (общая группа детей и подростков)</t>
        </is>
      </c>
      <c r="G1146" s="31" t="inlineStr">
        <is>
          <t>Студия фонда / выездная площадка</t>
        </is>
      </c>
      <c r="H1146" s="31" t="inlineStr">
        <is>
          <t>Художественно-прикладные и ремесленные навыки; Педагогические и наставнические навыки (кулинария, быт, учёба)</t>
        </is>
      </c>
      <c r="I1146" s="32" t="inlineStr">
        <is>
          <t>По формату занятия</t>
        </is>
      </c>
      <c r="J1146" s="31" t="inlineStr">
        <is>
          <t>На занятиях рисованием для взрослых вчера начали работы в смешанной технике «Интерьер моей мечты», результаты пока показывать рано, продолжим ещё одно-два занятия. Присоединяйтесь! Отличная возможность визуализировать все безумные идеи и нереализованные планы о том, каким должен ...</t>
        </is>
      </c>
    </row>
    <row r="1147" ht="30" customHeight="1">
      <c r="A1147" s="23" t="n">
        <v>3847</v>
      </c>
      <c r="B1147" s="24" t="inlineStr">
        <is>
          <t>2018-09-26</t>
        </is>
      </c>
      <c r="C1147" s="25">
        <f>HYPERLINK("https://vk.com/wall-1825701_3847", "Открыть пост")</f>
        <v/>
      </c>
      <c r="D1147" s="26" t="inlineStr">
        <is>
          <t>Выездные лагеря, дача и сезонные программы</t>
        </is>
      </c>
      <c r="E1147" s="26" t="inlineStr">
        <is>
          <t>Выездные лагеря, дача и сезонные программы; Выставки, экскурсии и культурные выходы; Творческие мастер-классы и художественные студии</t>
        </is>
      </c>
      <c r="F1147" s="26" t="inlineStr">
        <is>
          <t>Подопечные фонда «Дети Марии» (общая группа детей и подростков)</t>
        </is>
      </c>
      <c r="G1147" s="26" t="inlineStr">
        <is>
          <t>Студия фонда / выездная площадка</t>
        </is>
      </c>
      <c r="H1147" s="26" t="inlineStr">
        <is>
          <t>Художественно-прикладные и ремесленные навыки</t>
        </is>
      </c>
      <c r="I1147" s="27" t="inlineStr">
        <is>
          <t>Да (в тексте)</t>
        </is>
      </c>
      <c r="J1147" s="26" t="inlineStr">
        <is>
          <t>В загородных мастерских дети из Филимонок. Лепим с Ирой и волонтёром Джастином. Спешим закончить коллективную картину — ведь в ноябре у нас будет большая выставка! Обязательно пригласим всех!</t>
        </is>
      </c>
    </row>
    <row r="1148" ht="30" customHeight="1">
      <c r="A1148" s="28" t="n">
        <v>3846</v>
      </c>
      <c r="B1148" s="29" t="inlineStr">
        <is>
          <t>2018-09-26</t>
        </is>
      </c>
      <c r="C1148" s="30">
        <f>HYPERLINK("https://vk.com/wall-1825701_3846", "Открыть пост")</f>
        <v/>
      </c>
      <c r="D1148" s="31" t="inlineStr">
        <is>
          <t>Кулинарные, образовательные и социально-бытовые занятия</t>
        </is>
      </c>
      <c r="E1148" s="31" t="inlineStr">
        <is>
          <t>Кулинарные, образовательные и социально-бытовые занятия</t>
        </is>
      </c>
      <c r="F1148" s="31" t="inlineStr">
        <is>
          <t>Подопечные фонда «Дети Марии» (общая группа детей и подростков)</t>
        </is>
      </c>
      <c r="G1148" s="31" t="inlineStr">
        <is>
          <t>Студия фонда / выездная площадка</t>
        </is>
      </c>
      <c r="H1148" s="31" t="inlineStr">
        <is>
          <t>Педагогические и наставнические навыки (кулинария, быт, учёба)</t>
        </is>
      </c>
      <c r="I1148" s="32" t="inlineStr">
        <is>
          <t>По формату занятия</t>
        </is>
      </c>
      <c r="J1148" s="31" t="inlineStr">
        <is>
          <t>Начался сезон шарлотки, который в студии на Дмитровке превратился в «Шарлотка-батл». Первая шарлотка была от Миши, вчера готовила Ольга, в четверг по своему рецепту будет делать шарлотку Женя Григорьев. Приходите печь свою и приносите на Дмитровку антоновку! Благодарные ценители ...</t>
        </is>
      </c>
    </row>
    <row r="1149" ht="30" customHeight="1">
      <c r="A1149" s="23" t="n">
        <v>3839</v>
      </c>
      <c r="B1149" s="24" t="inlineStr">
        <is>
          <t>2018-09-24</t>
        </is>
      </c>
      <c r="C1149" s="25">
        <f>HYPERLINK("https://vk.com/wall-1825701_3839", "Открыть пост")</f>
        <v/>
      </c>
      <c r="D1149" s="26" t="inlineStr">
        <is>
          <t>Творческие мастер-классы и художественные студии</t>
        </is>
      </c>
      <c r="E1149" s="26" t="inlineStr">
        <is>
          <t>Творческие мастер-классы и художественные студии</t>
        </is>
      </c>
      <c r="F1149" s="26" t="inlineStr">
        <is>
          <t>Подростки и взрослые с ментальными особенностями и ОВЗ (ПНИ / Социальные дома)</t>
        </is>
      </c>
      <c r="G1149" s="26" t="inlineStr">
        <is>
          <t>Студия фонда / выездная площадка</t>
        </is>
      </c>
      <c r="H1149" s="26" t="inlineStr">
        <is>
          <t>Коммуникативные навыки, эмпатия и тьюторское сопровождение</t>
        </is>
      </c>
      <c r="I1149" s="27" t="inlineStr">
        <is>
          <t>По формату занятия</t>
        </is>
      </c>
      <c r="J1149" s="26" t="inlineStr">
        <is>
          <t>Самое последнее занятие в студии на Делегатской. Ребята из ПНИ 11. Пока девочки ткут и рисуют, мальчики помогают грузить материалы в студийный автобус — с завтрашнего дня группы будут приезжать в студию на Дмитровку.</t>
        </is>
      </c>
    </row>
    <row r="1150" ht="30" customHeight="1">
      <c r="A1150" s="28" t="n">
        <v>3835</v>
      </c>
      <c r="B1150" s="29" t="inlineStr">
        <is>
          <t>2018-09-23</t>
        </is>
      </c>
      <c r="C1150" s="30">
        <f>HYPERLINK("https://vk.com/wall-1825701_3835", "Открыть пост")</f>
        <v/>
      </c>
      <c r="D1150" s="31" t="inlineStr">
        <is>
          <t>Творческие мастер-классы и художественные студии</t>
        </is>
      </c>
      <c r="E1150" s="31" t="inlineStr">
        <is>
          <t>Творческие мастер-классы и художественные студии; Спортивные и активные мероприятия</t>
        </is>
      </c>
      <c r="F1150" s="31" t="inlineStr">
        <is>
          <t>Подопечные фонда «Дети Марии» (общая группа детей и подростков)</t>
        </is>
      </c>
      <c r="G1150" s="31" t="inlineStr">
        <is>
          <t>Студия фонда / выездная площадка</t>
        </is>
      </c>
      <c r="H1150" s="31" t="inlineStr">
        <is>
          <t>Художественно-прикладные и ремесленные навыки; Артистические, музыкальные и спортивно-игровые навыки</t>
        </is>
      </c>
      <c r="I1150" s="32" t="inlineStr">
        <is>
          <t>По формату занятия</t>
        </is>
      </c>
      <c r="J1150" s="31" t="inlineStr">
        <is>
          <t>Последнее занятие в студии на Делегатской группы детей, живущих по-соседству. Расписываем керамические поделки и поём песни. А в мастерской живописи рисуют уже Новый Год. А Георгий — картину про футбол. Придумал, игроков расставил, раскрасил — стратег! Уходили со своими поделками...</t>
        </is>
      </c>
    </row>
    <row r="1151" ht="30" customHeight="1">
      <c r="A1151" s="23" t="n">
        <v>3834</v>
      </c>
      <c r="B1151" s="24" t="inlineStr">
        <is>
          <t>2018-09-22</t>
        </is>
      </c>
      <c r="C1151" s="25">
        <f>HYPERLINK("https://vk.com/wall-1825701_3834", "Открыть пост")</f>
        <v/>
      </c>
      <c r="D1151" s="26" t="inlineStr">
        <is>
          <t>Творческие мастер-классы и художественные студии</t>
        </is>
      </c>
      <c r="E1151" s="26" t="inlineStr">
        <is>
          <t>Творческие мастер-классы и художественные студии</t>
        </is>
      </c>
      <c r="F1151" s="26" t="inlineStr">
        <is>
          <t>Подростки и взрослые с ментальными особенностями и ОВЗ (ПНИ / Социальные дома)</t>
        </is>
      </c>
      <c r="G1151" s="26" t="inlineStr">
        <is>
          <t>Студия фонда / выездная площадка</t>
        </is>
      </c>
      <c r="H1151" s="26" t="inlineStr">
        <is>
          <t>Коммуникативные навыки, эмпатия и тьюторское сопровождение</t>
        </is>
      </c>
      <c r="I1151" s="27" t="inlineStr">
        <is>
          <t>По формату занятия</t>
        </is>
      </c>
      <c r="J1151" s="26" t="inlineStr">
        <is>
          <t>Последние занятия в студии на Делегатской. Вчера «взрослые дети» из ПНИ 16. «Осенние дары» — их новая картина.</t>
        </is>
      </c>
    </row>
    <row r="1152" ht="30" customHeight="1">
      <c r="A1152" s="28" t="n">
        <v>3828</v>
      </c>
      <c r="B1152" s="29" t="inlineStr">
        <is>
          <t>2018-09-20</t>
        </is>
      </c>
      <c r="C1152" s="30">
        <f>HYPERLINK("https://vk.com/wall-1825701_3828", "Открыть пост")</f>
        <v/>
      </c>
      <c r="D1152" s="31" t="inlineStr">
        <is>
          <t>Творческие мастер-классы и художественные студии</t>
        </is>
      </c>
      <c r="E1152" s="31" t="inlineStr">
        <is>
          <t>Творческие мастер-классы и художественные студии</t>
        </is>
      </c>
      <c r="F1152" s="31" t="inlineStr">
        <is>
          <t>Воспитанники ЦССВ, ДДИ и детских домов-интернатов</t>
        </is>
      </c>
      <c r="G1152" s="31" t="inlineStr">
        <is>
          <t>ЦССВ «Юнона»</t>
        </is>
      </c>
      <c r="H1152" s="31" t="inlineStr">
        <is>
          <t>Художественно-прикладные и ремесленные навыки; Артистические, музыкальные и спортивно-игровые навыки; Мобильность, выездное сопровождение и автоволонтёрство</t>
        </is>
      </c>
      <c r="I1152" s="32" t="inlineStr">
        <is>
          <t>По формату занятия</t>
        </is>
      </c>
      <c r="J1152" s="31" t="inlineStr">
        <is>
          <t>Сегодня у нас дети из ЦССВ «Юнона» (Коньково). Приехали уже со своими идеями, что они хотят нарисовать. Эдик рисовал Дела Мороза (ну, и что, что трава ещё зелёная, мы-то знаем — до Нового Года недалеко🎅), Миша и Саша — пожарные машины.</t>
        </is>
      </c>
    </row>
    <row r="1153" ht="30" customHeight="1">
      <c r="A1153" s="23" t="n">
        <v>3827</v>
      </c>
      <c r="B1153" s="24" t="inlineStr">
        <is>
          <t>2018-09-20</t>
        </is>
      </c>
      <c r="C1153" s="25">
        <f>HYPERLINK("https://vk.com/wall-1825701_3827", "Открыть пост")</f>
        <v/>
      </c>
      <c r="D1153" s="26" t="inlineStr">
        <is>
          <t>Творческие мастер-классы и художественные студии</t>
        </is>
      </c>
      <c r="E1153" s="26" t="inlineStr">
        <is>
          <t>Творческие мастер-классы и художественные студии</t>
        </is>
      </c>
      <c r="F1153" s="26" t="inlineStr">
        <is>
          <t>Подопечные фонда «Дети Марии» (общая группа детей и подростков)</t>
        </is>
      </c>
      <c r="G1153" s="26" t="inlineStr">
        <is>
          <t>Студия фонда / выездная площадка</t>
        </is>
      </c>
      <c r="H1153" s="26" t="inlineStr">
        <is>
          <t>Художественно-прикладные и ремесленные навыки; Педагогические и наставнические навыки (кулинария, быт, учёба)</t>
        </is>
      </c>
      <c r="I1153" s="27" t="inlineStr">
        <is>
          <t>По формату занятия</t>
        </is>
      </c>
      <c r="J1153" s="26" t="inlineStr">
        <is>
          <t>На занятиях рисованием для взрослых в студии на Дмитровке продолжили изображать стекло. Сегодняшние этюды с кувшином и яблоком наш строгий преподаватель Нюся Митина наконец признала зачётными! Так что в следующий раз будет другая тема. Приходите рисовать вместе с нами по вечерам ...</t>
        </is>
      </c>
    </row>
    <row r="1154" ht="30" customHeight="1">
      <c r="A1154" s="28" t="n">
        <v>3826</v>
      </c>
      <c r="B1154" s="29" t="inlineStr">
        <is>
          <t>2018-09-20</t>
        </is>
      </c>
      <c r="C1154" s="30">
        <f>HYPERLINK("https://vk.com/wall-1825701_3826", "Открыть пост")</f>
        <v/>
      </c>
      <c r="D1154" s="31" t="inlineStr">
        <is>
          <t>Творческие мастер-классы и художественные студии</t>
        </is>
      </c>
      <c r="E1154" s="31" t="inlineStr">
        <is>
          <t>Творческие мастер-классы и художественные студии</t>
        </is>
      </c>
      <c r="F1154" s="31" t="inlineStr">
        <is>
          <t>Подопечные фонда «Дети Марии» (общая группа детей и подростков)</t>
        </is>
      </c>
      <c r="G1154" s="31" t="inlineStr">
        <is>
          <t>Студия фонда / выездная площадка</t>
        </is>
      </c>
      <c r="H1154" s="31" t="inlineStr">
        <is>
          <t>Коммуникативные навыки, эмпатия и тьюторское сопровождение</t>
        </is>
      </c>
      <c r="I1154" s="32" t="inlineStr">
        <is>
          <t>По формату занятия</t>
        </is>
      </c>
      <c r="J1154" s="31" t="inlineStr">
        <is>
          <t>Очень сложная работа по стеклу в технике Тиффани — светильник конической формы. На мастер-классе В студии на Дмитровке у Иры и Димы сразу три ученика.</t>
        </is>
      </c>
    </row>
    <row r="1155" ht="30" customHeight="1">
      <c r="A1155" s="23" t="n">
        <v>3822</v>
      </c>
      <c r="B1155" s="24" t="inlineStr">
        <is>
          <t>2018-09-19</t>
        </is>
      </c>
      <c r="C1155" s="25">
        <f>HYPERLINK("https://vk.com/wall-1825701_3822", "Открыть пост")</f>
        <v/>
      </c>
      <c r="D1155" s="26" t="inlineStr">
        <is>
          <t>Кулинарные, образовательные и социально-бытовые занятия</t>
        </is>
      </c>
      <c r="E1155" s="26" t="inlineStr">
        <is>
          <t>Кулинарные, образовательные и социально-бытовые занятия; Творческие мастер-классы и художественные студии</t>
        </is>
      </c>
      <c r="F1155" s="26" t="inlineStr">
        <is>
          <t>Подопечные фонда «Дети Марии» (общая группа детей и подростков)</t>
        </is>
      </c>
      <c r="G1155" s="26" t="inlineStr">
        <is>
          <t>Студия фонда / выездная площадка</t>
        </is>
      </c>
      <c r="H1155" s="26" t="inlineStr">
        <is>
          <t>Педагогические и наставнические навыки (кулинария, быт, учёба)</t>
        </is>
      </c>
      <c r="I1155" s="27" t="inlineStr">
        <is>
          <t>По формату занятия</t>
        </is>
      </c>
      <c r="J1155" s="26" t="inlineStr">
        <is>
          <t>Загадка: Что это за блюдо— все его любят, и все готовят по-разному? Отгадка: это пицца. Сегодня в студии на Дмитровке был кулинарный мастер-класс от каждого и для всех.</t>
        </is>
      </c>
    </row>
    <row r="1156" ht="30" customHeight="1">
      <c r="A1156" s="28" t="n">
        <v>3814</v>
      </c>
      <c r="B1156" s="29" t="inlineStr">
        <is>
          <t>2018-09-18</t>
        </is>
      </c>
      <c r="C1156" s="30">
        <f>HYPERLINK("https://vk.com/wall-1825701_3814", "Открыть пост")</f>
        <v/>
      </c>
      <c r="D1156" s="31" t="inlineStr">
        <is>
          <t>Выставки, экскурсии и культурные выходы</t>
        </is>
      </c>
      <c r="E1156" s="31" t="inlineStr">
        <is>
          <t>Выставки, экскурсии и культурные выходы; Творческие мастер-классы и художественные студии</t>
        </is>
      </c>
      <c r="F1156" s="31" t="inlineStr">
        <is>
          <t>Подопечные фонда «Дети Марии» (общая группа детей и подростков)</t>
        </is>
      </c>
      <c r="G1156" s="31" t="inlineStr">
        <is>
          <t>Студия фонда / выездная площадка</t>
        </is>
      </c>
      <c r="H1156" s="31" t="inlineStr">
        <is>
          <t>Коммуникативные навыки, эмпатия и тьюторское сопровождение</t>
        </is>
      </c>
      <c r="I1156" s="32" t="inlineStr">
        <is>
          <t>По формату занятия</t>
        </is>
      </c>
      <c r="J1156" s="31" t="inlineStr">
        <is>
          <t>Сегодня большое распространение среди других технологий изготовления витражей получила техника, которая носит имя своего создателя Луи Тиффани. Американец Луи Комфорт Тиффани, который родился и вырос в семье известных ювелиров, в конце 19 столетия начал свои опыты по изготовлению...</t>
        </is>
      </c>
    </row>
    <row r="1157" ht="30" customHeight="1">
      <c r="A1157" s="23" t="n">
        <v>3808</v>
      </c>
      <c r="B1157" s="24" t="inlineStr">
        <is>
          <t>2018-09-16</t>
        </is>
      </c>
      <c r="C1157" s="25">
        <f>HYPERLINK("https://vk.com/wall-1825701_3808", "Открыть пост")</f>
        <v/>
      </c>
      <c r="D1157" s="26" t="inlineStr">
        <is>
          <t>Творческие мастер-классы и художественные студии</t>
        </is>
      </c>
      <c r="E1157" s="26" t="inlineStr">
        <is>
          <t>Творческие мастер-классы и художественные студии</t>
        </is>
      </c>
      <c r="F1157" s="26" t="inlineStr">
        <is>
          <t>Подопечные фонда «Дети Марии» (общая группа детей и подростков)</t>
        </is>
      </c>
      <c r="G1157" s="26" t="inlineStr">
        <is>
          <t>Студия фонда / выездная площадка</t>
        </is>
      </c>
      <c r="H1157" s="26" t="inlineStr">
        <is>
          <t>Художественно-прикладные и ремесленные навыки; Артистические, музыкальные и спортивно-игровые навыки</t>
        </is>
      </c>
      <c r="I1157" s="27" t="inlineStr">
        <is>
          <t>По формату занятия</t>
        </is>
      </c>
      <c r="J1157" s="26" t="inlineStr">
        <is>
          <t>Вчера в студии на Делегатской дети из Тверского и других ближних районов. Все наконец вернулись после лета, так что случился небольшой аншлаг. Вселенная Маленького Принца на панно в технике батика пополняется персонажами. В керамической лепят птиц. На кухне осваивают эбру. И куда...</t>
        </is>
      </c>
    </row>
    <row r="1158" ht="30" customHeight="1">
      <c r="A1158" s="28" t="n">
        <v>3804</v>
      </c>
      <c r="B1158" s="29" t="inlineStr">
        <is>
          <t>2018-09-15</t>
        </is>
      </c>
      <c r="C1158" s="30">
        <f>HYPERLINK("https://vk.com/wall-1825701_3804", "Открыть пост")</f>
        <v/>
      </c>
      <c r="D1158" s="31" t="inlineStr">
        <is>
          <t>Творческие мастер-классы и художественные студии</t>
        </is>
      </c>
      <c r="E1158" s="31" t="inlineStr">
        <is>
          <t>Творческие мастер-классы и художественные студии</t>
        </is>
      </c>
      <c r="F1158" s="31" t="inlineStr">
        <is>
          <t>Подопечные фонда «Дети Марии» (общая группа детей и подростков)</t>
        </is>
      </c>
      <c r="G1158" s="31" t="inlineStr">
        <is>
          <t>Студия фонда / выездная площадка</t>
        </is>
      </c>
      <c r="H1158" s="31" t="inlineStr">
        <is>
          <t>Художественно-прикладные и ремесленные навыки</t>
        </is>
      </c>
      <c r="I1158" s="32" t="inlineStr">
        <is>
          <t>По формату занятия</t>
        </is>
      </c>
      <c r="J1158" s="31" t="inlineStr">
        <is>
          <t>Вечер пятницы в студии на Дмитровке. Бонни Стёрнз продолжила мастер-класс по керамике. Делаем коллективное панно по сказке «Маленький принц».</t>
        </is>
      </c>
    </row>
    <row r="1159" ht="30" customHeight="1">
      <c r="A1159" s="23" t="n">
        <v>3795</v>
      </c>
      <c r="B1159" s="24" t="inlineStr">
        <is>
          <t>2018-09-13</t>
        </is>
      </c>
      <c r="C1159" s="25">
        <f>HYPERLINK("https://vk.com/wall-1825701_3795", "Открыть пост")</f>
        <v/>
      </c>
      <c r="D1159" s="26" t="inlineStr">
        <is>
          <t>Творческие мастер-классы и художественные студии</t>
        </is>
      </c>
      <c r="E1159" s="26" t="inlineStr">
        <is>
          <t>Творческие мастер-классы и художественные студии</t>
        </is>
      </c>
      <c r="F1159" s="26" t="inlineStr">
        <is>
          <t>Воспитанники ЦССВ, ДДИ и детских домов-интернатов</t>
        </is>
      </c>
      <c r="G1159" s="26" t="inlineStr">
        <is>
          <t>ЦССВ «Юнона»</t>
        </is>
      </c>
      <c r="H1159" s="26" t="inlineStr">
        <is>
          <t>Артистические, музыкальные и спортивно-игровые навыки</t>
        </is>
      </c>
      <c r="I1159" s="27" t="inlineStr">
        <is>
          <t>По формату занятия</t>
        </is>
      </c>
      <c r="J1159" s="26" t="inlineStr">
        <is>
          <t>Завтра, в пятницу, приглашаем всех, кто хочет увидеться со Стивеном и Бонни Стёрнз, позаниматься на керамическом мастер-классе, поиграть в клоунские игры в студию на Дмитровке с пяти часов вечера! А сегодня наши гости Стивен и Бонни были в студии на Делегатской. Знакомились и зан...</t>
        </is>
      </c>
    </row>
    <row r="1160" ht="30" customHeight="1">
      <c r="A1160" s="28" t="n">
        <v>3793</v>
      </c>
      <c r="B1160" s="29" t="inlineStr">
        <is>
          <t>2018-09-13</t>
        </is>
      </c>
      <c r="C1160" s="30">
        <f>HYPERLINK("https://vk.com/wall-1825701_3793", "Открыть пост")</f>
        <v/>
      </c>
      <c r="D1160" s="31" t="inlineStr">
        <is>
          <t>Творческие мастер-классы и художественные студии</t>
        </is>
      </c>
      <c r="E1160" s="31" t="inlineStr">
        <is>
          <t>Творческие мастер-классы и художественные студии</t>
        </is>
      </c>
      <c r="F1160" s="31" t="inlineStr">
        <is>
          <t>Подопечные фонда «Дети Марии» (общая группа детей и подростков)</t>
        </is>
      </c>
      <c r="G1160" s="31" t="inlineStr">
        <is>
          <t>Студия фонда / выездная площадка</t>
        </is>
      </c>
      <c r="H1160" s="31" t="inlineStr">
        <is>
          <t>Художественно-прикладные и ремесленные навыки; Педагогические и наставнические навыки (кулинария, быт, учёба)</t>
        </is>
      </c>
      <c r="I1160" s="32" t="inlineStr">
        <is>
          <t>По формату занятия</t>
        </is>
      </c>
      <c r="J1160" s="31" t="inlineStr">
        <is>
          <t>Кажется, легче сделать витраж из настоящего стекла на мастер-классах Иры Скимбаторь, чем нарисовать стеклянные предметы так, чтобы передать их блики, отражения и прозрачность. Но участники занятий «Рисование для взрослых» в студии на Дмитровке не сдаются и вчера снова учились рис...</t>
        </is>
      </c>
    </row>
    <row r="1161" ht="30" customHeight="1">
      <c r="A1161" s="23" t="n">
        <v>3791</v>
      </c>
      <c r="B1161" s="24" t="inlineStr">
        <is>
          <t>2018-09-13</t>
        </is>
      </c>
      <c r="C1161" s="25">
        <f>HYPERLINK("https://vk.com/wall-1825701_3791", "Открыть пост")</f>
        <v/>
      </c>
      <c r="D1161" s="26" t="inlineStr">
        <is>
          <t>Спектакли, концерты и музыкально-театральные занятия</t>
        </is>
      </c>
      <c r="E1161" s="26" t="inlineStr">
        <is>
          <t>Спектакли, концерты и музыкально-театральные занятия; Творческие мастер-классы и художественные студии</t>
        </is>
      </c>
      <c r="F1161" s="26" t="inlineStr">
        <is>
          <t>Подопечные фонда «Дети Марии» (общая группа детей и подростков)</t>
        </is>
      </c>
      <c r="G1161" s="26" t="inlineStr">
        <is>
          <t>Студия фонда / выездная площадка</t>
        </is>
      </c>
      <c r="H1161"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t>
        </is>
      </c>
      <c r="I1161" s="27" t="inlineStr">
        <is>
          <t>Да (в тексте)</t>
        </is>
      </c>
      <c r="J1161" s="26" t="inlineStr">
        <is>
          <t>Сегодня день рождения Ильи Сегаловича — одного из основателей Яндекса и «Детей Марии». Пятый день рождения без Ильи. Он автор самих названий «Дети Марии» и «Яндекс». Друг, наставник, приёмный отец многих наших ребят и вдохновитель взрослых. Неистощимый на выдумки режиссёр в наших...</t>
        </is>
      </c>
    </row>
    <row r="1162" ht="30" customHeight="1">
      <c r="A1162" s="28" t="n">
        <v>3782</v>
      </c>
      <c r="B1162" s="29" t="inlineStr">
        <is>
          <t>2018-09-11</t>
        </is>
      </c>
      <c r="C1162" s="30">
        <f>HYPERLINK("https://vk.com/wall-1825701_3782", "Открыть пост")</f>
        <v/>
      </c>
      <c r="D1162" s="31" t="inlineStr">
        <is>
          <t>Творческие мастер-классы и художественные студии</t>
        </is>
      </c>
      <c r="E1162" s="31" t="inlineStr">
        <is>
          <t>Творческие мастер-классы и художественные студии</t>
        </is>
      </c>
      <c r="F1162" s="31" t="inlineStr">
        <is>
          <t>Подопечные фонда «Дети Марии» (общая группа детей и подростков)</t>
        </is>
      </c>
      <c r="G1162" s="31" t="inlineStr">
        <is>
          <t>Студия фонда / выездная площадка</t>
        </is>
      </c>
      <c r="H1162" s="31" t="inlineStr">
        <is>
          <t>Художественно-прикладные и ремесленные навыки</t>
        </is>
      </c>
      <c r="I1162" s="32" t="inlineStr">
        <is>
          <t>По формату занятия</t>
        </is>
      </c>
      <c r="J1162" s="31" t="inlineStr">
        <is>
          <t>В студии на Дмитровке Бонни Стёрнз провела первую часть своего мастер-класса по керамике. Мы начали делать детали к коллективному панно, в котором соединятся разные техники и материалы. Что получится увидим позже (самим интересно)) Продолжение в пятницу вечером, с пяти, приглашае...</t>
        </is>
      </c>
    </row>
    <row r="1163" ht="30" customHeight="1">
      <c r="A1163" s="23" t="n">
        <v>3781</v>
      </c>
      <c r="B1163" s="24" t="inlineStr">
        <is>
          <t>2018-09-11</t>
        </is>
      </c>
      <c r="C1163" s="25">
        <f>HYPERLINK("https://vk.com/wall-1825701_3781", "Открыть пост")</f>
        <v/>
      </c>
      <c r="D1163" s="26" t="inlineStr">
        <is>
          <t>Выездные лагеря, дача и сезонные программы</t>
        </is>
      </c>
      <c r="E1163" s="26" t="inlineStr">
        <is>
          <t>Выездные лагеря, дача и сезонные программы; Творческие мастер-классы и художественные студии</t>
        </is>
      </c>
      <c r="F1163" s="26" t="inlineStr">
        <is>
          <t>Дети и семьи (в т.ч. приёмные семьи и программа в Беслане)</t>
        </is>
      </c>
      <c r="G1163" s="26" t="inlineStr">
        <is>
          <t>Беслан</t>
        </is>
      </c>
      <c r="H1163" s="26" t="inlineStr">
        <is>
          <t>Артистические, музыкальные и спортивно-игровые навыки; Мобильность, выездное сопровождение и автоволонтёрство</t>
        </is>
      </c>
      <c r="I1163" s="27" t="inlineStr">
        <is>
          <t>По формату занятия</t>
        </is>
      </c>
      <c r="J1163" s="26" t="inlineStr">
        <is>
          <t>18 лет назад Мария Елисеева и ребята студии познакомились со Стивеном и Бонни Стёрнз, друзьями Пэтча Адамса. Стивен — актёр, клоун, руководитель молодёжного театра. Его жена Бонни — художник-керамист. Они участвовали в летних лагерях «Детей Марии», Стивен ездил с нами в Беслан. А...</t>
        </is>
      </c>
    </row>
    <row r="1164" ht="30" customHeight="1">
      <c r="A1164" s="28" t="n">
        <v>3778</v>
      </c>
      <c r="B1164" s="29" t="inlineStr">
        <is>
          <t>2018-09-11</t>
        </is>
      </c>
      <c r="C1164" s="30">
        <f>HYPERLINK("https://vk.com/wall-1825701_3778", "Открыть пост")</f>
        <v/>
      </c>
      <c r="D1164" s="31" t="inlineStr">
        <is>
          <t>Кулинарные, образовательные и социально-бытовые занятия</t>
        </is>
      </c>
      <c r="E1164" s="31" t="inlineStr">
        <is>
          <t>Кулинарные, образовательные и социально-бытовые занятия</t>
        </is>
      </c>
      <c r="F1164" s="31" t="inlineStr">
        <is>
          <t>Подопечные фонда «Дети Марии» (общая группа детей и подростков)</t>
        </is>
      </c>
      <c r="G1164" s="31" t="inlineStr">
        <is>
          <t>Студия фонда / выездная площадка</t>
        </is>
      </c>
      <c r="H1164" s="31" t="inlineStr">
        <is>
          <t>Коммуникативные навыки, эмпатия и тьюторское сопровождение</t>
        </is>
      </c>
      <c r="I1164" s="32" t="inlineStr">
        <is>
          <t>По формату занятия</t>
        </is>
      </c>
      <c r="J1164" s="31" t="inlineStr">
        <is>
          <t>В студии на Дмитровке возобновились семинары по философии с Катей Островой. Что такое стресс, и как с ним уживаться. Стрессовую ситуацию смоделировали мгновенно — сдав свои телефоны на время занятия) А ещё говорили про фильтрацию мозгом поступающей информации и «прополку» негатив...</t>
        </is>
      </c>
    </row>
    <row r="1165" ht="30" customHeight="1">
      <c r="A1165" s="23" t="n">
        <v>3771</v>
      </c>
      <c r="B1165" s="24" t="inlineStr">
        <is>
          <t>2018-09-09</t>
        </is>
      </c>
      <c r="C1165" s="25">
        <f>HYPERLINK("https://vk.com/wall-1825701_3771", "Открыть пост")</f>
        <v/>
      </c>
      <c r="D1165" s="26" t="inlineStr">
        <is>
          <t>Творческие мастер-классы и художественные студии</t>
        </is>
      </c>
      <c r="E1165" s="26" t="inlineStr">
        <is>
          <t>Творческие мастер-классы и художественные студии</t>
        </is>
      </c>
      <c r="F1165" s="26" t="inlineStr">
        <is>
          <t>Подопечные фонда «Дети Марии» (общая группа детей и подростков)</t>
        </is>
      </c>
      <c r="G1165" s="26" t="inlineStr">
        <is>
          <t>Студия фонда / выездная площадка</t>
        </is>
      </c>
      <c r="H1165" s="26" t="inlineStr">
        <is>
          <t>Коммуникативные навыки, эмпатия и тьюторское сопровождение</t>
        </is>
      </c>
      <c r="I1165" s="27" t="inlineStr">
        <is>
          <t>По формату занятия</t>
        </is>
      </c>
      <c r="J1165" s="26" t="inlineStr">
        <is>
          <t>Вторая часть занятия в студии на Делегатской — решили задержаться на подольше и порисовать на улице. Последний, быть может, пленэр в этом сезоне — ловим тепло и солнышко.</t>
        </is>
      </c>
    </row>
    <row r="1166" ht="30" customHeight="1">
      <c r="A1166" s="28" t="n">
        <v>3770</v>
      </c>
      <c r="B1166" s="29" t="inlineStr">
        <is>
          <t>2018-09-09</t>
        </is>
      </c>
      <c r="C1166" s="30">
        <f>HYPERLINK("https://vk.com/wall-1825701_3770", "Открыть пост")</f>
        <v/>
      </c>
      <c r="D1166" s="31" t="inlineStr">
        <is>
          <t>Творческие мастер-классы и художественные студии</t>
        </is>
      </c>
      <c r="E1166" s="31" t="inlineStr">
        <is>
          <t>Творческие мастер-классы и художественные студии</t>
        </is>
      </c>
      <c r="F1166" s="31" t="inlineStr">
        <is>
          <t>Подопечные фонда «Дети Марии» (общая группа детей и подростков)</t>
        </is>
      </c>
      <c r="G1166" s="31" t="inlineStr">
        <is>
          <t>Студия фонда / выездная площадка</t>
        </is>
      </c>
      <c r="H1166" s="31" t="inlineStr">
        <is>
          <t>Художественно-прикладные и ремесленные навыки</t>
        </is>
      </c>
      <c r="I1166" s="32" t="inlineStr">
        <is>
          <t>По формату занятия</t>
        </is>
      </c>
      <c r="J1166" s="31" t="inlineStr">
        <is>
          <t>А сегодня в студии на Делегатской дети, проходящие реабилитацию после онкозаболеваний. Это особая группа, на занятия с детьми приезжают родители, братья-сёстры, так что можно сказать занимаются не дети, а целые семьи. После долгого перерыва у нас снова появились занятия эбру — ис...</t>
        </is>
      </c>
    </row>
    <row r="1167" ht="30" customHeight="1">
      <c r="A1167" s="23" t="n">
        <v>3769</v>
      </c>
      <c r="B1167" s="24" t="inlineStr">
        <is>
          <t>2018-09-09</t>
        </is>
      </c>
      <c r="C1167" s="25">
        <f>HYPERLINK("https://vk.com/wall-1825701_3769", "Открыть пост")</f>
        <v/>
      </c>
      <c r="D1167" s="26" t="inlineStr">
        <is>
          <t>Кулинарные, образовательные и социально-бытовые занятия</t>
        </is>
      </c>
      <c r="E1167" s="26" t="inlineStr">
        <is>
          <t>Кулинарные, образовательные и социально-бытовые занятия; Творческие мастер-классы и художественные студии</t>
        </is>
      </c>
      <c r="F1167" s="26" t="inlineStr">
        <is>
          <t>Подопечные фонда «Дети Марии» (общая группа детей и подростков)</t>
        </is>
      </c>
      <c r="G1167" s="26" t="inlineStr">
        <is>
          <t>Студия фонда / выездная площадка</t>
        </is>
      </c>
      <c r="H1167" s="26" t="inlineStr">
        <is>
          <t>Педагогические и наставнические навыки (кулинария, быт, учёба)</t>
        </is>
      </c>
      <c r="I1167" s="27" t="inlineStr">
        <is>
          <t>По формату занятия</t>
        </is>
      </c>
      <c r="J1167" s="26" t="inlineStr">
        <is>
          <t>В студии на Дмитровке из-за наплыва народу вечером в пятницу случился массовый и стихийный кулинарный мастер-класс)). Артур, Эля и Оля готовили салат «Цезарь», Антон и Русик варили щи из свежей капусты, Сережа Дубинский и Машель сделали овощное рагу, Анаит Саркисян научила Витю С...</t>
        </is>
      </c>
    </row>
    <row r="1168" ht="30" customHeight="1">
      <c r="A1168" s="28" t="n">
        <v>3766</v>
      </c>
      <c r="B1168" s="29" t="inlineStr">
        <is>
          <t>2018-09-09</t>
        </is>
      </c>
      <c r="C1168" s="30">
        <f>HYPERLINK("https://vk.com/wall-1825701_3766", "Открыть пост")</f>
        <v/>
      </c>
      <c r="D1168" s="31" t="inlineStr">
        <is>
          <t>Творческие мастер-классы и художественные студии</t>
        </is>
      </c>
      <c r="E1168" s="31" t="inlineStr">
        <is>
          <t>Творческие мастер-классы и художественные студии; Выездные лагеря, дача и сезонные программы; Спортивные и активные мероприятия</t>
        </is>
      </c>
      <c r="F1168" s="31" t="inlineStr">
        <is>
          <t>Воспитанники ЦССВ, ДДИ и детских домов-интернатов</t>
        </is>
      </c>
      <c r="G1168" s="31" t="inlineStr">
        <is>
          <t>ЦССВ «Спутник»</t>
        </is>
      </c>
      <c r="H1168" s="31" t="inlineStr">
        <is>
          <t>Художественно-прикладные и ремесленные навыки</t>
        </is>
      </c>
      <c r="I1168" s="32" t="inlineStr">
        <is>
          <t>По формату занятия</t>
        </is>
      </c>
      <c r="J1168" s="31" t="inlineStr">
        <is>
          <t>Насыщенная выдалась вчера суббота! В загородных мастерских тоже занимались. Дети из ЦССВ «Спутник» впервые после лета рисовали, лепили из глины, делали мозаику. И скакали на батуте!</t>
        </is>
      </c>
    </row>
    <row r="1169" ht="30" customHeight="1">
      <c r="A1169" s="23" t="n">
        <v>3765</v>
      </c>
      <c r="B1169" s="24" t="inlineStr">
        <is>
          <t>2018-09-09</t>
        </is>
      </c>
      <c r="C1169" s="25">
        <f>HYPERLINK("https://vk.com/wall-1825701_3765", "Открыть пост")</f>
        <v/>
      </c>
      <c r="D1169" s="26" t="inlineStr">
        <is>
          <t>Творческие мастер-классы и художественные студии</t>
        </is>
      </c>
      <c r="E1169" s="26" t="inlineStr">
        <is>
          <t>Творческие мастер-классы и художественные студии</t>
        </is>
      </c>
      <c r="F1169" s="26" t="inlineStr">
        <is>
          <t>Подопечные фонда «Дети Марии» (общая группа детей и подростков)</t>
        </is>
      </c>
      <c r="G1169" s="26" t="inlineStr">
        <is>
          <t>Студия фонда / выездная площадка</t>
        </is>
      </c>
      <c r="H1169"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t>
        </is>
      </c>
      <c r="I1169" s="27" t="inlineStr">
        <is>
          <t>По формату занятия</t>
        </is>
      </c>
      <c r="J1169" s="26" t="inlineStr">
        <is>
          <t>Вчера в студии на Делегатской прошло первое в новом учебном году занятие для детей из окрестных домов. Рисовали в технике батика вселенную Маленького принца с художниками Дашей и Леной. Если дружно взяться за дело, то за одно занятие можно вот такую космическую красоту сотворить!...</t>
        </is>
      </c>
    </row>
    <row r="1170" ht="30" customHeight="1">
      <c r="A1170" s="28" t="n">
        <v>3764</v>
      </c>
      <c r="B1170" s="29" t="inlineStr">
        <is>
          <t>2018-09-08</t>
        </is>
      </c>
      <c r="C1170" s="30">
        <f>HYPERLINK("https://vk.com/wall-1825701_3764", "Открыть пост")</f>
        <v/>
      </c>
      <c r="D1170" s="31" t="inlineStr">
        <is>
          <t>Ярмарки, фестивали и благотворительные базары</t>
        </is>
      </c>
      <c r="E1170" s="31" t="inlineStr">
        <is>
          <t>Ярмарки, фестивали и благотворительные базары</t>
        </is>
      </c>
      <c r="F1170" s="31" t="inlineStr">
        <is>
          <t>Подопечные фонда «Дети Марии» (общая группа детей и подростков)</t>
        </is>
      </c>
      <c r="G1170" s="31" t="inlineStr">
        <is>
          <t>Студия фонда / выездная площадка</t>
        </is>
      </c>
      <c r="H1170" s="31" t="inlineStr">
        <is>
          <t>Организационные, ивент- и ярмарочные навыки</t>
        </is>
      </c>
      <c r="I1170" s="32" t="inlineStr">
        <is>
          <t>Да (в тексте)</t>
        </is>
      </c>
      <c r="J1170" s="31" t="inlineStr">
        <is>
          <t>Сегодня на благотворительной ярмарке фестиваля «Добрая Москва» мы собрали 12 410 рублей. Спасибо всем! Благодарим Департамент культуры Москвы и всех чудесных организаторов праздника! И, конечно, наших волонтёров: Иру, Машель, Руслана, Сашу, Олю и Елену!</t>
        </is>
      </c>
    </row>
    <row r="1171" ht="30" customHeight="1">
      <c r="A1171" s="23" t="n">
        <v>3763</v>
      </c>
      <c r="B1171" s="24" t="inlineStr">
        <is>
          <t>2018-09-08</t>
        </is>
      </c>
      <c r="C1171" s="25">
        <f>HYPERLINK("https://vk.com/wall-1825701_3763", "Открыть пост")</f>
        <v/>
      </c>
      <c r="D1171" s="26" t="inlineStr">
        <is>
          <t>Ярмарки, фестивали и благотворительные базары</t>
        </is>
      </c>
      <c r="E1171" s="26" t="inlineStr">
        <is>
          <t>Ярмарки, фестивали и благотворительные базары; Творческие мастер-классы и художественные студии</t>
        </is>
      </c>
      <c r="F1171" s="26" t="inlineStr">
        <is>
          <t>Подопечные фонда «Дети Марии» (общая группа детей и подростков)</t>
        </is>
      </c>
      <c r="G1171" s="26" t="inlineStr">
        <is>
          <t>Студия фонда / выездная площадка</t>
        </is>
      </c>
      <c r="H1171" s="26" t="inlineStr">
        <is>
          <t>Организационные, ивент- и ярмарочные навыки</t>
        </is>
      </c>
      <c r="I1171" s="27" t="inlineStr">
        <is>
          <t>По формату занятия</t>
        </is>
      </c>
      <c r="J1171" s="26" t="inlineStr">
        <is>
          <t>На фестивале «Добрая Москва» наши ребята проводили мастер-класс по жоглированию. Несколько десятков гостей праздника смогли приобщиться к этому весёлому и полезному занятию! Знаете ли вы, что занятия жонглированием не только развивают координацию, но и увеличивают количество серо...</t>
        </is>
      </c>
    </row>
    <row r="1172" ht="30" customHeight="1">
      <c r="A1172" s="28" t="n">
        <v>3761</v>
      </c>
      <c r="B1172" s="29" t="inlineStr">
        <is>
          <t>2018-09-08</t>
        </is>
      </c>
      <c r="C1172" s="30">
        <f>HYPERLINK("https://vk.com/wall-1825701_3761", "Открыть пост")</f>
        <v/>
      </c>
      <c r="D1172" s="31" t="inlineStr">
        <is>
          <t>Ярмарки, фестивали и благотворительные базары</t>
        </is>
      </c>
      <c r="E1172" s="31" t="inlineStr">
        <is>
          <t>Ярмарки, фестивали и благотворительные базары</t>
        </is>
      </c>
      <c r="F1172" s="31" t="inlineStr">
        <is>
          <t>Воспитанники ЦССВ, ДДИ и детских домов-интернатов</t>
        </is>
      </c>
      <c r="G1172" s="31" t="inlineStr">
        <is>
          <t>Студия фонда / выездная площадка</t>
        </is>
      </c>
      <c r="H1172" s="31" t="inlineStr">
        <is>
          <t>Артистические, музыкальные и спортивно-игровые навыки; Организационные, ивент- и ярмарочные навыки</t>
        </is>
      </c>
      <c r="I1172" s="32" t="inlineStr">
        <is>
          <t>Да (в тексте)</t>
        </is>
      </c>
      <c r="J1172" s="31" t="inlineStr">
        <is>
          <t>Сегодня на Цветном бульваре, на благотворительной ярмарке фестиваля «Добрая Москва», на нашем стенде — игрушки ручной работы волонтёра Надежды Гуриевой, каждая игрушка уникальна и прекрасна! Каждая со своим характером.</t>
        </is>
      </c>
    </row>
    <row r="1173" ht="30" customHeight="1">
      <c r="A1173" s="23" t="n">
        <v>3760</v>
      </c>
      <c r="B1173" s="24" t="inlineStr">
        <is>
          <t>2018-09-08</t>
        </is>
      </c>
      <c r="C1173" s="25">
        <f>HYPERLINK("https://vk.com/wall-1825701_3760", "Открыть пост")</f>
        <v/>
      </c>
      <c r="D1173" s="26" t="inlineStr">
        <is>
          <t>Спектакли, концерты и музыкально-театральные занятия</t>
        </is>
      </c>
      <c r="E1173" s="26" t="inlineStr">
        <is>
          <t>Спектакли, концерты и музыкально-театральные занятия</t>
        </is>
      </c>
      <c r="F1173" s="26" t="inlineStr">
        <is>
          <t>Подопечные фонда «Дети Марии» (общая группа детей и подростков)</t>
        </is>
      </c>
      <c r="G1173" s="26" t="inlineStr">
        <is>
          <t>Студия фонда / выездная площадка</t>
        </is>
      </c>
      <c r="H1173" s="26" t="inlineStr">
        <is>
          <t>Артистические, музыкальные и спортивно-игровые навыки</t>
        </is>
      </c>
      <c r="I1173" s="27" t="inlineStr">
        <is>
          <t>По формату занятия</t>
        </is>
      </c>
      <c r="J1173" s="26" t="inlineStr">
        <is>
          <t>А в студии на Дмитровке Оксана Юшко и Артур Бондарь познакомили нас с Сергеем Быстровым — актёром театра и кино. Вчера просто пообщались и поиграли, а в планах — театральные занятия и, возможно, постановка спектакля.</t>
        </is>
      </c>
    </row>
    <row r="1174" ht="30" customHeight="1">
      <c r="A1174" s="28" t="n">
        <v>3755</v>
      </c>
      <c r="B1174" s="29" t="inlineStr">
        <is>
          <t>2018-09-07</t>
        </is>
      </c>
      <c r="C1174" s="30">
        <f>HYPERLINK("https://vk.com/wall-1825701_3755", "Открыть пост")</f>
        <v/>
      </c>
      <c r="D1174" s="31" t="inlineStr">
        <is>
          <t>Выставки, экскурсии и культурные выходы</t>
        </is>
      </c>
      <c r="E1174" s="31" t="inlineStr">
        <is>
          <t>Выставки, экскурсии и культурные выходы; Творческие мастер-классы и художественные студии</t>
        </is>
      </c>
      <c r="F1174" s="31" t="inlineStr">
        <is>
          <t>Подростки и взрослые с ментальными особенностями и ОВЗ (ПНИ / Социальные дома)</t>
        </is>
      </c>
      <c r="G1174" s="31" t="inlineStr">
        <is>
          <t>Студия фонда / выездная площадка</t>
        </is>
      </c>
      <c r="H1174" s="31" t="inlineStr">
        <is>
          <t>Художественно-прикладные и ремесленные навыки; Мобильность, выездное сопровождение и автоволонтёрство</t>
        </is>
      </c>
      <c r="I1174" s="32" t="inlineStr">
        <is>
          <t>Да (в тексте)</t>
        </is>
      </c>
      <c r="J1174" s="31" t="inlineStr">
        <is>
          <t>Пока одна группа ребят из ПНИ 16 занималась в студии на Делегатской, другая с нашими волонтёрами ходила в Музей русского импрессионизма. Нас провели по залам с картинами, рассказывая о пейзажах, портретах, нотюрмортах и технике их написания. В музее много интерактивных экспонатов...</t>
        </is>
      </c>
    </row>
    <row r="1175" ht="30" customHeight="1">
      <c r="A1175" s="23" t="n">
        <v>3746</v>
      </c>
      <c r="B1175" s="24" t="inlineStr">
        <is>
          <t>2018-09-06</t>
        </is>
      </c>
      <c r="C1175" s="25">
        <f>HYPERLINK("https://vk.com/wall-1825701_3746", "Открыть пост")</f>
        <v/>
      </c>
      <c r="D1175" s="26" t="inlineStr">
        <is>
          <t>Творческие мастер-классы и художественные студии</t>
        </is>
      </c>
      <c r="E1175" s="26" t="inlineStr">
        <is>
          <t>Творческие мастер-классы и художественные студии</t>
        </is>
      </c>
      <c r="F1175" s="26" t="inlineStr">
        <is>
          <t>Подопечные фонда «Дети Марии» (общая группа детей и подростков)</t>
        </is>
      </c>
      <c r="G1175" s="26" t="inlineStr">
        <is>
          <t>Студия фонда / выездная площадка</t>
        </is>
      </c>
      <c r="H1175" s="26" t="inlineStr">
        <is>
          <t>Педагогические и наставнические навыки (кулинария, быт, учёба)</t>
        </is>
      </c>
      <c r="I1175" s="27" t="inlineStr">
        <is>
          <t>По формату занятия</t>
        </is>
      </c>
      <c r="J1175" s="26" t="inlineStr">
        <is>
          <t>В студии на Дмитровке у Иры новый ученик на мастер-классе по стеклу. Ярослав учится в школе, где преподаёт Ясин, и давно хотел с нами познакомиться.</t>
        </is>
      </c>
    </row>
    <row r="1176" ht="30" customHeight="1">
      <c r="A1176" s="28" t="n">
        <v>3745</v>
      </c>
      <c r="B1176" s="29" t="inlineStr">
        <is>
          <t>2018-09-06</t>
        </is>
      </c>
      <c r="C1176" s="30">
        <f>HYPERLINK("https://vk.com/wall-1825701_3745", "Открыть пост")</f>
        <v/>
      </c>
      <c r="D1176" s="31" t="inlineStr">
        <is>
          <t>Творческие мастер-классы и художественные студии</t>
        </is>
      </c>
      <c r="E1176" s="31" t="inlineStr">
        <is>
          <t>Творческие мастер-классы и художественные студии; Выездные лагеря, дача и сезонные программы</t>
        </is>
      </c>
      <c r="F1176" s="31" t="inlineStr">
        <is>
          <t>Воспитанники ЦССВ, ДДИ и детских домов-интернатов</t>
        </is>
      </c>
      <c r="G1176" s="31" t="inlineStr">
        <is>
          <t>ЦССВ «Юнона»</t>
        </is>
      </c>
      <c r="H1176" s="31" t="inlineStr">
        <is>
          <t>Художественно-прикладные и ремесленные навыки; Артистические, музыкальные и спортивно-игровые навыки; Мобильность, выездное сопровождение и автоволонтёрство</t>
        </is>
      </c>
      <c r="I1176" s="32" t="inlineStr">
        <is>
          <t>Да (в тексте)</t>
        </is>
      </c>
      <c r="J1176" s="31" t="inlineStr">
        <is>
          <t>Сегодня в студии на Делегатской дети из ЦССВ «Юнона» (Коньково). Первый раз у них было занятие батиком с волонтёром Ириной Свистовой. Ирина вела мастер-классы в нашем летнем лагере, и мы очень рады, что осенью она снова с нами. А уж как рады ребята! Сразу задумали и начали большу...</t>
        </is>
      </c>
    </row>
    <row r="1177" ht="30" customHeight="1">
      <c r="A1177" s="23" t="n">
        <v>3744</v>
      </c>
      <c r="B1177" s="24" t="inlineStr">
        <is>
          <t>2018-09-06</t>
        </is>
      </c>
      <c r="C1177" s="25">
        <f>HYPERLINK("https://vk.com/wall-1825701_3744", "Открыть пост")</f>
        <v/>
      </c>
      <c r="D1177" s="26" t="inlineStr">
        <is>
          <t>Творческие мастер-классы и художественные студии</t>
        </is>
      </c>
      <c r="E1177" s="26" t="inlineStr">
        <is>
          <t>Творческие мастер-классы и художественные студии</t>
        </is>
      </c>
      <c r="F1177" s="26" t="inlineStr">
        <is>
          <t>Подопечные фонда «Дети Марии» (общая группа детей и подростков)</t>
        </is>
      </c>
      <c r="G1177" s="26" t="inlineStr">
        <is>
          <t>Студия фонда / выездная площадка</t>
        </is>
      </c>
      <c r="H1177" s="26"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t>
        </is>
      </c>
      <c r="I1177" s="27" t="inlineStr">
        <is>
          <t>По формату занятия</t>
        </is>
      </c>
      <c r="J1177" s="26" t="inlineStr">
        <is>
          <t>А ещё по средам с 19 часов в студии на Дмитровке наша художница Анна Митина ведёт занятия «Академическая живопись для взрослых». На самом деле, Анна (она же Нюся) учит не только взрослых, подростки тоже могут участвовать, и не только живописи, но и рисунку. Вчера ловили ещё не уш...</t>
        </is>
      </c>
    </row>
    <row r="1178" ht="30" customHeight="1">
      <c r="A1178" s="28" t="n">
        <v>3742</v>
      </c>
      <c r="B1178" s="29" t="inlineStr">
        <is>
          <t>2018-09-05</t>
        </is>
      </c>
      <c r="C1178" s="30">
        <f>HYPERLINK("https://vk.com/wall-1825701_3742", "Открыть пост")</f>
        <v/>
      </c>
      <c r="D1178" s="31" t="inlineStr">
        <is>
          <t>Кулинарные, образовательные и социально-бытовые занятия</t>
        </is>
      </c>
      <c r="E1178" s="31" t="inlineStr">
        <is>
          <t>Кулинарные, образовательные и социально-бытовые занятия; Творческие мастер-классы и художественные студии</t>
        </is>
      </c>
      <c r="F1178" s="31" t="inlineStr">
        <is>
          <t>Подопечные фонда «Дети Марии» (общая группа детей и подростков)</t>
        </is>
      </c>
      <c r="G1178" s="31" t="inlineStr">
        <is>
          <t>Студия фонда / выездная площадка</t>
        </is>
      </c>
      <c r="H1178" s="31" t="inlineStr">
        <is>
          <t>Педагогические и наставнические навыки (кулинария, быт, учёба)</t>
        </is>
      </c>
      <c r="I1178" s="32" t="inlineStr">
        <is>
          <t>По формату занятия</t>
        </is>
      </c>
      <c r="J1178" s="31" t="inlineStr">
        <is>
          <t>По средам с 16 часов в студии на Дмитровке кулинарный мастер-класс для молодёжи. Сегодня с Анной Дроздовой. Готовили сырный суп и макароны с феттуччини. Феттуччини сделали в нескольких вариантах, согласно предпочтениям кулинаров, — вегетарианском, невегетарианском и для тех, кто ...</t>
        </is>
      </c>
    </row>
    <row r="1179" ht="30" customHeight="1">
      <c r="A1179" s="23" t="n">
        <v>3738</v>
      </c>
      <c r="B1179" s="24" t="inlineStr">
        <is>
          <t>2018-09-05</t>
        </is>
      </c>
      <c r="C1179" s="25">
        <f>HYPERLINK("https://vk.com/wall-1825701_3738", "Открыть пост")</f>
        <v/>
      </c>
      <c r="D1179" s="26" t="inlineStr">
        <is>
          <t>Ярмарки, фестивали и благотворительные базары</t>
        </is>
      </c>
      <c r="E1179" s="26" t="inlineStr">
        <is>
          <t>Ярмарки, фестивали и благотворительные базары</t>
        </is>
      </c>
      <c r="F1179" s="26" t="inlineStr">
        <is>
          <t>Подопечные фонда «Дети Марии» (общая группа детей и подростков)</t>
        </is>
      </c>
      <c r="G1179" s="26" t="inlineStr">
        <is>
          <t>Студия фонда / выездная площадка</t>
        </is>
      </c>
      <c r="H1179" s="26" t="inlineStr">
        <is>
          <t>Коммуникативные навыки, эмпатия и тьюторское сопровождение</t>
        </is>
      </c>
      <c r="I1179" s="27" t="inlineStr">
        <is>
          <t>По формату занятия</t>
        </is>
      </c>
      <c r="J1179" s="26" t="inlineStr">
        <is>
          <t>Вот какие у нас замечательные «соседи» на фестивале «Добрая Москва» 8 сентября. Приходите на Цветной!</t>
        </is>
      </c>
    </row>
    <row r="1180" ht="30" customHeight="1">
      <c r="A1180" s="28" t="n">
        <v>3737</v>
      </c>
      <c r="B1180" s="29" t="inlineStr">
        <is>
          <t>2018-09-04</t>
        </is>
      </c>
      <c r="C1180" s="30">
        <f>HYPERLINK("https://vk.com/wall-1825701_3737", "Открыть пост")</f>
        <v/>
      </c>
      <c r="D1180" s="31" t="inlineStr">
        <is>
          <t>Выездные лагеря, дача и сезонные программы</t>
        </is>
      </c>
      <c r="E1180" s="31" t="inlineStr">
        <is>
          <t>Выездные лагеря, дача и сезонные программы</t>
        </is>
      </c>
      <c r="F1180" s="31" t="inlineStr">
        <is>
          <t>Воспитанники ЦССВ, ДДИ и детских домов-интернатов; Выпускники интернатов и детских домов (молодые взрослые)</t>
        </is>
      </c>
      <c r="G1180" s="31" t="inlineStr">
        <is>
          <t>Студия фонда / выездная площадка</t>
        </is>
      </c>
      <c r="H1180" s="31" t="inlineStr">
        <is>
          <t>Коммуникативные навыки, эмпатия и тьюторское сопровождение; Мобильность, выездное сопровождение и автоволонтёрство</t>
        </is>
      </c>
      <c r="I1180" s="32" t="inlineStr">
        <is>
          <t>Да (в тексте)</t>
        </is>
      </c>
      <c r="J1180" s="31" t="inlineStr">
        <is>
          <t>Спасибо всем друзьям за поддержку в непростой ситуации с помещениями наших студий. Новости последних дней: Мама Гали, замечательной девочки, которая оставила вот этот трогательный отзыв после нашего июньского городского арт-лагеря, на сайте Сергея Собянина и его штаба разместила ...</t>
        </is>
      </c>
    </row>
    <row r="1181" ht="30" customHeight="1">
      <c r="A1181" s="23" t="n">
        <v>3734</v>
      </c>
      <c r="B1181" s="24" t="inlineStr">
        <is>
          <t>2018-09-04</t>
        </is>
      </c>
      <c r="C1181" s="25">
        <f>HYPERLINK("https://vk.com/wall-1825701_3734", "Открыть пост")</f>
        <v/>
      </c>
      <c r="D1181" s="26" t="inlineStr">
        <is>
          <t>Творческие мастер-классы и художественные студии</t>
        </is>
      </c>
      <c r="E1181" s="26" t="inlineStr">
        <is>
          <t>Творческие мастер-классы и художественные студии</t>
        </is>
      </c>
      <c r="F1181" s="26" t="inlineStr">
        <is>
          <t>Подростки и взрослые с ментальными особенностями и ОВЗ (ПНИ / Социальные дома)</t>
        </is>
      </c>
      <c r="G1181" s="26" t="inlineStr">
        <is>
          <t>Студия фонда / выездная площадка</t>
        </is>
      </c>
      <c r="H1181" s="26" t="inlineStr">
        <is>
          <t>Коммуникативные навыки, эмпатия и тьюторское сопровождение; Педагогические и наставнические навыки (кулинария, быт, учёба); Мобильность, выездное сопровождение и автоволонтёрство</t>
        </is>
      </c>
      <c r="I1181" s="27" t="inlineStr">
        <is>
          <t>Да (в тексте)</t>
        </is>
      </c>
      <c r="J1181" s="26" t="inlineStr">
        <is>
          <t>На Делегатской сегодня наши самые взрослые «дети» — ребята из ПНИ 16. Радость встречи после лета с преподавателями и волонтёрами Дашей и Ириной, радость совместного творчества в любимой студии. Ребята из ПНИ 16, которые к нам приезжают, имеют разные отклонения в состоянии здоровь...</t>
        </is>
      </c>
    </row>
    <row r="1182" ht="30" customHeight="1">
      <c r="A1182" s="28" t="n">
        <v>3729</v>
      </c>
      <c r="B1182" s="29" t="inlineStr">
        <is>
          <t>2018-09-03</t>
        </is>
      </c>
      <c r="C1182" s="30">
        <f>HYPERLINK("https://vk.com/wall-1825701_3729", "Открыть пост")</f>
        <v/>
      </c>
      <c r="D1182" s="31" t="inlineStr">
        <is>
          <t>Кулинарные, образовательные и социально-бытовые занятия</t>
        </is>
      </c>
      <c r="E1182" s="31" t="inlineStr">
        <is>
          <t>Кулинарные, образовательные и социально-бытовые занятия</t>
        </is>
      </c>
      <c r="F1182" s="31" t="inlineStr">
        <is>
          <t>Подростки и взрослые с ментальными особенностями и ОВЗ (ПНИ / Социальные дома)</t>
        </is>
      </c>
      <c r="G1182" s="31" t="inlineStr">
        <is>
          <t>Студия фонда / выездная площадка</t>
        </is>
      </c>
      <c r="H1182" s="31" t="inlineStr">
        <is>
          <t>Педагогические и наставнические навыки (кулинария, быт, учёба)</t>
        </is>
      </c>
      <c r="I1182" s="32" t="inlineStr">
        <is>
          <t>По формату занятия</t>
        </is>
      </c>
      <c r="J1182" s="31" t="inlineStr">
        <is>
          <t>Вот и первое занятие в новом учебном году. В студию на Делегатской приехала молодёжь из 11го психоневрологического интерната. Встреча с преподавателями после лета была радостной, ещё бы — полтора месяца не виделись, соскучились! Особенно много ребят сегодня захотело учиться готов...</t>
        </is>
      </c>
    </row>
    <row r="1183" ht="30" customHeight="1">
      <c r="A1183" s="23" t="n">
        <v>3728</v>
      </c>
      <c r="B1183" s="24" t="inlineStr">
        <is>
          <t>2018-09-03</t>
        </is>
      </c>
      <c r="C1183" s="25">
        <f>HYPERLINK("https://vk.com/wall-1825701_3728", "Открыть пост")</f>
        <v/>
      </c>
      <c r="D1183" s="26" t="inlineStr">
        <is>
          <t>Ярмарки, фестивали и благотворительные базары</t>
        </is>
      </c>
      <c r="E1183" s="26" t="inlineStr">
        <is>
          <t>Ярмарки, фестивали и благотворительные базары; Спортивные и активные мероприятия</t>
        </is>
      </c>
      <c r="F1183" s="26" t="inlineStr">
        <is>
          <t>Подопечные фонда «Дети Марии» (общая группа детей и подростков)</t>
        </is>
      </c>
      <c r="G1183" s="26" t="inlineStr">
        <is>
          <t>Студия фонда / выездная площадка</t>
        </is>
      </c>
      <c r="H1183" s="26" t="inlineStr">
        <is>
          <t>Артистические, музыкальные и спортивно-игровые навыки; Педагогические и наставнические навыки (кулинария, быт, учёба)</t>
        </is>
      </c>
      <c r="I1183" s="27" t="inlineStr">
        <is>
          <t>По формату занятия</t>
        </is>
      </c>
      <c r="J1183" s="26" t="inlineStr">
        <is>
          <t>Какой отличный способ провести День города! На фестивале «Добрая Москва», 8 сентября на Цветном бульваре, по традиции проходит благотворительный забег. Вы регистрируетесь, платите взнос за участие от 300 рублей, по желанию готовите интересный образ и костюм, 8 сентября бежите, а ...</t>
        </is>
      </c>
    </row>
    <row r="1184" ht="30" customHeight="1">
      <c r="A1184" s="28" t="n">
        <v>3720</v>
      </c>
      <c r="B1184" s="29" t="inlineStr">
        <is>
          <t>2018-09-02</t>
        </is>
      </c>
      <c r="C1184" s="30">
        <f>HYPERLINK("https://vk.com/wall-1825701_3720", "Открыть пост")</f>
        <v/>
      </c>
      <c r="D1184" s="31" t="inlineStr">
        <is>
          <t>Спектакли, концерты и музыкально-театральные занятия</t>
        </is>
      </c>
      <c r="E1184" s="31" t="inlineStr">
        <is>
          <t>Спектакли, концерты и музыкально-театральные занятия; Творческие мастер-классы и художественные студии</t>
        </is>
      </c>
      <c r="F1184" s="31" t="inlineStr">
        <is>
          <t>Подростки и взрослые с ментальными особенностями и ОВЗ (ПНИ / Социальные дома)</t>
        </is>
      </c>
      <c r="G1184" s="31" t="inlineStr">
        <is>
          <t>Студия фонда / выездная площадка</t>
        </is>
      </c>
      <c r="H1184" s="31" t="inlineStr">
        <is>
          <t>Художественно-прикладные и ремесленные навыки; Артистические, музыкальные и спортивно-игровые навыки; Организационные, ивент- и ярмарочные навыки</t>
        </is>
      </c>
      <c r="I1184" s="32" t="inlineStr">
        <is>
          <t>По формату занятия</t>
        </is>
      </c>
      <c r="J1184" s="31" t="inlineStr">
        <is>
          <t>Местная организация Всероссийского общества слепых в Царицыно, к которой прикреплен незрячий Андрей Савельев из ПНИ 16 (его историю можно прочитать тут http://mariaschildren.ru/ru/about/our-children/andrey-savelyev), очень ему помогает: передаёт заказы, часы для слепых, путевки в...</t>
        </is>
      </c>
    </row>
    <row r="1185" ht="30" customHeight="1">
      <c r="A1185" s="23" t="n">
        <v>3719</v>
      </c>
      <c r="B1185" s="24" t="inlineStr">
        <is>
          <t>2018-09-02</t>
        </is>
      </c>
      <c r="C1185" s="25">
        <f>HYPERLINK("https://vk.com/wall-1825701_3719", "Открыть пост")</f>
        <v/>
      </c>
      <c r="D1185" s="26" t="inlineStr">
        <is>
          <t>Праздники, дни рождения и клубные встречи</t>
        </is>
      </c>
      <c r="E1185" s="26" t="inlineStr">
        <is>
          <t>Праздники, дни рождения и клубные встречи</t>
        </is>
      </c>
      <c r="F1185" s="26" t="inlineStr">
        <is>
          <t>Выпускники интернатов и детских домов (молодые взрослые)</t>
        </is>
      </c>
      <c r="G1185" s="26" t="inlineStr">
        <is>
          <t>Студия фонда / выездная площадка</t>
        </is>
      </c>
      <c r="H1185" s="26" t="inlineStr">
        <is>
          <t>Артистические, музыкальные и спортивно-игровые навыки; Организационные, ивент- и ярмарочные навыки</t>
        </is>
      </c>
      <c r="I1185" s="27" t="inlineStr">
        <is>
          <t>По формату занятия</t>
        </is>
      </c>
      <c r="J1185" s="26" t="inlineStr">
        <is>
          <t>Шахматный клуб в студии на Дмитровке. Не можем сказать, что он начинает снова работать после лета, потому что он и летом не прекращался. В шахматы (и шашки) наши выпускники играют постоянно, в перерывах между другими занятиями, между учёбой в колледже и вечерней школой, даже во в...</t>
        </is>
      </c>
    </row>
    <row r="1186" ht="30" customHeight="1">
      <c r="A1186" s="28" t="n">
        <v>3716</v>
      </c>
      <c r="B1186" s="29" t="inlineStr">
        <is>
          <t>2018-09-01</t>
        </is>
      </c>
      <c r="C1186" s="30">
        <f>HYPERLINK("https://vk.com/wall-1825701_3716", "Открыть пост")</f>
        <v/>
      </c>
      <c r="D1186" s="31" t="inlineStr">
        <is>
          <t>Спортивные и активные мероприятия</t>
        </is>
      </c>
      <c r="E1186" s="31" t="inlineStr">
        <is>
          <t>Спортивные и активные мероприятия</t>
        </is>
      </c>
      <c r="F1186" s="31" t="inlineStr">
        <is>
          <t>Подопечные фонда «Дети Марии» (общая группа детей и подростков)</t>
        </is>
      </c>
      <c r="G1186" s="31" t="inlineStr">
        <is>
          <t>Студия фонда / выездная площадка</t>
        </is>
      </c>
      <c r="H1186" s="31" t="inlineStr">
        <is>
          <t>Артистические, музыкальные и спортивно-игровые навыки</t>
        </is>
      </c>
      <c r="I1186" s="32" t="inlineStr">
        <is>
          <t>По формату занятия</t>
        </is>
      </c>
      <c r="J1186" s="31" t="inlineStr">
        <is>
          <t>На той неделе прошёл Голландский вечер в студии на Дмитровке. От Кейса, приехавшего к нам в гости, узнали про королевскую семью, полдеры и дайки, чем отличается Голландия от Нидерландов и сколько в стране велосипедов. Попробовали «вкусные» соленные лакрицы и медовые вафли, которы...</t>
        </is>
      </c>
    </row>
    <row r="1187" ht="30" customHeight="1">
      <c r="A1187" s="23" t="n">
        <v>3706</v>
      </c>
      <c r="B1187" s="24" t="inlineStr">
        <is>
          <t>2018-08-29</t>
        </is>
      </c>
      <c r="C1187" s="25">
        <f>HYPERLINK("https://vk.com/wall-1825701_3706", "Открыть пост")</f>
        <v/>
      </c>
      <c r="D1187" s="26" t="inlineStr">
        <is>
          <t>Выездные лагеря, дача и сезонные программы</t>
        </is>
      </c>
      <c r="E1187" s="26" t="inlineStr">
        <is>
          <t>Выездные лагеря, дача и сезонные программы; Творческие мастер-классы и художественные студии</t>
        </is>
      </c>
      <c r="F1187" s="26" t="inlineStr">
        <is>
          <t>Подопечные фонда «Дети Марии» (общая группа детей и подростков)</t>
        </is>
      </c>
      <c r="G1187" s="26" t="inlineStr">
        <is>
          <t>Студия фонда / выездная площадка</t>
        </is>
      </c>
      <c r="H1187" s="26" t="inlineStr">
        <is>
          <t>Художественно-прикладные и ремесленные навыки; Педагогические и наставнические навыки (кулинария, быт, учёба); Мобильность, выездное сопровождение и автоволонтёрство</t>
        </is>
      </c>
      <c r="I1187" s="27" t="inlineStr">
        <is>
          <t>Да (в тексте)</t>
        </is>
      </c>
      <c r="J1187" s="26" t="inlineStr">
        <is>
          <t>У всех ещё летние каникулы, в московских студиях - напряжённая тишина😟, а в наших загородных мастерских на даче Марии начались занятия. С детьми из Филимонок мы не виделись всего месяц (в июле они отдыхали в нашем летнем лагере) — а как уже успели соскучиться! Мы по детям, дети п...</t>
        </is>
      </c>
    </row>
    <row r="1188" ht="30" customHeight="1">
      <c r="A1188" s="28" t="n">
        <v>3689</v>
      </c>
      <c r="B1188" s="29" t="inlineStr">
        <is>
          <t>2018-08-25</t>
        </is>
      </c>
      <c r="C1188" s="30">
        <f>HYPERLINK("https://vk.com/wall-1825701_3689", "Открыть пост")</f>
        <v/>
      </c>
      <c r="D1188" s="31" t="inlineStr">
        <is>
          <t>Ярмарки, фестивали и благотворительные базары</t>
        </is>
      </c>
      <c r="E1188" s="31" t="inlineStr">
        <is>
          <t>Ярмарки, фестивали и благотворительные базары; Спектакли, концерты и музыкально-театральные занятия; Спортивные и активные мероприятия; Творческие мастер-классы и художественные студии</t>
        </is>
      </c>
      <c r="F1188" s="31" t="inlineStr">
        <is>
          <t>Подопечные фонда «Дети Марии» (общая группа детей и подростков)</t>
        </is>
      </c>
      <c r="G1188" s="31" t="inlineStr">
        <is>
          <t>Студия фонда / выездная площадка</t>
        </is>
      </c>
      <c r="H1188" s="31" t="inlineStr">
        <is>
          <t>Артистические, музыкальные и спортивно-игровые навыки; Организационные, ивент- и ярмарочные навыки</t>
        </is>
      </c>
      <c r="I1188" s="32" t="inlineStr">
        <is>
          <t>По формату занятия</t>
        </is>
      </c>
      <c r="J1188" s="31" t="inlineStr">
        <is>
          <t>8-9 сентября на Цветном бульваре пройдёт уже традиционный в День города фестиваль «Добрая Москва». Организаторы выбрали нас для участия, чему мы очень рады и благодарны! Фестиваль — это благотворительная ярмарка, концерт, забег, мастер-классы. 8 сентября с 12:00 до 22:00, 9 сентя...</t>
        </is>
      </c>
    </row>
    <row r="1189" ht="30" customHeight="1">
      <c r="A1189" s="23" t="n">
        <v>3679</v>
      </c>
      <c r="B1189" s="24" t="inlineStr">
        <is>
          <t>2018-08-18</t>
        </is>
      </c>
      <c r="C1189" s="25">
        <f>HYPERLINK("https://vk.com/wall-1825701_3679", "Открыть пост")</f>
        <v/>
      </c>
      <c r="D1189" s="26" t="inlineStr">
        <is>
          <t>Выставки, экскурсии и культурные выходы</t>
        </is>
      </c>
      <c r="E1189" s="26" t="inlineStr">
        <is>
          <t>Выставки, экскурсии и культурные выходы; Выездные лагеря, дача и сезонные программы</t>
        </is>
      </c>
      <c r="F1189" s="26" t="inlineStr">
        <is>
          <t>Подростки и взрослые с ментальными особенностями и ОВЗ (ПНИ / Социальные дома)</t>
        </is>
      </c>
      <c r="G1189" s="26" t="inlineStr">
        <is>
          <t>Студия фонда / выездная площадка</t>
        </is>
      </c>
      <c r="H1189" s="26" t="inlineStr">
        <is>
          <t>Педагогические и наставнические навыки (кулинария, быт, учёба); Мобильность, выездное сопровождение и автоволонтёрство</t>
        </is>
      </c>
      <c r="I1189" s="27" t="inlineStr">
        <is>
          <t>Да (в тексте)</t>
        </is>
      </c>
      <c r="J1189" s="26" t="inlineStr">
        <is>
          <t>Пока мы были в летнем лагере, в Москве тоже не скучали. Волонтёр Ирина Чёрненькая сводила группу ребят из ПНИ 16 на экскурсию в Музей шоколада при фабрике им. Бабаева: «Ребятам рассказали, откуда взялся шоколад в Европе, как индейцы пили напиток, который назывался Чоколата — с пе...</t>
        </is>
      </c>
    </row>
    <row r="1190" ht="30" customHeight="1">
      <c r="A1190" s="28" t="n">
        <v>3678</v>
      </c>
      <c r="B1190" s="29" t="inlineStr">
        <is>
          <t>2018-08-16</t>
        </is>
      </c>
      <c r="C1190" s="30">
        <f>HYPERLINK("https://vk.com/wall-1825701_3678", "Открыть пост")</f>
        <v/>
      </c>
      <c r="D1190" s="31" t="inlineStr">
        <is>
          <t>Выездные лагеря, дача и сезонные программы</t>
        </is>
      </c>
      <c r="E1190" s="31" t="inlineStr">
        <is>
          <t>Выездные лагеря, дача и сезонные программы; Спектакли, концерты и музыкально-театральные занятия</t>
        </is>
      </c>
      <c r="F1190" s="31" t="inlineStr">
        <is>
          <t>Подопечные фонда «Дети Марии» (общая группа детей и подростков)</t>
        </is>
      </c>
      <c r="G1190" s="31" t="inlineStr">
        <is>
          <t>сорочанском</t>
        </is>
      </c>
      <c r="H1190" s="31" t="inlineStr">
        <is>
          <t>Артистические, музыкальные и спортивно-игровые навыки; Мобильность, выездное сопровождение и автоволонтёрство</t>
        </is>
      </c>
      <c r="I1190" s="32" t="inlineStr">
        <is>
          <t>По формату занятия</t>
        </is>
      </c>
      <c r="J1190" s="31" t="inlineStr">
        <is>
          <t>Заключительный концерт в летнем лагере — это и песни, и танцы, и мини-спектакли, и акробатические номера. А в конце по традиции — общее исполнение песни «Пусть бегут неуклюже» в сорочанском варианте (текст Александра Шишова).</t>
        </is>
      </c>
    </row>
    <row r="1191" ht="30" customHeight="1">
      <c r="A1191" s="23" t="n">
        <v>3676</v>
      </c>
      <c r="B1191" s="24" t="inlineStr">
        <is>
          <t>2018-08-15</t>
        </is>
      </c>
      <c r="C1191" s="25">
        <f>HYPERLINK("https://vk.com/wall-1825701_3676", "Открыть пост")</f>
        <v/>
      </c>
      <c r="D1191" s="26" t="inlineStr">
        <is>
          <t>Выездные лагеря, дача и сезонные программы</t>
        </is>
      </c>
      <c r="E1191" s="26" t="inlineStr">
        <is>
          <t>Выездные лагеря, дача и сезонные программы</t>
        </is>
      </c>
      <c r="F1191" s="26" t="inlineStr">
        <is>
          <t>Подопечные фонда «Дети Марии» (общая группа детей и подростков)</t>
        </is>
      </c>
      <c r="G1191" s="26" t="inlineStr">
        <is>
          <t>сорочанских</t>
        </is>
      </c>
      <c r="H1191" s="26" t="inlineStr">
        <is>
          <t>Мобильность, выездное сопровождение и автоволонтёрство</t>
        </is>
      </c>
      <c r="I1191" s="27" t="inlineStr">
        <is>
          <t>По формату занятия</t>
        </is>
      </c>
      <c r="J1191" s="26" t="inlineStr">
        <is>
          <t>Съёмка в летнем лагере скрытой камерой. Тайная жизнь сорочанских привидений.</t>
        </is>
      </c>
    </row>
    <row r="1192" ht="30" customHeight="1">
      <c r="A1192" s="28" t="n">
        <v>3675</v>
      </c>
      <c r="B1192" s="29" t="inlineStr">
        <is>
          <t>2018-08-14</t>
        </is>
      </c>
      <c r="C1192" s="30">
        <f>HYPERLINK("https://vk.com/wall-1825701_3675", "Открыть пост")</f>
        <v/>
      </c>
      <c r="D1192" s="31" t="inlineStr">
        <is>
          <t>Выездные лагеря, дача и сезонные программы</t>
        </is>
      </c>
      <c r="E1192" s="31" t="inlineStr">
        <is>
          <t>Выездные лагеря, дача и сезонные программы</t>
        </is>
      </c>
      <c r="F1192" s="31" t="inlineStr">
        <is>
          <t>Подопечные фонда «Дети Марии» (общая группа детей и подростков)</t>
        </is>
      </c>
      <c r="G1192" s="31" t="inlineStr">
        <is>
          <t>Студия фонда / выездная площадка</t>
        </is>
      </c>
      <c r="H1192" s="31" t="inlineStr">
        <is>
          <t>Мобильность, выездное сопровождение и автоволонтёрство; Медиа, фото/видеосъёмка и культурная медиация</t>
        </is>
      </c>
      <c r="I1192" s="32" t="inlineStr">
        <is>
          <t>По формату занятия</t>
        </is>
      </c>
      <c r="J1192" s="31" t="inlineStr">
        <is>
          <t>Немного видео катания на банане в летнем лагере. У руля Дима Пономарёв.</t>
        </is>
      </c>
    </row>
    <row r="1193" ht="30" customHeight="1">
      <c r="A1193" s="23" t="n">
        <v>3674</v>
      </c>
      <c r="B1193" s="24" t="inlineStr">
        <is>
          <t>2018-08-13</t>
        </is>
      </c>
      <c r="C1193" s="25">
        <f>HYPERLINK("https://vk.com/wall-1825701_3674", "Открыть пост")</f>
        <v/>
      </c>
      <c r="D1193" s="26" t="inlineStr">
        <is>
          <t>Творческие мастер-классы и художественные студии</t>
        </is>
      </c>
      <c r="E1193" s="26" t="inlineStr">
        <is>
          <t>Творческие мастер-классы и художественные студии; Выездные лагеря, дача и сезонные программы</t>
        </is>
      </c>
      <c r="F1193" s="26" t="inlineStr">
        <is>
          <t>Подопечные фонда «Дети Марии» (общая группа детей и подростков)</t>
        </is>
      </c>
      <c r="G1193" s="26" t="inlineStr">
        <is>
          <t>Студия фонда / выездная площадка</t>
        </is>
      </c>
      <c r="H1193" s="26" t="inlineStr">
        <is>
          <t>Мобильность, выездное сопровождение и автоволонтёрство</t>
        </is>
      </c>
      <c r="I1193" s="27" t="inlineStr">
        <is>
          <t>По формату занятия</t>
        </is>
      </c>
      <c r="J1193" s="26" t="inlineStr">
        <is>
          <t>Это второй фильм, снятый на мастер-классах Аси Сегалович и Ани Елисеевой в летнем лагере. Драматический сюжет и образы придуманы самими детьми — участниками мастер-класса.</t>
        </is>
      </c>
    </row>
    <row r="1194" ht="30" customHeight="1">
      <c r="A1194" s="28" t="n">
        <v>3670</v>
      </c>
      <c r="B1194" s="29" t="inlineStr">
        <is>
          <t>2018-08-13</t>
        </is>
      </c>
      <c r="C1194" s="30">
        <f>HYPERLINK("https://vk.com/wall-1825701_3670", "Открыть пост")</f>
        <v/>
      </c>
      <c r="D1194" s="31" t="inlineStr">
        <is>
          <t>Творческие мастер-классы и художественные студии</t>
        </is>
      </c>
      <c r="E1194" s="31" t="inlineStr">
        <is>
          <t>Творческие мастер-классы и художественные студии</t>
        </is>
      </c>
      <c r="F1194" s="31" t="inlineStr">
        <is>
          <t>Подопечные фонда «Дети Марии» (общая группа детей и подростков)</t>
        </is>
      </c>
      <c r="G1194" s="31" t="inlineStr">
        <is>
          <t>Студия фонда / выездная площадка</t>
        </is>
      </c>
      <c r="H1194" s="31" t="inlineStr">
        <is>
          <t>Коммуникативные навыки, эмпатия и тьюторское сопровождение</t>
        </is>
      </c>
      <c r="I1194" s="32" t="inlineStr">
        <is>
          <t>По формату занятия</t>
        </is>
      </c>
      <c r="J1194" s="31" t="inlineStr">
        <is>
          <t>Фильм «Ведьма и младенчик» снят на мастер-классе Аси Сегалович и Ани Елисеевой.</t>
        </is>
      </c>
    </row>
    <row r="1195" ht="30" customHeight="1">
      <c r="A1195" s="23" t="n">
        <v>3668</v>
      </c>
      <c r="B1195" s="24" t="inlineStr">
        <is>
          <t>2018-08-11</t>
        </is>
      </c>
      <c r="C1195" s="25">
        <f>HYPERLINK("https://vk.com/wall-1825701_3668", "Открыть пост")</f>
        <v/>
      </c>
      <c r="D1195" s="26" t="inlineStr">
        <is>
          <t>Выездные лагеря, дача и сезонные программы</t>
        </is>
      </c>
      <c r="E1195" s="26" t="inlineStr">
        <is>
          <t>Выездные лагеря, дача и сезонные программы</t>
        </is>
      </c>
      <c r="F1195" s="26" t="inlineStr">
        <is>
          <t>Подопечные фонда «Дети Марии» (общая группа детей и подростков)</t>
        </is>
      </c>
      <c r="G1195" s="26" t="inlineStr">
        <is>
          <t>Студия фонда / выездная площадка</t>
        </is>
      </c>
      <c r="H1195" s="26" t="inlineStr">
        <is>
          <t>Мобильность, выездное сопровождение и автоволонтёрство</t>
        </is>
      </c>
      <c r="I1195" s="27" t="inlineStr">
        <is>
          <t>По формату занятия</t>
        </is>
      </c>
      <c r="J1195" s="26" t="inlineStr">
        <is>
          <t>Каждая семья в лагере сняла свой семейный фильм — киногод вышел урожайным. У Слонов — дефиле, у Львов — клип, у Зебр — захватывающая история, у Жирафов — целое радио! Смотрите и наслаждайтесь.</t>
        </is>
      </c>
    </row>
    <row r="1196" ht="30" customHeight="1">
      <c r="A1196" s="28" t="n">
        <v>3667</v>
      </c>
      <c r="B1196" s="29" t="inlineStr">
        <is>
          <t>2018-08-09</t>
        </is>
      </c>
      <c r="C1196" s="30">
        <f>HYPERLINK("https://vk.com/wall-1825701_3667", "Открыть пост")</f>
        <v/>
      </c>
      <c r="D1196" s="31" t="inlineStr">
        <is>
          <t>Выездные лагеря, дача и сезонные программы</t>
        </is>
      </c>
      <c r="E1196" s="31" t="inlineStr">
        <is>
          <t>Выездные лагеря, дача и сезонные программы</t>
        </is>
      </c>
      <c r="F1196" s="31" t="inlineStr">
        <is>
          <t>Подопечные фонда «Дети Марии» (общая группа детей и подростков)</t>
        </is>
      </c>
      <c r="G1196" s="31" t="inlineStr">
        <is>
          <t>Студия фонда / выездная площадка</t>
        </is>
      </c>
      <c r="H1196" s="31" t="inlineStr">
        <is>
          <t>Мобильность, выездное сопровождение и автоволонтёрство</t>
        </is>
      </c>
      <c r="I1196" s="32" t="inlineStr">
        <is>
          <t>По формату занятия</t>
        </is>
      </c>
      <c r="J1196" s="31" t="inlineStr">
        <is>
          <t>Катание на банане и лодке — любимый день многих детей в лагере. Скорость, ветер, вода, солнце и ощущение огромной радости!</t>
        </is>
      </c>
    </row>
    <row r="1197" ht="30" customHeight="1">
      <c r="A1197" s="23" t="n">
        <v>3666</v>
      </c>
      <c r="B1197" s="24" t="inlineStr">
        <is>
          <t>2018-08-09</t>
        </is>
      </c>
      <c r="C1197" s="25">
        <f>HYPERLINK("https://vk.com/wall-1825701_3666", "Открыть пост")</f>
        <v/>
      </c>
      <c r="D1197" s="26" t="inlineStr">
        <is>
          <t>Выездные лагеря, дача и сезонные программы</t>
        </is>
      </c>
      <c r="E1197" s="26" t="inlineStr">
        <is>
          <t>Выездные лагеря, дача и сезонные программы</t>
        </is>
      </c>
      <c r="F1197" s="26" t="inlineStr">
        <is>
          <t>Подопечные фонда «Дети Марии» (общая группа детей и подростков)</t>
        </is>
      </c>
      <c r="G1197" s="26" t="inlineStr">
        <is>
          <t>Студия фонда / выездная площадка</t>
        </is>
      </c>
      <c r="H1197" s="26" t="inlineStr">
        <is>
          <t>Художественно-прикладные и ремесленные навыки; Мобильность, выездное сопровождение и автоволонтёрство</t>
        </is>
      </c>
      <c r="I1197" s="27" t="inlineStr">
        <is>
          <t>По формату занятия</t>
        </is>
      </c>
      <c r="J1197" s="26" t="inlineStr">
        <is>
          <t>Собрав все четыре стихии, мы всем лагерем открыли пятый элемент — Любовь! Все вместе посадили дерево и помогли инопланетянам осознать, что им совсем не обязательно улетать на свои планеты, а гораздо лучше остаться в нашем лагере!</t>
        </is>
      </c>
    </row>
    <row r="1198" ht="30" customHeight="1">
      <c r="A1198" s="28" t="n">
        <v>3658</v>
      </c>
      <c r="B1198" s="29" t="inlineStr">
        <is>
          <t>2018-08-08</t>
        </is>
      </c>
      <c r="C1198" s="30">
        <f>HYPERLINK("https://vk.com/wall-1825701_3658", "Открыть пост")</f>
        <v/>
      </c>
      <c r="D1198" s="31" t="inlineStr">
        <is>
          <t>Выездные лагеря, дача и сезонные программы</t>
        </is>
      </c>
      <c r="E1198" s="31" t="inlineStr">
        <is>
          <t>Выездные лагеря, дача и сезонные программы</t>
        </is>
      </c>
      <c r="F1198" s="31" t="inlineStr">
        <is>
          <t>Подопечные фонда «Дети Марии» (общая группа детей и подростков)</t>
        </is>
      </c>
      <c r="G1198" s="31" t="inlineStr">
        <is>
          <t>Студия фонда / выездная площадка</t>
        </is>
      </c>
      <c r="H1198" s="31" t="inlineStr">
        <is>
          <t>Артистические, музыкальные и спортивно-игровые навыки; Педагогические и наставнические навыки (кулинария, быт, учёба); Мобильность, выездное сопровождение и автоволонтёрство</t>
        </is>
      </c>
      <c r="I1198" s="32" t="inlineStr">
        <is>
          <t>По формату занятия</t>
        </is>
      </c>
      <c r="J1198" s="31" t="inlineStr">
        <is>
          <t>Продолжаем рассказ о Большой Игре в лагере. В доме стихии Огонь мы проявляли тайные надписи над пламенем, зажигали бенгальские огни, готовили и ели маршмеллоу.</t>
        </is>
      </c>
    </row>
    <row r="1199" ht="30" customHeight="1">
      <c r="A1199" s="23" t="n">
        <v>3657</v>
      </c>
      <c r="B1199" s="24" t="inlineStr">
        <is>
          <t>2018-08-08</t>
        </is>
      </c>
      <c r="C1199" s="25">
        <f>HYPERLINK("https://vk.com/wall-1825701_3657", "Открыть пост")</f>
        <v/>
      </c>
      <c r="D1199" s="26" t="inlineStr">
        <is>
          <t>Выездные лагеря, дача и сезонные программы</t>
        </is>
      </c>
      <c r="E1199" s="26" t="inlineStr">
        <is>
          <t>Выездные лагеря, дача и сезонные программы</t>
        </is>
      </c>
      <c r="F1199" s="26" t="inlineStr">
        <is>
          <t>Подопечные фонда «Дети Марии» (общая группа детей и подростков)</t>
        </is>
      </c>
      <c r="G1199" s="26" t="inlineStr">
        <is>
          <t>Студия фонда / выездная площадка</t>
        </is>
      </c>
      <c r="H1199" s="26" t="inlineStr">
        <is>
          <t>Артистические, музыкальные и спортивно-игровые навыки; Мобильность, выездное сопровождение и автоволонтёрство</t>
        </is>
      </c>
      <c r="I1199" s="27" t="inlineStr">
        <is>
          <t>По формату занятия</t>
        </is>
      </c>
      <c r="J1199" s="26" t="inlineStr">
        <is>
          <t>Большая Игра в лагере в этот раз была о четырёх стихиях — земле, воде, огне и воздухе. Собрать их все нужно было, чтобы помочь вот таким симпатичным инопланетянам.</t>
        </is>
      </c>
    </row>
    <row r="1200" ht="30" customHeight="1">
      <c r="A1200" s="28" t="n">
        <v>3652</v>
      </c>
      <c r="B1200" s="29" t="inlineStr">
        <is>
          <t>2018-08-07</t>
        </is>
      </c>
      <c r="C1200" s="30">
        <f>HYPERLINK("https://vk.com/wall-1825701_3652", "Открыть пост")</f>
        <v/>
      </c>
      <c r="D1200" s="31" t="inlineStr">
        <is>
          <t>Выездные лагеря, дача и сезонные программы</t>
        </is>
      </c>
      <c r="E1200" s="31" t="inlineStr">
        <is>
          <t>Выездные лагеря, дача и сезонные программы; Творческие мастер-классы и художественные студии</t>
        </is>
      </c>
      <c r="F1200" s="31" t="inlineStr">
        <is>
          <t>Подопечные фонда «Дети Марии» (общая группа детей и подростков)</t>
        </is>
      </c>
      <c r="G1200" s="31" t="inlineStr">
        <is>
          <t>Студия фонда / выездная площадка</t>
        </is>
      </c>
      <c r="H1200" s="31" t="inlineStr">
        <is>
          <t>Мобильность, выездное сопровождение и автоволонтёрство</t>
        </is>
      </c>
      <c r="I1200" s="32" t="inlineStr">
        <is>
          <t>По формату занятия</t>
        </is>
      </c>
      <c r="J1200" s="31" t="inlineStr">
        <is>
          <t>Наташа Чопра проводила в лагере мастер-класс «Кисточки». Вот какие забавные существа родились из обыкновенных малярных кистей!</t>
        </is>
      </c>
    </row>
    <row r="1201" ht="30" customHeight="1">
      <c r="A1201" s="23" t="n">
        <v>3650</v>
      </c>
      <c r="B1201" s="24" t="inlineStr">
        <is>
          <t>2018-08-07</t>
        </is>
      </c>
      <c r="C1201" s="25">
        <f>HYPERLINK("https://vk.com/wall-1825701_3650", "Открыть пост")</f>
        <v/>
      </c>
      <c r="D1201" s="26" t="inlineStr">
        <is>
          <t>Выездные лагеря, дача и сезонные программы</t>
        </is>
      </c>
      <c r="E1201" s="26" t="inlineStr">
        <is>
          <t>Выездные лагеря, дача и сезонные программы; Творческие мастер-классы и художественные студии</t>
        </is>
      </c>
      <c r="F1201" s="26" t="inlineStr">
        <is>
          <t>Широкая аудитория, гости и благотворители (открытые события)</t>
        </is>
      </c>
      <c r="G1201" s="26" t="inlineStr">
        <is>
          <t>Студия фонда / выездная площадка</t>
        </is>
      </c>
      <c r="H1201" s="26" t="inlineStr">
        <is>
          <t>Мобильность, выездное сопровождение и автоволонтёрство</t>
        </is>
      </c>
      <c r="I1201" s="27" t="inlineStr">
        <is>
          <t>По формату занятия</t>
        </is>
      </c>
      <c r="J1201" s="26" t="inlineStr">
        <is>
          <t>Каждый день перед мастер-классами все желающие в лагере делали зарядку. Её проводили Лёша Ждамиров и Фано. И это было прекрасное начало дня!</t>
        </is>
      </c>
    </row>
    <row r="1202" ht="30" customHeight="1">
      <c r="A1202" s="28" t="n">
        <v>3649</v>
      </c>
      <c r="B1202" s="29" t="inlineStr">
        <is>
          <t>2018-08-07</t>
        </is>
      </c>
      <c r="C1202" s="30">
        <f>HYPERLINK("https://vk.com/wall-1825701_3649", "Открыть пост")</f>
        <v/>
      </c>
      <c r="D1202" s="31" t="inlineStr">
        <is>
          <t>Выездные лагеря, дача и сезонные программы</t>
        </is>
      </c>
      <c r="E1202" s="31" t="inlineStr">
        <is>
          <t>Выездные лагеря, дача и сезонные программы</t>
        </is>
      </c>
      <c r="F1202" s="31" t="inlineStr">
        <is>
          <t>Подопечные фонда «Дети Марии» (общая группа детей и подростков)</t>
        </is>
      </c>
      <c r="G1202" s="31" t="inlineStr">
        <is>
          <t>Студия фонда / выездная площадка</t>
        </is>
      </c>
      <c r="H1202" s="31" t="inlineStr">
        <is>
          <t>Мобильность, выездное сопровождение и автоволонтёрство</t>
        </is>
      </c>
      <c r="I1202" s="32" t="inlineStr">
        <is>
          <t>По формату занятия</t>
        </is>
      </c>
      <c r="J1202" s="31" t="inlineStr">
        <is>
          <t>При таком разнообразии средств передвижения в лагере и большие, и маленькие всюду успевали и получали массу удовольствия от катания. Особенное уважение заслужили два автобуса (жёлтый "Детей Марии" и белый "Пеликана") и их водители. Белому автобусу даже справили день рождения!</t>
        </is>
      </c>
    </row>
    <row r="1203" ht="30" customHeight="1">
      <c r="A1203" s="23" t="n">
        <v>3648</v>
      </c>
      <c r="B1203" s="24" t="inlineStr">
        <is>
          <t>2018-08-06</t>
        </is>
      </c>
      <c r="C1203" s="25">
        <f>HYPERLINK("https://vk.com/wall-1825701_3648", "Открыть пост")</f>
        <v/>
      </c>
      <c r="D1203" s="26" t="inlineStr">
        <is>
          <t>Творческие мастер-классы и художественные студии</t>
        </is>
      </c>
      <c r="E1203" s="26" t="inlineStr">
        <is>
          <t>Творческие мастер-классы и художественные студии</t>
        </is>
      </c>
      <c r="F1203" s="26" t="inlineStr">
        <is>
          <t>Подопечные фонда «Дети Марии» (общая группа детей и подростков)</t>
        </is>
      </c>
      <c r="G1203" s="26" t="inlineStr">
        <is>
          <t>Студия фонда / выездная площадка</t>
        </is>
      </c>
      <c r="H1203" s="26" t="inlineStr">
        <is>
          <t>Художественно-прикладные и ремесленные навыки</t>
        </is>
      </c>
      <c r="I1203" s="27" t="inlineStr">
        <is>
          <t>По формату занятия</t>
        </is>
      </c>
      <c r="J1203" s="26" t="inlineStr">
        <is>
          <t>Мастер-класс по эпоксидке был у нас впервые, но сразу завоевал поклонников. Заливали всё — металл, дерево, растения и даже дохлых ос!</t>
        </is>
      </c>
    </row>
    <row r="1204" ht="30" customHeight="1">
      <c r="A1204" s="28" t="n">
        <v>3646</v>
      </c>
      <c r="B1204" s="29" t="inlineStr">
        <is>
          <t>2018-08-06</t>
        </is>
      </c>
      <c r="C1204" s="30">
        <f>HYPERLINK("https://vk.com/wall-1825701_3646", "Открыть пост")</f>
        <v/>
      </c>
      <c r="D1204" s="31" t="inlineStr">
        <is>
          <t>Творческие мастер-классы и художественные студии</t>
        </is>
      </c>
      <c r="E1204" s="31" t="inlineStr">
        <is>
          <t>Творческие мастер-классы и художественные студии; Выставки, экскурсии и культурные выходы</t>
        </is>
      </c>
      <c r="F1204" s="31" t="inlineStr">
        <is>
          <t>Подопечные фонда «Дети Марии» (общая группа детей и подростков)</t>
        </is>
      </c>
      <c r="G1204" s="31" t="inlineStr">
        <is>
          <t>Студия фонда / выездная площадка</t>
        </is>
      </c>
      <c r="H1204" s="31" t="inlineStr">
        <is>
          <t>Художественно-прикладные и ремесленные навыки</t>
        </is>
      </c>
      <c r="I1204" s="32" t="inlineStr">
        <is>
          <t>По формату занятия</t>
        </is>
      </c>
      <c r="J1204" s="31" t="inlineStr">
        <is>
          <t>Второй мастер-класс Ясина — по рисованию автопортретов на плёнке. Портреты получились такими прекрасными, что мы хотим представить их на ноябрьской выставке!</t>
        </is>
      </c>
    </row>
    <row r="1205" ht="30" customHeight="1">
      <c r="A1205" s="23" t="n">
        <v>3645</v>
      </c>
      <c r="B1205" s="24" t="inlineStr">
        <is>
          <t>2018-08-06</t>
        </is>
      </c>
      <c r="C1205" s="25">
        <f>HYPERLINK("https://vk.com/wall-1825701_3645", "Открыть пост")</f>
        <v/>
      </c>
      <c r="D1205" s="26" t="inlineStr">
        <is>
          <t>Творческие мастер-классы и художественные студии</t>
        </is>
      </c>
      <c r="E1205" s="26" t="inlineStr">
        <is>
          <t>Творческие мастер-классы и художественные студии</t>
        </is>
      </c>
      <c r="F1205" s="26" t="inlineStr">
        <is>
          <t>Подопечные фонда «Дети Марии» (общая группа детей и подростков)</t>
        </is>
      </c>
      <c r="G1205" s="26" t="inlineStr">
        <is>
          <t>Студия фонда / выездная площадка</t>
        </is>
      </c>
      <c r="H1205" s="26" t="inlineStr">
        <is>
          <t>Медиа, фото/видеосъёмка и культурная медиация</t>
        </is>
      </c>
      <c r="I1205" s="27" t="inlineStr">
        <is>
          <t>По формату занятия</t>
        </is>
      </c>
      <c r="J1205" s="26" t="inlineStr">
        <is>
          <t>Ясин вёл целых два мастер-класса. Первый — по изготовлению блокнотов. Дети узнавали, как устроена книжка (или блокнот), её переплёт, обложка. И сами делали блокноты с дизайнерскими обложками.</t>
        </is>
      </c>
    </row>
    <row r="1206" ht="30" customHeight="1">
      <c r="A1206" s="28" t="n">
        <v>3640</v>
      </c>
      <c r="B1206" s="29" t="inlineStr">
        <is>
          <t>2018-08-05</t>
        </is>
      </c>
      <c r="C1206" s="30">
        <f>HYPERLINK("https://vk.com/wall-1825701_3640", "Открыть пост")</f>
        <v/>
      </c>
      <c r="D1206" s="31" t="inlineStr">
        <is>
          <t>Выездные лагеря, дача и сезонные программы</t>
        </is>
      </c>
      <c r="E1206" s="31" t="inlineStr">
        <is>
          <t>Выездные лагеря, дача и сезонные программы; Творческие мастер-классы и художественные студии</t>
        </is>
      </c>
      <c r="F1206" s="31" t="inlineStr">
        <is>
          <t>Подопечные фонда «Дети Марии» (общая группа детей и подростков)</t>
        </is>
      </c>
      <c r="G1206" s="31" t="inlineStr">
        <is>
          <t>Студия фонда / выездная площадка</t>
        </is>
      </c>
      <c r="H1206" s="31" t="inlineStr">
        <is>
          <t>Мобильность, выездное сопровождение и автоволонтёрство</t>
        </is>
      </c>
      <c r="I1206" s="32" t="inlineStr">
        <is>
          <t>По формату занятия</t>
        </is>
      </c>
      <c r="J1206" s="31" t="inlineStr">
        <is>
          <t>Дети и сами вели мастер-классы друг для друга и для взрослых. Вова Ненашев из Филимонок — по плетению из резиночек. А Саша Каменский (пяти лет! это, похоже, самый юный ведущий за историю наших лагерей) — по сборке из лего.</t>
        </is>
      </c>
    </row>
    <row r="1207" ht="30" customHeight="1">
      <c r="A1207" s="23" t="n">
        <v>3639</v>
      </c>
      <c r="B1207" s="24" t="inlineStr">
        <is>
          <t>2018-08-05</t>
        </is>
      </c>
      <c r="C1207" s="25">
        <f>HYPERLINK("https://vk.com/wall-1825701_3639", "Открыть пост")</f>
        <v/>
      </c>
      <c r="D1207" s="26" t="inlineStr">
        <is>
          <t>Выездные лагеря, дача и сезонные программы</t>
        </is>
      </c>
      <c r="E1207" s="26" t="inlineStr">
        <is>
          <t>Выездные лагеря, дача и сезонные программы; Спортивные и активные мероприятия; Творческие мастер-классы и художественные студии</t>
        </is>
      </c>
      <c r="F1207" s="26" t="inlineStr">
        <is>
          <t>Подопечные фонда «Дети Марии» (общая группа детей и подростков)</t>
        </is>
      </c>
      <c r="G1207" s="26" t="inlineStr">
        <is>
          <t>Студия фонда / выездная площадка</t>
        </is>
      </c>
      <c r="H1207" s="26" t="inlineStr">
        <is>
          <t>Артистические, музыкальные и спортивно-игровые навыки; Организационные, ивент- и ярмарочные навыки; Мобильность, выездное сопровождение и автоволонтёрство</t>
        </is>
      </c>
      <c r="I1207" s="27" t="inlineStr">
        <is>
          <t>Да (в тексте)</t>
        </is>
      </c>
      <c r="J1207" s="26" t="inlineStr">
        <is>
          <t>Есть у нас совершенно замечательный волонтёр Дэби. Она уже несколько лет приезжает из США для участия в разных наших программах, чаще всего — в летний лагерь. В лагере Дэби организует экологичное мытьё посуды, кормит завтраками семью Слонов (представляете себе, сколько едят Слоны...</t>
        </is>
      </c>
    </row>
    <row r="1208" ht="30" customHeight="1">
      <c r="A1208" s="28" t="n">
        <v>3638</v>
      </c>
      <c r="B1208" s="29" t="inlineStr">
        <is>
          <t>2018-08-05</t>
        </is>
      </c>
      <c r="C1208" s="30">
        <f>HYPERLINK("https://vk.com/wall-1825701_3638", "Открыть пост")</f>
        <v/>
      </c>
      <c r="D1208" s="31" t="inlineStr">
        <is>
          <t>Творческие мастер-классы и художественные студии</t>
        </is>
      </c>
      <c r="E1208" s="31" t="inlineStr">
        <is>
          <t>Творческие мастер-классы и художественные студии</t>
        </is>
      </c>
      <c r="F1208" s="31" t="inlineStr">
        <is>
          <t>Подопечные фонда «Дети Марии» (общая группа детей и подростков)</t>
        </is>
      </c>
      <c r="G1208" s="31" t="inlineStr">
        <is>
          <t>Студия фонда / выездная площадка</t>
        </is>
      </c>
      <c r="H1208" s="31" t="inlineStr">
        <is>
          <t>Педагогические и наставнические навыки (кулинария, быт, учёба)</t>
        </is>
      </c>
      <c r="I1208" s="32" t="inlineStr">
        <is>
          <t>По формату занятия</t>
        </is>
      </c>
      <c r="J1208" s="31" t="inlineStr">
        <is>
          <t>Петя Баранов на своём мастер-классе учил делать маски из гипса. Чтобы маска получилась, сначала каждый автор должен пройти испытание на терпение и умение не смеяться, пока на его лице застывает гипс, а окружающие комментируют процесс.</t>
        </is>
      </c>
    </row>
    <row r="1209" ht="30" customHeight="1">
      <c r="A1209" s="23" t="n">
        <v>3637</v>
      </c>
      <c r="B1209" s="24" t="inlineStr">
        <is>
          <t>2018-08-05</t>
        </is>
      </c>
      <c r="C1209" s="25">
        <f>HYPERLINK("https://vk.com/wall-1825701_3637", "Открыть пост")</f>
        <v/>
      </c>
      <c r="D1209" s="26" t="inlineStr">
        <is>
          <t>Выездные лагеря, дача и сезонные программы</t>
        </is>
      </c>
      <c r="E1209" s="26" t="inlineStr">
        <is>
          <t>Выездные лагеря, дача и сезонные программы; Творческие мастер-классы и художественные студии</t>
        </is>
      </c>
      <c r="F1209" s="26" t="inlineStr">
        <is>
          <t>Подопечные фонда «Дети Марии» (общая группа детей и подростков)</t>
        </is>
      </c>
      <c r="G1209" s="26" t="inlineStr">
        <is>
          <t>Студия фонда / выездная площадка</t>
        </is>
      </c>
      <c r="H1209" s="26" t="inlineStr">
        <is>
          <t>Педагогические и наставнические навыки (кулинария, быт, учёба); Мобильность, выездное сопровождение и автоволонтёрство</t>
        </is>
      </c>
      <c r="I1209" s="27" t="inlineStr">
        <is>
          <t>По формату занятия</t>
        </is>
      </c>
      <c r="J1209" s="26" t="inlineStr">
        <is>
          <t>Ира Баранова проводила в лагере мастер-класс по картинам с камнями. Мы учились находить в обычной гальке образ птицы, человека, предмета. Работы получились выразительные и порой неожиданные.</t>
        </is>
      </c>
    </row>
    <row r="1210" ht="30" customHeight="1">
      <c r="A1210" s="28" t="n">
        <v>3631</v>
      </c>
      <c r="B1210" s="29" t="inlineStr">
        <is>
          <t>2018-08-04</t>
        </is>
      </c>
      <c r="C1210" s="30">
        <f>HYPERLINK("https://vk.com/wall-1825701_3631", "Открыть пост")</f>
        <v/>
      </c>
      <c r="D1210" s="31" t="inlineStr">
        <is>
          <t>Спортивные и активные мероприятия</t>
        </is>
      </c>
      <c r="E1210" s="31" t="inlineStr">
        <is>
          <t>Спортивные и активные мероприятия; Выездные лагеря, дача и сезонные программы; Творческие мастер-классы и художественные студии</t>
        </is>
      </c>
      <c r="F1210" s="31" t="inlineStr">
        <is>
          <t>Подопечные фонда «Дети Марии» (общая группа детей и подростков)</t>
        </is>
      </c>
      <c r="G1210" s="31" t="inlineStr">
        <is>
          <t>Студия фонда / выездная площадка</t>
        </is>
      </c>
      <c r="H1210" s="31" t="inlineStr">
        <is>
          <t>Артистические, музыкальные и спортивно-игровые навыки; Мобильность, выездное сопровождение и автоволонтёрство</t>
        </is>
      </c>
      <c r="I1210" s="32" t="inlineStr">
        <is>
          <t>По формату занятия</t>
        </is>
      </c>
      <c r="J1210" s="31" t="inlineStr">
        <is>
          <t>И конечно, в лагере был «Чудо-лобзик» — давно и многими любимый мастер-класс Лёши Ждамирова по выпиливанию. После недавнего ЧМ по футболу многим захотелось выпилить логотипы любимых футбольных клубов. Второй по популярности сюжет — эмблемы супергероев.</t>
        </is>
      </c>
    </row>
    <row r="1211" ht="30" customHeight="1">
      <c r="A1211" s="23" t="n">
        <v>3630</v>
      </c>
      <c r="B1211" s="24" t="inlineStr">
        <is>
          <t>2018-08-04</t>
        </is>
      </c>
      <c r="C1211" s="25">
        <f>HYPERLINK("https://vk.com/wall-1825701_3630", "Открыть пост")</f>
        <v/>
      </c>
      <c r="D1211" s="26" t="inlineStr">
        <is>
          <t>Творческие мастер-классы и художественные студии</t>
        </is>
      </c>
      <c r="E1211" s="26" t="inlineStr">
        <is>
          <t>Творческие мастер-классы и художественные студии</t>
        </is>
      </c>
      <c r="F1211" s="26" t="inlineStr">
        <is>
          <t>Подопечные фонда «Дети Марии» (общая группа детей и подростков)</t>
        </is>
      </c>
      <c r="G1211" s="26" t="inlineStr">
        <is>
          <t>Студия фонда / выездная площадка</t>
        </is>
      </c>
      <c r="H1211" s="26" t="inlineStr">
        <is>
          <t>Артистические, музыкальные и спортивно-игровые навыки</t>
        </is>
      </c>
      <c r="I1211" s="27" t="inlineStr">
        <is>
          <t>Да (в тексте)</t>
        </is>
      </c>
      <c r="J1211" s="26" t="inlineStr">
        <is>
          <t>Наш чудесный волонтёр из Мексики Фано вёл поочерёдно мастер-классы по ритму, акробатике, паркуру — очень популярные у спортивных мальчишек и девчонок!</t>
        </is>
      </c>
    </row>
    <row r="1212" ht="30" customHeight="1">
      <c r="A1212" s="28" t="n">
        <v>3629</v>
      </c>
      <c r="B1212" s="29" t="inlineStr">
        <is>
          <t>2018-08-03</t>
        </is>
      </c>
      <c r="C1212" s="30">
        <f>HYPERLINK("https://vk.com/wall-1825701_3629", "Открыть пост")</f>
        <v/>
      </c>
      <c r="D1212" s="31" t="inlineStr">
        <is>
          <t>Выездные лагеря, дача и сезонные программы</t>
        </is>
      </c>
      <c r="E1212" s="31" t="inlineStr">
        <is>
          <t>Выездные лагеря, дача и сезонные программы; Творческие мастер-классы и художественные студии</t>
        </is>
      </c>
      <c r="F1212" s="31" t="inlineStr">
        <is>
          <t>Подопечные фонда «Дети Марии» (общая группа детей и подростков)</t>
        </is>
      </c>
      <c r="G1212" s="31" t="inlineStr">
        <is>
          <t>Студия фонда / выездная площадка</t>
        </is>
      </c>
      <c r="H1212" s="31" t="inlineStr">
        <is>
          <t>Педагогические и наставнические навыки (кулинария, быт, учёба); Мобильность, выездное сопровождение и автоволонтёрство</t>
        </is>
      </c>
      <c r="I1212" s="32" t="inlineStr">
        <is>
          <t>По формату занятия</t>
        </is>
      </c>
      <c r="J1212" s="31" t="inlineStr">
        <is>
          <t>Готовим сани и новогодние подарки летом) На мастер-классе Гали Петровой в летнем лагере стеклянные подсвечники декорированы веточками туи. Есть в золотом и серебряном варианте. Цена 1000 рублей. Тираж очень небольшой! mariaschildren.ru/ru/store/original</t>
        </is>
      </c>
    </row>
    <row r="1213" ht="30" customHeight="1">
      <c r="A1213" s="23" t="n">
        <v>3628</v>
      </c>
      <c r="B1213" s="24" t="inlineStr">
        <is>
          <t>2018-08-03</t>
        </is>
      </c>
      <c r="C1213" s="25">
        <f>HYPERLINK("https://vk.com/wall-1825701_3628", "Открыть пост")</f>
        <v/>
      </c>
      <c r="D1213" s="26" t="inlineStr">
        <is>
          <t>Выездные лагеря, дача и сезонные программы</t>
        </is>
      </c>
      <c r="E1213" s="26" t="inlineStr">
        <is>
          <t>Выездные лагеря, дача и сезонные программы; Творческие мастер-классы и художественные студии</t>
        </is>
      </c>
      <c r="F1213" s="26" t="inlineStr">
        <is>
          <t>Подопечные фонда «Дети Марии» (общая группа детей и подростков)</t>
        </is>
      </c>
      <c r="G1213" s="26" t="inlineStr">
        <is>
          <t>Студия фонда / выездная площадка</t>
        </is>
      </c>
      <c r="H1213" s="26" t="inlineStr">
        <is>
          <t>Мобильность, выездное сопровождение и автоволонтёрство; Медиа, фото/видеосъёмка и культурная медиация</t>
        </is>
      </c>
      <c r="I1213" s="27" t="inlineStr">
        <is>
          <t>По формату занятия</t>
        </is>
      </c>
      <c r="J1213" s="26" t="inlineStr">
        <is>
          <t>А для артистичных ребят в лагере был мастер-класс по съёмкам фильма. От начала до конца — от придумывания сюжета, выбора образа и костюма, до собственно съёмок и даже монтажа — всё в один день! Это мастерская волшебных Аси Сегалович и Ани Елисеевой. Фильмы тоже покажем в скором в...</t>
        </is>
      </c>
    </row>
    <row r="1214" ht="30" customHeight="1">
      <c r="A1214" s="28" t="n">
        <v>3627</v>
      </c>
      <c r="B1214" s="29" t="inlineStr">
        <is>
          <t>2018-08-03</t>
        </is>
      </c>
      <c r="C1214" s="30">
        <f>HYPERLINK("https://vk.com/wall-1825701_3627", "Открыть пост")</f>
        <v/>
      </c>
      <c r="D1214" s="31" t="inlineStr">
        <is>
          <t>Выездные лагеря, дача и сезонные программы</t>
        </is>
      </c>
      <c r="E1214" s="31" t="inlineStr">
        <is>
          <t>Выездные лагеря, дача и сезонные программы</t>
        </is>
      </c>
      <c r="F1214" s="31" t="inlineStr">
        <is>
          <t>Подопечные фонда «Дети Марии» (общая группа детей и подростков)</t>
        </is>
      </c>
      <c r="G1214" s="31" t="inlineStr">
        <is>
          <t>Студия фонда / выездная площадка</t>
        </is>
      </c>
      <c r="H1214" s="31" t="inlineStr">
        <is>
          <t>Мобильность, выездное сопровождение и автоволонтёрство</t>
        </is>
      </c>
      <c r="I1214" s="32" t="inlineStr">
        <is>
          <t>По формату занятия</t>
        </is>
      </c>
      <c r="J1214" s="31" t="inlineStr">
        <is>
          <t>Ещё одна стекольная мастерская в лагере — витражи в технике Тиффанни — для аккуратных и настойчивых. Там всё серьёзно — работа на станке, паяльник, кусачки. И вели занятия серьёзные люди — Ира Скимбаторь, Машель, Дима Пономарёв.</t>
        </is>
      </c>
    </row>
    <row r="1215" ht="30" customHeight="1">
      <c r="A1215" s="23" t="n">
        <v>3626</v>
      </c>
      <c r="B1215" s="24" t="inlineStr">
        <is>
          <t>2018-08-03</t>
        </is>
      </c>
      <c r="C1215" s="25">
        <f>HYPERLINK("https://vk.com/wall-1825701_3626", "Открыть пост")</f>
        <v/>
      </c>
      <c r="D1215" s="26" t="inlineStr">
        <is>
          <t>Творческие мастер-классы и художественные студии</t>
        </is>
      </c>
      <c r="E1215" s="26" t="inlineStr">
        <is>
          <t>Творческие мастер-классы и художественные студии</t>
        </is>
      </c>
      <c r="F1215" s="26" t="inlineStr">
        <is>
          <t>Подопечные фонда «Дети Марии» (общая группа детей и подростков)</t>
        </is>
      </c>
      <c r="G1215" s="26" t="inlineStr">
        <is>
          <t>Студия фонда / выездная площадка</t>
        </is>
      </c>
      <c r="H1215" s="26" t="inlineStr">
        <is>
          <t>Коммуникативные навыки, эмпатия и тьюторское сопровождение</t>
        </is>
      </c>
      <c r="I1215" s="27" t="inlineStr">
        <is>
          <t>По формату занятия</t>
        </is>
      </c>
      <c r="J1215" s="26" t="inlineStr">
        <is>
          <t>С Галей Петровой ребята декорировали стеклянные подсвечники. Это любимый и традиционный мастер-класс, но в этом году Галя решила использовать для декора растения. Получилось красиво и необычно!</t>
        </is>
      </c>
    </row>
    <row r="1216" ht="30" customHeight="1">
      <c r="A1216" s="28" t="n">
        <v>3625</v>
      </c>
      <c r="B1216" s="29" t="inlineStr">
        <is>
          <t>2018-08-01</t>
        </is>
      </c>
      <c r="C1216" s="30">
        <f>HYPERLINK("https://vk.com/wall-1825701_3625", "Открыть пост")</f>
        <v/>
      </c>
      <c r="D1216" s="31" t="inlineStr">
        <is>
          <t>Творческие мастер-классы и художественные студии</t>
        </is>
      </c>
      <c r="E1216" s="31" t="inlineStr">
        <is>
          <t>Творческие мастер-классы и художественные студии; Выездные лагеря, дача и сезонные программы</t>
        </is>
      </c>
      <c r="F1216" s="31" t="inlineStr">
        <is>
          <t>Подопечные фонда «Дети Марии» (общая группа детей и подростков)</t>
        </is>
      </c>
      <c r="G1216" s="31" t="inlineStr">
        <is>
          <t>Студия фонда / выездная площадка</t>
        </is>
      </c>
      <c r="H1216" s="31" t="inlineStr">
        <is>
          <t>Художественно-прикладные и ремесленные навыки; Мобильность, выездное сопровождение и автоволонтёрство</t>
        </is>
      </c>
      <c r="I1216" s="32" t="inlineStr">
        <is>
          <t>По формату занятия</t>
        </is>
      </c>
      <c r="J1216" s="31" t="inlineStr">
        <is>
          <t>Мастер-классы по батику были в лагере сразу в двух видах. Холодный батик вела Ирина Свистова, а горячий — Даша Каменская. В технике холодного батика нарисовали много работ, а в технике горячего — одну, но большую. И все — очень красивые, летние, цветастые и цветочные!</t>
        </is>
      </c>
    </row>
    <row r="1217" ht="30" customHeight="1">
      <c r="A1217" s="23" t="n">
        <v>3623</v>
      </c>
      <c r="B1217" s="24" t="inlineStr">
        <is>
          <t>2018-08-01</t>
        </is>
      </c>
      <c r="C1217" s="25">
        <f>HYPERLINK("https://vk.com/wall-1825701_3623", "Открыть пост")</f>
        <v/>
      </c>
      <c r="D1217" s="26" t="inlineStr">
        <is>
          <t>Творческие мастер-классы и художественные студии</t>
        </is>
      </c>
      <c r="E1217" s="26" t="inlineStr">
        <is>
          <t>Творческие мастер-классы и художественные студии; Выездные лагеря, дача и сезонные программы</t>
        </is>
      </c>
      <c r="F1217" s="26" t="inlineStr">
        <is>
          <t>Подопечные фонда «Дети Марии» (общая группа детей и подростков)</t>
        </is>
      </c>
      <c r="G1217" s="26" t="inlineStr">
        <is>
          <t>Студия фонда / выездная площадка</t>
        </is>
      </c>
      <c r="H1217" s="26" t="inlineStr">
        <is>
          <t>Художественно-прикладные и ремесленные навыки; Мобильность, выездное сопровождение и автоволонтёрство</t>
        </is>
      </c>
      <c r="I1217" s="27" t="inlineStr">
        <is>
          <t>По формату занятия</t>
        </is>
      </c>
      <c r="J1217" s="26" t="inlineStr">
        <is>
          <t>Особо хочется рассказать о мастер-классах Леонида Свистова. Леонид был у нас впервые, но его столярная мастерская сразу обрела верных поклонников и среди мальчишек, и среди девочек, и даже среди взрослых. Шутка ли — ведь можно своими руками вырезать из дерева всё, что захочешь — ...</t>
        </is>
      </c>
    </row>
    <row r="1218" ht="30" customHeight="1">
      <c r="A1218" s="28" t="n">
        <v>3622</v>
      </c>
      <c r="B1218" s="29" t="inlineStr">
        <is>
          <t>2018-07-31</t>
        </is>
      </c>
      <c r="C1218" s="30">
        <f>HYPERLINK("https://vk.com/wall-1825701_3622", "Открыть пост")</f>
        <v/>
      </c>
      <c r="D1218" s="31" t="inlineStr">
        <is>
          <t>Творческие мастер-классы и художественные студии</t>
        </is>
      </c>
      <c r="E1218" s="31" t="inlineStr">
        <is>
          <t>Творческие мастер-классы и художественные студии; Выездные лагеря, дача и сезонные программы</t>
        </is>
      </c>
      <c r="F1218" s="31" t="inlineStr">
        <is>
          <t>Подопечные фонда «Дети Марии» (общая группа детей и подростков)</t>
        </is>
      </c>
      <c r="G1218" s="31" t="inlineStr">
        <is>
          <t>Студия фонда / выездная площадка</t>
        </is>
      </c>
      <c r="H1218" s="31" t="inlineStr">
        <is>
          <t>Художественно-прикладные и ремесленные навыки; Мобильность, выездное сопровождение и автоволонтёрство</t>
        </is>
      </c>
      <c r="I1218" s="32" t="inlineStr">
        <is>
          <t>По формату занятия</t>
        </is>
      </c>
      <c r="J1218" s="31" t="inlineStr">
        <is>
          <t>Рисование коллективной картины — это традиционное и для студии, и для лагеря и всеми любимое занятие. Ведь независимо от способностей и навыков, каждый может внести свой вклад в неё, а у всех вместе обязательно получится красиво! Мастер-класс по картине проводили чудесные художни...</t>
        </is>
      </c>
    </row>
    <row r="1219" ht="30" customHeight="1">
      <c r="A1219" s="23" t="n">
        <v>3621</v>
      </c>
      <c r="B1219" s="24" t="inlineStr">
        <is>
          <t>2018-07-31</t>
        </is>
      </c>
      <c r="C1219" s="25">
        <f>HYPERLINK("https://vk.com/wall-1825701_3621", "Открыть пост")</f>
        <v/>
      </c>
      <c r="D1219" s="26" t="inlineStr">
        <is>
          <t>Творческие мастер-классы и художественные студии</t>
        </is>
      </c>
      <c r="E1219" s="26" t="inlineStr">
        <is>
          <t>Творческие мастер-классы и художественные студии; Выездные лагеря, дача и сезонные программы; Выставки, экскурсии и культурные выходы</t>
        </is>
      </c>
      <c r="F1219" s="26" t="inlineStr">
        <is>
          <t>Подопечные фонда «Дети Марии» (общая группа детей и подростков)</t>
        </is>
      </c>
      <c r="G1219" s="26" t="inlineStr">
        <is>
          <t>Студия фонда / выездная площадка</t>
        </is>
      </c>
      <c r="H1219" s="26" t="inlineStr">
        <is>
          <t>Художественно-прикладные и ремесленные навыки; Мобильность, выездное сопровождение и автоволонтёрство</t>
        </is>
      </c>
      <c r="I1219" s="27" t="inlineStr">
        <is>
          <t>Да (в тексте)</t>
        </is>
      </c>
      <c r="J1219" s="26" t="inlineStr">
        <is>
          <t>Расскажем подробнее о ежедневных мастер-классах в лагере. Художница Вика Басина — наш давний друг и волонтёр. Сейчас Вика живёт в США, но приехала в наш лагерь вместе с дочкой Евой и проводила занятия по мозаике. Два больших панно и несколько маленьких сделали ребята на её заняти...</t>
        </is>
      </c>
    </row>
    <row r="1220" ht="30" customHeight="1">
      <c r="A1220" s="28" t="n">
        <v>3620</v>
      </c>
      <c r="B1220" s="29" t="inlineStr">
        <is>
          <t>2018-07-30</t>
        </is>
      </c>
      <c r="C1220" s="30">
        <f>HYPERLINK("https://vk.com/wall-1825701_3620", "Открыть пост")</f>
        <v/>
      </c>
      <c r="D1220" s="31" t="inlineStr">
        <is>
          <t>Выездные лагеря, дача и сезонные программы</t>
        </is>
      </c>
      <c r="E1220" s="31" t="inlineStr">
        <is>
          <t>Выездные лагеря, дача и сезонные программы</t>
        </is>
      </c>
      <c r="F1220" s="31" t="inlineStr">
        <is>
          <t>Подопечные фонда «Дети Марии» (общая группа детей и подростков)</t>
        </is>
      </c>
      <c r="G1220" s="31" t="inlineStr">
        <is>
          <t>Студия фонда / выездная площадка</t>
        </is>
      </c>
      <c r="H1220" s="31" t="inlineStr">
        <is>
          <t>Мобильность, выездное сопровождение и автоволонтёрство; Медиа, фото/видеосъёмка и культурная медиация</t>
        </is>
      </c>
      <c r="I1220" s="32" t="inlineStr">
        <is>
          <t>По формату занятия</t>
        </is>
      </c>
      <c r="J1220" s="31" t="inlineStr">
        <is>
          <t>В лагере дети и взрослые получают в подарок свои портреты от известных фотографов Оксаны Юшко и Артура Бондаря (у нас они, правда, больше известны как мамаслон и папаслон). Стиль фотосессии Оксана и Артур каждый год предлагают новый. На этот раз — пижама-пати! Оксана и Артур: «Чт...</t>
        </is>
      </c>
    </row>
    <row r="1221" ht="30" customHeight="1">
      <c r="A1221" s="23" t="n">
        <v>3618</v>
      </c>
      <c r="B1221" s="24" t="inlineStr">
        <is>
          <t>2018-07-30</t>
        </is>
      </c>
      <c r="C1221" s="25">
        <f>HYPERLINK("https://vk.com/wall-1825701_3618", "Открыть пост")</f>
        <v/>
      </c>
      <c r="D1221" s="26" t="inlineStr">
        <is>
          <t>Выездные лагеря, дача и сезонные программы</t>
        </is>
      </c>
      <c r="E1221" s="26" t="inlineStr">
        <is>
          <t>Выездные лагеря, дача и сезонные программы</t>
        </is>
      </c>
      <c r="F1221" s="26" t="inlineStr">
        <is>
          <t>Подопечные фонда «Дети Марии» (общая группа детей и подростков)</t>
        </is>
      </c>
      <c r="G1221" s="26" t="inlineStr">
        <is>
          <t>Студия фонда / выездная площадка</t>
        </is>
      </c>
      <c r="H1221" s="26" t="inlineStr">
        <is>
          <t>Организационные, ивент- и ярмарочные навыки; Мобильность, выездное сопровождение и автоволонтёрство</t>
        </is>
      </c>
      <c r="I1221" s="27" t="inlineStr">
        <is>
          <t>По формату занятия</t>
        </is>
      </c>
      <c r="J1221" s="26" t="inlineStr">
        <is>
          <t>Есть у нас такая примета: если в лагерь приехал Олег Фогель — значит вечером будет салют. Ни разу не ошиблись! Спасибо, Олег, за этот праздник в небе!</t>
        </is>
      </c>
    </row>
    <row r="1222" ht="30" customHeight="1">
      <c r="A1222" s="28" t="n">
        <v>3617</v>
      </c>
      <c r="B1222" s="29" t="inlineStr">
        <is>
          <t>2018-07-30</t>
        </is>
      </c>
      <c r="C1222" s="30">
        <f>HYPERLINK("https://vk.com/wall-1825701_3617", "Открыть пост")</f>
        <v/>
      </c>
      <c r="D1222" s="31" t="inlineStr">
        <is>
          <t>Выездные лагеря, дача и сезонные программы</t>
        </is>
      </c>
      <c r="E1222" s="31" t="inlineStr">
        <is>
          <t>Выездные лагеря, дача и сезонные программы</t>
        </is>
      </c>
      <c r="F1222" s="31" t="inlineStr">
        <is>
          <t>Широкая аудитория, гости и благотворители (открытые события)</t>
        </is>
      </c>
      <c r="G1222" s="31" t="inlineStr">
        <is>
          <t>Студия фонда / выездная площадка</t>
        </is>
      </c>
      <c r="H1222" s="31" t="inlineStr">
        <is>
          <t>Артистические, музыкальные и спортивно-игровые навыки; Педагогические и наставнические навыки (кулинария, быт, учёба); Мобильность, выездное сопровождение и автоволонтёрство</t>
        </is>
      </c>
      <c r="I1222" s="32" t="inlineStr">
        <is>
          <t>Да (в тексте)</t>
        </is>
      </c>
      <c r="J1222" s="31" t="inlineStr">
        <is>
          <t>А после театра наши встречи с прекрасным продолжились — в лагере прошел Вечер поэзии. Все желающие могли почитать публике свои любимые стихи. Звучали стихи на русском, английском, испанском, армянском языках. Поэтический вечер в нашем лагере — традиция новая, завёл её Лёша Ждамир...</t>
        </is>
      </c>
    </row>
    <row r="1223" ht="30" customHeight="1">
      <c r="A1223" s="23" t="n">
        <v>3616</v>
      </c>
      <c r="B1223" s="24" t="inlineStr">
        <is>
          <t>2018-07-29</t>
        </is>
      </c>
      <c r="C1223" s="25">
        <f>HYPERLINK("https://vk.com/wall-1825701_3616", "Открыть пост")</f>
        <v/>
      </c>
      <c r="D1223" s="26" t="inlineStr">
        <is>
          <t>Спектакли, концерты и музыкально-театральные занятия</t>
        </is>
      </c>
      <c r="E1223" s="26" t="inlineStr">
        <is>
          <t>Спектакли, концерты и музыкально-театральные занятия; Выездные лагеря, дача и сезонные программы</t>
        </is>
      </c>
      <c r="F1223" s="26" t="inlineStr">
        <is>
          <t>Подопечные фонда «Дети Марии» (общая группа детей и подростков)</t>
        </is>
      </c>
      <c r="G1223" s="26" t="inlineStr">
        <is>
          <t>Студия фонда / выездная площадка</t>
        </is>
      </c>
      <c r="H1223" s="26" t="inlineStr">
        <is>
          <t>Артистические, музыкальные и спортивно-игровые навыки; Мобильность, выездное сопровождение и автоволонтёрство</t>
        </is>
      </c>
      <c r="I1223" s="27" t="inlineStr">
        <is>
          <t>По формату занятия</t>
        </is>
      </c>
      <c r="J1223" s="26" t="inlineStr">
        <is>
          <t>Наш лагерь закончился. Каждый день был так насыщен событиями, что на онлайн не оставалось времени) Зато теперь расскажем обо всём подробно! В «Театре с колёс» — традиционном для нас формате импровизированного спектакля — в этом году была сказка «Варвара-краса, длинная коса». Семь...</t>
        </is>
      </c>
    </row>
    <row r="1224" ht="30" customHeight="1">
      <c r="A1224" s="28" t="n">
        <v>3610</v>
      </c>
      <c r="B1224" s="29" t="inlineStr">
        <is>
          <t>2018-07-22</t>
        </is>
      </c>
      <c r="C1224" s="30">
        <f>HYPERLINK("https://vk.com/wall-1825701_3610", "Открыть пост")</f>
        <v/>
      </c>
      <c r="D1224" s="31" t="inlineStr">
        <is>
          <t>Выездные лагеря, дача и сезонные программы</t>
        </is>
      </c>
      <c r="E1224" s="31" t="inlineStr">
        <is>
          <t>Выездные лагеря, дача и сезонные программы</t>
        </is>
      </c>
      <c r="F1224" s="31" t="inlineStr">
        <is>
          <t>Подопечные фонда «Дети Марии» (общая группа детей и подростков)</t>
        </is>
      </c>
      <c r="G1224" s="31" t="inlineStr">
        <is>
          <t>Студия фонда / выездная площадка</t>
        </is>
      </c>
      <c r="H1224" s="31" t="inlineStr">
        <is>
          <t>Артистические, музыкальные и спортивно-игровые навыки; Мобильность, выездное сопровождение и автоволонтёрство</t>
        </is>
      </c>
      <c r="I1224" s="32" t="inlineStr">
        <is>
          <t>По формату занятия</t>
        </is>
      </c>
      <c r="J1224" s="31" t="inlineStr">
        <is>
          <t>На другой день после армянского вечера в летнем лагере уже традиционный — осетинский. С осетинскими танцами и осетинскими пирогами. Танцуют все! (Пироги тоже обожают все)</t>
        </is>
      </c>
    </row>
    <row r="1225" ht="30" customHeight="1">
      <c r="A1225" s="23" t="n">
        <v>3609</v>
      </c>
      <c r="B1225" s="24" t="inlineStr">
        <is>
          <t>2018-07-21</t>
        </is>
      </c>
      <c r="C1225" s="25">
        <f>HYPERLINK("https://vk.com/wall-1825701_3609", "Открыть пост")</f>
        <v/>
      </c>
      <c r="D1225" s="26" t="inlineStr">
        <is>
          <t>Выездные лагеря, дача и сезонные программы</t>
        </is>
      </c>
      <c r="E1225" s="26" t="inlineStr">
        <is>
          <t>Выездные лагеря, дача и сезонные программы</t>
        </is>
      </c>
      <c r="F1225" s="26" t="inlineStr">
        <is>
          <t>Подростки и взрослые с ментальными особенностями и ОВЗ (ПНИ / Социальные дома)</t>
        </is>
      </c>
      <c r="G1225" s="26" t="inlineStr">
        <is>
          <t>Студия фонда / выездная площадка</t>
        </is>
      </c>
      <c r="H1225" s="26" t="inlineStr">
        <is>
          <t>Артистические, музыкальные и спортивно-игровые навыки; Организационные, ивент- и ярмарочные навыки; Мобильность, выездное сопровождение и автоволонтёрство</t>
        </is>
      </c>
      <c r="I1225" s="27" t="inlineStr">
        <is>
          <t>По формату занятия</t>
        </is>
      </c>
      <c r="J1225" s="26" t="inlineStr">
        <is>
          <t>В этом году впервые в нашем лагере гости из Армении, из благотворительной организации «Тёплый очаг». Двое сотрудников и четверо подопечных — взрослых с ментальными нарушениями. А значит, у нас звучат армянские песни, танцуют армянские танцы. И любимый наш способ знакомства с куль...</t>
        </is>
      </c>
    </row>
    <row r="1226" ht="30" customHeight="1">
      <c r="A1226" s="28" t="n">
        <v>3599</v>
      </c>
      <c r="B1226" s="29" t="inlineStr">
        <is>
          <t>2018-07-19</t>
        </is>
      </c>
      <c r="C1226" s="30">
        <f>HYPERLINK("https://vk.com/wall-1825701_3599", "Открыть пост")</f>
        <v/>
      </c>
      <c r="D1226" s="31" t="inlineStr">
        <is>
          <t>Выездные лагеря, дача и сезонные программы</t>
        </is>
      </c>
      <c r="E1226" s="31" t="inlineStr">
        <is>
          <t>Выездные лагеря, дача и сезонные программы</t>
        </is>
      </c>
      <c r="F1226" s="31" t="inlineStr">
        <is>
          <t>Подопечные фонда «Дети Марии» (общая группа детей и подростков)</t>
        </is>
      </c>
      <c r="G1226" s="31" t="inlineStr">
        <is>
          <t>Студия фонда / выездная площадка</t>
        </is>
      </c>
      <c r="H1226" s="31" t="inlineStr">
        <is>
          <t>Организационные, ивент- и ярмарочные навыки; Мобильность, выездное сопровождение и автоволонтёрство</t>
        </is>
      </c>
      <c r="I1226" s="32" t="inlineStr">
        <is>
          <t>По формату занятия</t>
        </is>
      </c>
      <c r="J1226" s="31" t="inlineStr">
        <is>
          <t>В нашем лагере четыре семьи: Зебры, Львы, Слоны и Жирафы. Вчера Слоны пригласили Жирафов в гости на ужин. Гости — это всегда праздник, было весело, шумно, тесно, вкусно, душевно и напевно.</t>
        </is>
      </c>
    </row>
    <row r="1227" ht="30" customHeight="1">
      <c r="A1227" s="23" t="n">
        <v>3597</v>
      </c>
      <c r="B1227" s="24" t="inlineStr">
        <is>
          <t>2018-07-18</t>
        </is>
      </c>
      <c r="C1227" s="25">
        <f>HYPERLINK("https://vk.com/wall-1825701_3597", "Открыть пост")</f>
        <v/>
      </c>
      <c r="D1227" s="26" t="inlineStr">
        <is>
          <t>Творческие мастер-классы и художественные студии</t>
        </is>
      </c>
      <c r="E1227" s="26" t="inlineStr">
        <is>
          <t>Творческие мастер-классы и художественные студии; Выездные лагеря, дача и сезонные программы</t>
        </is>
      </c>
      <c r="F1227" s="26" t="inlineStr">
        <is>
          <t>Подопечные фонда «Дети Марии» (общая группа детей и подростков)</t>
        </is>
      </c>
      <c r="G1227" s="26" t="inlineStr">
        <is>
          <t>Студия фонда / выездная площадка</t>
        </is>
      </c>
      <c r="H1227" s="26" t="inlineStr">
        <is>
          <t>Художественно-прикладные и ремесленные навыки; Мобильность, выездное сопровождение и автоволонтёрство</t>
        </is>
      </c>
      <c r="I1227" s="27" t="inlineStr">
        <is>
          <t>Да (в тексте)</t>
        </is>
      </c>
      <c r="J1227" s="26" t="inlineStr">
        <is>
          <t>С утра и после обеда в лагере такое разнообразие мастер-классов, что выбрать порой непросто! Стекло и дерево, живопись и подсвечники, ритм и акробатика, батик и коллективная картина, съёмка фильма и эпоксидка, мозаика и картины из камней... Спасибо всем прекрасным волонтёрам, мы ...</t>
        </is>
      </c>
    </row>
    <row r="1228" ht="30" customHeight="1">
      <c r="A1228" s="28" t="n">
        <v>3596</v>
      </c>
      <c r="B1228" s="29" t="inlineStr">
        <is>
          <t>2018-07-18</t>
        </is>
      </c>
      <c r="C1228" s="30">
        <f>HYPERLINK("https://vk.com/wall-1825701_3596", "Открыть пост")</f>
        <v/>
      </c>
      <c r="D1228" s="31" t="inlineStr">
        <is>
          <t>Выездные лагеря, дача и сезонные программы</t>
        </is>
      </c>
      <c r="E1228" s="31" t="inlineStr">
        <is>
          <t>Выездные лагеря, дача и сезонные программы</t>
        </is>
      </c>
      <c r="F1228" s="31" t="inlineStr">
        <is>
          <t>Подростки и взрослые с ментальными особенностями и ОВЗ (ПНИ / Социальные дома); Воспитанники ЦССВ, ДДИ и детских домов-интернатов; Дети и семьи (в т.ч. приёмные семьи и программа в Беслане)</t>
        </is>
      </c>
      <c r="G1228" s="31" t="inlineStr">
        <is>
          <t>Беслан</t>
        </is>
      </c>
      <c r="H1228" s="31" t="inlineStr">
        <is>
          <t>Артистические, музыкальные и спортивно-игровые навыки; Мобильность, выездное сопровождение и автоволонтёрство</t>
        </is>
      </c>
      <c r="I1228" s="32" t="inlineStr">
        <is>
          <t>Да (в тексте)</t>
        </is>
      </c>
      <c r="J1228" s="31" t="inlineStr">
        <is>
          <t>Третий день продолжается лагерь «Наша семейка». С нами дети из детских домов подмосковных Филимонок и города Моздока, взрослые из московских ПНИ и Армении, волонтёры из Москвы, Беслана, США, Дании, Мексики. Солнце, озеро, лодки, купание, игры.</t>
        </is>
      </c>
    </row>
    <row r="1229" ht="30" customHeight="1">
      <c r="A1229" s="23" t="n">
        <v>3594</v>
      </c>
      <c r="B1229" s="24" t="inlineStr">
        <is>
          <t>2018-07-15</t>
        </is>
      </c>
      <c r="C1229" s="25">
        <f>HYPERLINK("https://vk.com/wall-1825701_3594", "Открыть пост")</f>
        <v/>
      </c>
      <c r="D1229" s="26" t="inlineStr">
        <is>
          <t>Выездные лагеря, дача и сезонные программы</t>
        </is>
      </c>
      <c r="E1229" s="26" t="inlineStr">
        <is>
          <t>Выездные лагеря, дача и сезонные программы; Кулинарные, образовательные и социально-бытовые занятия</t>
        </is>
      </c>
      <c r="F1229" s="26" t="inlineStr">
        <is>
          <t>Подопечные фонда «Дети Марии» (общая группа детей и подростков)</t>
        </is>
      </c>
      <c r="G1229" s="26" t="inlineStr">
        <is>
          <t>Сорочанах</t>
        </is>
      </c>
      <c r="H1229" s="26" t="inlineStr">
        <is>
          <t>Коммуникативные навыки, эмпатия и тьюторское сопровождение; Мобильность, выездное сопровождение и автоволонтёрство</t>
        </is>
      </c>
      <c r="I1229" s="27" t="inlineStr">
        <is>
          <t>Да (в тексте)</t>
        </is>
      </c>
      <c r="J1229" s="26" t="inlineStr">
        <is>
          <t>Начинается наш летний лагерь в Сорочанах. Прямо сейчас проходит интерактивный семинар для волонтёров с детским психологом Александром Колмановским. Завтра к нам приедут дети!</t>
        </is>
      </c>
    </row>
    <row r="1230" ht="30" customHeight="1">
      <c r="A1230" s="28" t="n">
        <v>3588</v>
      </c>
      <c r="B1230" s="29" t="inlineStr">
        <is>
          <t>2018-07-06</t>
        </is>
      </c>
      <c r="C1230" s="30">
        <f>HYPERLINK("https://vk.com/wall-1825701_3588", "Открыть пост")</f>
        <v/>
      </c>
      <c r="D1230" s="31" t="inlineStr">
        <is>
          <t>Творческие мастер-классы и художественные студии</t>
        </is>
      </c>
      <c r="E1230" s="31" t="inlineStr">
        <is>
          <t>Творческие мастер-классы и художественные студии; Выставки, экскурсии и культурные выходы</t>
        </is>
      </c>
      <c r="F1230" s="31" t="inlineStr">
        <is>
          <t>Подростки и взрослые с ментальными особенностями и ОВЗ (ПНИ / Социальные дома)</t>
        </is>
      </c>
      <c r="G1230" s="31" t="inlineStr">
        <is>
          <t>Студия фонда / выездная площадка</t>
        </is>
      </c>
      <c r="H1230" s="31" t="inlineStr">
        <is>
          <t>Художественно-прикладные и ремесленные навыки; Организационные, ивент- и ярмарочные навыки; Мобильность, выездное сопровождение и автоволонтёрство</t>
        </is>
      </c>
      <c r="I1230" s="32" t="inlineStr">
        <is>
          <t>По формату занятия</t>
        </is>
      </c>
      <c r="J1230" s="31" t="inlineStr">
        <is>
          <t>А у нас сегодня праздник — День лошади! Ребята из ПНИ 16 в парке Кузьминки побывали на экскурсии в конюшне, знакомились с лошадьми, гладили их (особенно в восторге от такой возможности незрячий Андрей), а потом на мастер-классе делали бумажных лошадок в технике оригами. Спасибо п...</t>
        </is>
      </c>
    </row>
    <row r="1231" ht="30" customHeight="1">
      <c r="A1231" s="23" t="n">
        <v>3586</v>
      </c>
      <c r="B1231" s="24" t="inlineStr">
        <is>
          <t>2018-07-05</t>
        </is>
      </c>
      <c r="C1231" s="25">
        <f>HYPERLINK("https://vk.com/wall-1825701_3586", "Открыть пост")</f>
        <v/>
      </c>
      <c r="D1231" s="26" t="inlineStr">
        <is>
          <t>Ярмарки, фестивали и благотворительные базары</t>
        </is>
      </c>
      <c r="E1231" s="26" t="inlineStr">
        <is>
          <t>Ярмарки, фестивали и благотворительные базары</t>
        </is>
      </c>
      <c r="F1231" s="26" t="inlineStr">
        <is>
          <t>Подопечные фонда «Дети Марии» (общая группа детей и подростков)</t>
        </is>
      </c>
      <c r="G1231" s="26" t="inlineStr">
        <is>
          <t>Студия фонда / выездная площадка</t>
        </is>
      </c>
      <c r="H1231" s="26" t="inlineStr">
        <is>
          <t>Организационные, ивент- и ярмарочные навыки</t>
        </is>
      </c>
      <c r="I1231" s="27" t="inlineStr">
        <is>
          <t>По формату занятия</t>
        </is>
      </c>
      <c r="J1231" s="26" t="inlineStr">
        <is>
          <t>Герой аукциона Meet For Charity – создатель «Подъёжиков», старший партнёр «Atlanty Group» и учредитель бизнес-форума «Атланты» Михаил Воронин! За 15 лет работы организовал больше двух тысяч корпоративных мероприятий. В 2015 основал «Atlanty Group», которая проводит масштабные биз...</t>
        </is>
      </c>
    </row>
    <row r="1232" ht="30" customHeight="1">
      <c r="A1232" s="28" t="n">
        <v>3579</v>
      </c>
      <c r="B1232" s="29" t="inlineStr">
        <is>
          <t>2018-07-02</t>
        </is>
      </c>
      <c r="C1232" s="30">
        <f>HYPERLINK("https://vk.com/wall-1825701_3579", "Открыть пост")</f>
        <v/>
      </c>
      <c r="D1232" s="31" t="inlineStr">
        <is>
          <t>Творческие мастер-классы и художественные студии</t>
        </is>
      </c>
      <c r="E1232" s="31" t="inlineStr">
        <is>
          <t>Творческие мастер-классы и художественные студии</t>
        </is>
      </c>
      <c r="F1232" s="31" t="inlineStr">
        <is>
          <t>Подростки и взрослые с ментальными особенностями и ОВЗ (ПНИ / Социальные дома)</t>
        </is>
      </c>
      <c r="G1232" s="31" t="inlineStr">
        <is>
          <t>Студия фонда / выездная площадка</t>
        </is>
      </c>
      <c r="H1232" s="31" t="inlineStr">
        <is>
          <t>Художественно-прикладные и ремесленные навыки</t>
        </is>
      </c>
      <c r="I1232" s="32" t="inlineStr">
        <is>
          <t>По формату занятия</t>
        </is>
      </c>
      <c r="J1232" s="31" t="inlineStr">
        <is>
          <t>Сегодняшнее занятие живописью с ребятами из ПНИ 11 называлось «Летний авангард» — каждый рисовал цвета своей одежды, в которой приехал, в стиле авангардиста Марка Ротко — оказалось, все мы такие яркие и авангардные! А на валянии две новеньких девушки, первый раз в студии, но осво...</t>
        </is>
      </c>
    </row>
    <row r="1233" ht="30" customHeight="1">
      <c r="A1233" s="23" t="n">
        <v>3575</v>
      </c>
      <c r="B1233" s="24" t="inlineStr">
        <is>
          <t>2018-06-29</t>
        </is>
      </c>
      <c r="C1233" s="25">
        <f>HYPERLINK("https://vk.com/wall-1825701_3575", "Открыть пост")</f>
        <v/>
      </c>
      <c r="D1233" s="26" t="inlineStr">
        <is>
          <t>Выставки, экскурсии и культурные выходы</t>
        </is>
      </c>
      <c r="E1233" s="26" t="inlineStr">
        <is>
          <t>Выставки, экскурсии и культурные выходы; Творческие мастер-классы и художественные студии</t>
        </is>
      </c>
      <c r="F1233" s="26" t="inlineStr">
        <is>
          <t>Подростки и взрослые с ментальными особенностями и ОВЗ (ПНИ / Социальные дома)</t>
        </is>
      </c>
      <c r="G1233" s="26" t="inlineStr">
        <is>
          <t>Студия фонда / выездная площадка</t>
        </is>
      </c>
      <c r="H1233" s="26" t="inlineStr">
        <is>
          <t>Художественно-прикладные и ремесленные навыки; Артистические, музыкальные и спортивно-игровые навыки; Мобильность, выездное сопровождение и автоволонтёрство</t>
        </is>
      </c>
      <c r="I1233" s="27" t="inlineStr">
        <is>
          <t>По формату занятия</t>
        </is>
      </c>
      <c r="J1233" s="26" t="inlineStr">
        <is>
          <t>Сегодня нас пригласили на церемонию награждения конкурса «Дадим шар земной детям» в галерею «Яблоко» Зураба Церетели. Получать призы поехали ребята из ПНИ 16 с художницей Наташей Пушкиной. Помимо диплома за коллектиные панно ребята ещё получили по огромному набору для рисования (...</t>
        </is>
      </c>
    </row>
    <row r="1234" ht="30" customHeight="1">
      <c r="A1234" s="28" t="n">
        <v>3570</v>
      </c>
      <c r="B1234" s="29" t="inlineStr">
        <is>
          <t>2018-06-25</t>
        </is>
      </c>
      <c r="C1234" s="30">
        <f>HYPERLINK("https://vk.com/wall-1825701_3570", "Открыть пост")</f>
        <v/>
      </c>
      <c r="D1234" s="31" t="inlineStr">
        <is>
          <t>Праздники, дни рождения и клубные встречи</t>
        </is>
      </c>
      <c r="E1234" s="31" t="inlineStr">
        <is>
          <t>Праздники, дни рождения и клубные встречи</t>
        </is>
      </c>
      <c r="F1234" s="31" t="inlineStr">
        <is>
          <t>Подопечные фонда «Дети Марии» (общая группа детей и подростков)</t>
        </is>
      </c>
      <c r="G1234" s="31" t="inlineStr">
        <is>
          <t>Студия фонда / выездная площадка</t>
        </is>
      </c>
      <c r="H1234" s="31" t="inlineStr">
        <is>
          <t>Организационные, ивент- и ярмарочные навыки</t>
        </is>
      </c>
      <c r="I1234" s="32" t="inlineStr">
        <is>
          <t>По формату занятия</t>
        </is>
      </c>
      <c r="J1234" s="31" t="inlineStr">
        <is>
          <t>А после занятия — чаепитие тоже праздничное. Сегодня день рождения у Лёши Строева. По хорошей студийной традиции он и занятие провёл в свой день рождения, и тортиками ребят угощали. Лёша, поздравляем и любим!</t>
        </is>
      </c>
    </row>
    <row r="1235" ht="30" customHeight="1">
      <c r="A1235" s="23" t="n">
        <v>3557</v>
      </c>
      <c r="B1235" s="24" t="inlineStr">
        <is>
          <t>2018-06-18</t>
        </is>
      </c>
      <c r="C1235" s="25">
        <f>HYPERLINK("https://vk.com/wall-1825701_3557", "Открыть пост")</f>
        <v/>
      </c>
      <c r="D1235" s="26" t="inlineStr">
        <is>
          <t>Творческие мастер-классы и художественные студии</t>
        </is>
      </c>
      <c r="E1235" s="26" t="inlineStr">
        <is>
          <t>Творческие мастер-классы и художественные студии; Кулинарные, образовательные и социально-бытовые занятия</t>
        </is>
      </c>
      <c r="F1235" s="26" t="inlineStr">
        <is>
          <t>Подростки и взрослые с ментальными особенностями и ОВЗ (ПНИ / Социальные дома)</t>
        </is>
      </c>
      <c r="G1235" s="26" t="inlineStr">
        <is>
          <t>Студия фонда / выездная площадка</t>
        </is>
      </c>
      <c r="H1235" s="26" t="inlineStr">
        <is>
          <t>Коммуникативные навыки, эмпатия и тьюторское сопровождение; Педагогические и наставнические навыки (кулинария, быт, учёба)</t>
        </is>
      </c>
      <c r="I1235" s="27" t="inlineStr">
        <is>
          <t>Да (в тексте)</t>
        </is>
      </c>
      <c r="J1235" s="26" t="inlineStr">
        <is>
          <t>В международной компании AbbVie каждый год проходит неделя волонтёрских возможностей. И четвёртый раз московские сотрудники компании проводят для наших ребят грандиозный кулинарный мастер-класс. В этом году повезло молодёжи из ПНИ 11. Капкейки благодаря стараниям гостей и ребят п...</t>
        </is>
      </c>
    </row>
    <row r="1236" ht="30" customHeight="1">
      <c r="A1236" s="28" t="n">
        <v>3555</v>
      </c>
      <c r="B1236" s="29" t="inlineStr">
        <is>
          <t>2018-06-16</t>
        </is>
      </c>
      <c r="C1236" s="30">
        <f>HYPERLINK("https://vk.com/wall-1825701_3555", "Открыть пост")</f>
        <v/>
      </c>
      <c r="D1236" s="31" t="inlineStr">
        <is>
          <t>Выездные лагеря, дача и сезонные программы</t>
        </is>
      </c>
      <c r="E1236" s="31" t="inlineStr">
        <is>
          <t>Выездные лагеря, дача и сезонные программы</t>
        </is>
      </c>
      <c r="F1236" s="31" t="inlineStr">
        <is>
          <t>Широкая аудитория, гости и благотворители (открытые события)</t>
        </is>
      </c>
      <c r="G1236" s="31" t="inlineStr">
        <is>
          <t>Студия фонда / выездная площадка</t>
        </is>
      </c>
      <c r="H1236" s="31" t="inlineStr">
        <is>
          <t>Артистические, музыкальные и спортивно-игровые навыки; Мобильность, выездное сопровождение и автоволонтёрство; Медиа, фото/видеосъёмка и культурная медиация</t>
        </is>
      </c>
      <c r="I1236" s="32" t="inlineStr">
        <is>
          <t>По формату занятия</t>
        </is>
      </c>
      <c r="J1236" s="31" t="inlineStr">
        <is>
          <t>(Начало истории в предыдущем посте) А когда дети пришли с прогулки, их ждал праздничный стол — родители напекли блинов, заказали пиццу, принесли всяких вкусных печенек! Каждый получил памятный диплом участника лагеря с фотографиями и небольшие игрушки в подарок. Расстаёмся до сен...</t>
        </is>
      </c>
    </row>
    <row r="1237" ht="30" customHeight="1">
      <c r="A1237" s="23" t="n">
        <v>3554</v>
      </c>
      <c r="B1237" s="24" t="inlineStr">
        <is>
          <t>2018-06-16</t>
        </is>
      </c>
      <c r="C1237" s="25">
        <f>HYPERLINK("https://vk.com/wall-1825701_3554", "Открыть пост")</f>
        <v/>
      </c>
      <c r="D1237" s="26" t="inlineStr">
        <is>
          <t>Выездные лагеря, дача и сезонные программы</t>
        </is>
      </c>
      <c r="E1237" s="26" t="inlineStr">
        <is>
          <t>Выездные лагеря, дача и сезонные программы; Творческие мастер-классы и художественные студии</t>
        </is>
      </c>
      <c r="F1237" s="26" t="inlineStr">
        <is>
          <t>Подопечные фонда «Дети Марии» (общая группа детей и подростков)</t>
        </is>
      </c>
      <c r="G1237" s="26" t="inlineStr">
        <is>
          <t>Студия фонда / выездная площадка</t>
        </is>
      </c>
      <c r="H1237" s="26" t="inlineStr">
        <is>
          <t>Художественно-прикладные и ремесленные навыки; Мобильность, выездное сопровождение и автоволонтёрство</t>
        </is>
      </c>
      <c r="I1237" s="27" t="inlineStr">
        <is>
          <t>По формату занятия</t>
        </is>
      </c>
      <c r="J1237" s="26" t="inlineStr">
        <is>
          <t>Закончился наш городской арт-лагерь. Вчера, в последний день, рисовали замки, некоторые с привидениями. Получилось у всех на свой лад и здорово! Заканчивали керамические работы и валяные — всем детям хотелось их забрать домой на память. Прогулка удалась на славу — большой мяч осо...</t>
        </is>
      </c>
    </row>
    <row r="1238" ht="30" customHeight="1">
      <c r="A1238" s="28" t="n">
        <v>3550</v>
      </c>
      <c r="B1238" s="29" t="inlineStr">
        <is>
          <t>2018-06-15</t>
        </is>
      </c>
      <c r="C1238" s="30">
        <f>HYPERLINK("https://vk.com/wall-1825701_3550", "Открыть пост")</f>
        <v/>
      </c>
      <c r="D1238" s="31" t="inlineStr">
        <is>
          <t>Выездные лагеря, дача и сезонные программы</t>
        </is>
      </c>
      <c r="E1238" s="31" t="inlineStr">
        <is>
          <t>Выездные лагеря, дача и сезонные программы; Творческие мастер-классы и художественные студии</t>
        </is>
      </c>
      <c r="F1238" s="31" t="inlineStr">
        <is>
          <t>Подопечные фонда «Дети Марии» (общая группа детей и подростков)</t>
        </is>
      </c>
      <c r="G1238" s="31" t="inlineStr">
        <is>
          <t>Студия фонда / выездная площадка</t>
        </is>
      </c>
      <c r="H1238" s="31" t="inlineStr">
        <is>
          <t>Мобильность, выездное сопровождение и автоволонтёрство</t>
        </is>
      </c>
      <c r="I1238" s="32" t="inlineStr">
        <is>
          <t>Да (в тексте)</t>
        </is>
      </c>
      <c r="J1238" s="31" t="inlineStr">
        <is>
          <t>В арт-лагере сегодня ещё был мастер-класс по актёрскому мастерству от волонтёра Кати Никитиной. Узнали, что для актёра важно: – развивали​ память и, одновременно, знакомились (у нас сегодня ещё новички пришли), – проверили внимательность и быстроту реакции, – попробовали ощутить ...</t>
        </is>
      </c>
    </row>
    <row r="1239" ht="30" customHeight="1">
      <c r="A1239" s="23" t="n">
        <v>3549</v>
      </c>
      <c r="B1239" s="24" t="inlineStr">
        <is>
          <t>2018-06-14</t>
        </is>
      </c>
      <c r="C1239" s="25">
        <f>HYPERLINK("https://vk.com/wall-1825701_3549", "Открыть пост")</f>
        <v/>
      </c>
      <c r="D1239" s="26" t="inlineStr">
        <is>
          <t>Творческие мастер-классы и художественные студии</t>
        </is>
      </c>
      <c r="E1239" s="26" t="inlineStr">
        <is>
          <t>Творческие мастер-классы и художественные студии; Выездные лагеря, дача и сезонные программы</t>
        </is>
      </c>
      <c r="F1239" s="26" t="inlineStr">
        <is>
          <t>Подопечные фонда «Дети Марии» (общая группа детей и подростков)</t>
        </is>
      </c>
      <c r="G1239" s="26" t="inlineStr">
        <is>
          <t>Студия фонда / выездная площадка</t>
        </is>
      </c>
      <c r="H1239" s="26" t="inlineStr">
        <is>
          <t>Художественно-прикладные и ремесленные навыки; Артистические, музыкальные и спортивно-игровые навыки; Мобильность, выездное сопровождение и автоволонтёрство</t>
        </is>
      </c>
      <c r="I1239" s="27" t="inlineStr">
        <is>
          <t>По формату занятия</t>
        </is>
      </c>
      <c r="J1239" s="26" t="inlineStr">
        <is>
          <t>Выражаясь спортивными терминами (чм навеяло), наш арт-лагерь выходит на финишную прямую и бьёт рекорды. Сегодня у нас занималось 20 детей! Рисовали космос и не только, мастерили фетровые игрушки, расписывали керамику и валяли из шерсти. Завтра последний день)</t>
        </is>
      </c>
    </row>
    <row r="1240" ht="30" customHeight="1">
      <c r="A1240" s="28" t="n">
        <v>3548</v>
      </c>
      <c r="B1240" s="29" t="inlineStr">
        <is>
          <t>2018-06-14</t>
        </is>
      </c>
      <c r="C1240" s="30">
        <f>HYPERLINK("https://vk.com/wall-1825701_3548", "Открыть пост")</f>
        <v/>
      </c>
      <c r="D1240" s="31" t="inlineStr">
        <is>
          <t>Спортивные и активные мероприятия</t>
        </is>
      </c>
      <c r="E1240" s="31" t="inlineStr">
        <is>
          <t>Спортивные и активные мероприятия; Творческие мастер-классы и художественные студии</t>
        </is>
      </c>
      <c r="F1240" s="31" t="inlineStr">
        <is>
          <t>Подопечные фонда «Дети Марии» (общая группа детей и подростков)</t>
        </is>
      </c>
      <c r="G1240" s="31" t="inlineStr">
        <is>
          <t>Студия фонда / выездная площадка</t>
        </is>
      </c>
      <c r="H1240" s="31" t="inlineStr">
        <is>
          <t>Художественно-прикладные и ремесленные навыки; Артистические, музыкальные и спортивно-игровые навыки; Организационные, ивент- и ярмарочные навыки</t>
        </is>
      </c>
      <c r="I1240" s="32" t="inlineStr">
        <is>
          <t>Да (в тексте)</t>
        </is>
      </c>
      <c r="J1240" s="31" t="inlineStr">
        <is>
          <t>Сегодня на улице Фадеева досуговые клубы района устроили дворовый праздник в честь начала ЧМ по футболу. Наши художники и волонтёры провели мастер-класс по рисункам на спортивные темы. Причём, рисовали как на бумаге (каждый свой любимый спорт), так и на асфальте (гигантский футбо...</t>
        </is>
      </c>
    </row>
    <row r="1241" ht="30" customHeight="1">
      <c r="A1241" s="23" t="n">
        <v>3547</v>
      </c>
      <c r="B1241" s="24" t="inlineStr">
        <is>
          <t>2018-06-14</t>
        </is>
      </c>
      <c r="C1241" s="25">
        <f>HYPERLINK("https://vk.com/wall-1825701_3547", "Открыть пост")</f>
        <v/>
      </c>
      <c r="D1241" s="26" t="inlineStr">
        <is>
          <t>Выездные лагеря, дача и сезонные программы</t>
        </is>
      </c>
      <c r="E1241" s="26" t="inlineStr">
        <is>
          <t>Выездные лагеря, дача и сезонные программы; Выставки, экскурсии и культурные выходы</t>
        </is>
      </c>
      <c r="F1241" s="26" t="inlineStr">
        <is>
          <t>Подопечные фонда «Дети Марии» (общая группа детей и подростков)</t>
        </is>
      </c>
      <c r="G1241" s="26" t="inlineStr">
        <is>
          <t>Студия фонда / выездная площадка</t>
        </is>
      </c>
      <c r="H1241" s="26" t="inlineStr">
        <is>
          <t>Педагогические и наставнические навыки (кулинария, быт, учёба); Мобильность, выездное сопровождение и автоволонтёрство</t>
        </is>
      </c>
      <c r="I1241" s="27" t="inlineStr">
        <is>
          <t>Да (в тексте)</t>
        </is>
      </c>
      <c r="J1241" s="26" t="inlineStr">
        <is>
          <t>Вчера в городском арт-лагере, который продолжается для детей района, не только продолжали творить в разных техниках и жанрах, но и начали готовить выставку работ. Стены студии запестрели картинами, валяными зверушками и цветами. Отлично прошла прогулка (как всегда), спасибо волон...</t>
        </is>
      </c>
    </row>
    <row r="1242" ht="30" customHeight="1">
      <c r="A1242" s="28" t="n">
        <v>3546</v>
      </c>
      <c r="B1242" s="29" t="inlineStr">
        <is>
          <t>2018-06-13</t>
        </is>
      </c>
      <c r="C1242" s="30">
        <f>HYPERLINK("https://vk.com/wall-1825701_3546", "Открыть пост")</f>
        <v/>
      </c>
      <c r="D1242" s="31" t="inlineStr">
        <is>
          <t>Выездные лагеря, дача и сезонные программы</t>
        </is>
      </c>
      <c r="E1242" s="31" t="inlineStr">
        <is>
          <t>Выездные лагеря, дача и сезонные программы</t>
        </is>
      </c>
      <c r="F1242" s="31" t="inlineStr">
        <is>
          <t>Подопечные фонда «Дети Марии» (общая группа детей и подростков)</t>
        </is>
      </c>
      <c r="G1242" s="31" t="inlineStr">
        <is>
          <t>Студия фонда / выездная площадка</t>
        </is>
      </c>
      <c r="H1242" s="31" t="inlineStr">
        <is>
          <t>Мобильность, выездное сопровождение и автоволонтёрство</t>
        </is>
      </c>
      <c r="I1242" s="32" t="inlineStr">
        <is>
          <t>По формату занятия</t>
        </is>
      </c>
      <c r="J1242" s="31" t="inlineStr">
        <is>
          <t>В «Лавке радостей» нами собрано сегодня 31750 рублей. Спасибо всем, кто приносит вещи, спасибо всем, кто покупает, спасибо за помощь сотруднице «Лавки» Наталье! Собранные средства будут израсходованы на программу летнего лагеря.</t>
        </is>
      </c>
    </row>
    <row r="1243" ht="30" customHeight="1">
      <c r="A1243" s="23" t="n">
        <v>3542</v>
      </c>
      <c r="B1243" s="24" t="inlineStr">
        <is>
          <t>2018-06-12</t>
        </is>
      </c>
      <c r="C1243" s="25">
        <f>HYPERLINK("https://vk.com/wall-1825701_3542", "Открыть пост")</f>
        <v/>
      </c>
      <c r="D1243" s="26" t="inlineStr">
        <is>
          <t>Выставки, экскурсии и культурные выходы</t>
        </is>
      </c>
      <c r="E1243" s="26" t="inlineStr">
        <is>
          <t>Выставки, экскурсии и культурные выходы</t>
        </is>
      </c>
      <c r="F1243" s="26" t="inlineStr">
        <is>
          <t>Подростки и взрослые с ментальными особенностями и ОВЗ (ПНИ / Социальные дома)</t>
        </is>
      </c>
      <c r="G1243" s="26" t="inlineStr">
        <is>
          <t>Студия фонда / выездная площадка</t>
        </is>
      </c>
      <c r="H1243" s="26" t="inlineStr">
        <is>
          <t>Педагогические и наставнические навыки (кулинария, быт, учёба)</t>
        </is>
      </c>
      <c r="I1243" s="27" t="inlineStr">
        <is>
          <t>Да (в тексте)</t>
        </is>
      </c>
      <c r="J1243" s="26" t="inlineStr">
        <is>
          <t>Рассказывает волонтёр Ирина Чёрненькая: Сегодня после занятий группы из ПНИ 16 в студии остались несколько ребят. Мы готовили обед, потом ели сами и угощали Лёшу Строева. (Больше никого в студии в выходной не было). А готовили, мыли посуду и убирали со стола все по очереди. Они у...</t>
        </is>
      </c>
    </row>
    <row r="1244" ht="30" customHeight="1">
      <c r="A1244" s="28" t="n">
        <v>3537</v>
      </c>
      <c r="B1244" s="29" t="inlineStr">
        <is>
          <t>2018-06-09</t>
        </is>
      </c>
      <c r="C1244" s="30">
        <f>HYPERLINK("https://vk.com/wall-1825701_3537", "Открыть пост")</f>
        <v/>
      </c>
      <c r="D1244" s="31" t="inlineStr">
        <is>
          <t>Творческие мастер-классы и художественные студии</t>
        </is>
      </c>
      <c r="E1244" s="31" t="inlineStr">
        <is>
          <t>Творческие мастер-классы и художественные студии; Выездные лагеря, дача и сезонные программы</t>
        </is>
      </c>
      <c r="F1244" s="31" t="inlineStr">
        <is>
          <t>Подопечные фонда «Дети Марии» (общая группа детей и подростков)</t>
        </is>
      </c>
      <c r="G1244" s="31" t="inlineStr">
        <is>
          <t>Студия фонда / выездная площадка</t>
        </is>
      </c>
      <c r="H1244" s="31" t="inlineStr">
        <is>
          <t>Художественно-прикладные и ремесленные навыки; Артистические, музыкальные и спортивно-игровые навыки; Организационные, ивент- и ярмарочные навыки; Мобильность, выездное сопровождение и автоволонтёрство</t>
        </is>
      </c>
      <c r="I1244" s="32" t="inlineStr">
        <is>
          <t>По формату занятия</t>
        </is>
      </c>
      <c r="J1244" s="31" t="inlineStr">
        <is>
          <t>Наш городской арт-лагерь продолжается, и в него приходят всё новые дети, и происходят всё новые мастер-классы. Бабочек сотворили сегодня из картона и ниток — посмотрите, каких прекрасных! Валянием увлеклись всерьёз, из сегодняшнего — девочка Соня придумала и сваляла зверушку соню...</t>
        </is>
      </c>
    </row>
    <row r="1245" ht="30" customHeight="1">
      <c r="A1245" s="23" t="n">
        <v>3535</v>
      </c>
      <c r="B1245" s="24" t="inlineStr">
        <is>
          <t>2018-06-08</t>
        </is>
      </c>
      <c r="C1245" s="25">
        <f>HYPERLINK("https://vk.com/wall-1825701_3535", "Открыть пост")</f>
        <v/>
      </c>
      <c r="D1245" s="26" t="inlineStr">
        <is>
          <t>Творческие мастер-классы и художественные студии</t>
        </is>
      </c>
      <c r="E1245" s="26" t="inlineStr">
        <is>
          <t>Творческие мастер-классы и художественные студии; Выездные лагеря, дача и сезонные программы</t>
        </is>
      </c>
      <c r="F1245" s="26" t="inlineStr">
        <is>
          <t>Подопечные фонда «Дети Марии» (общая группа детей и подростков)</t>
        </is>
      </c>
      <c r="G1245" s="26" t="inlineStr">
        <is>
          <t>Студия фонда / выездная площадка</t>
        </is>
      </c>
      <c r="H1245" s="26" t="inlineStr">
        <is>
          <t>Художественно-прикладные и ремесленные навыки; Мобильность, выездное сопровождение и автоволонтёрство</t>
        </is>
      </c>
      <c r="I1245" s="27" t="inlineStr">
        <is>
          <t>Да (в тексте)</t>
        </is>
      </c>
      <c r="J1245" s="26" t="inlineStr">
        <is>
          <t>Каждый день в нашем городском арт-лагере происходит что-то новое. Сегодня был мастер-класс волонтёра Кати Никитиной, которая рассказывала детям о необычных аллегоричных портретах? натюрмортах? Джузеппе Арчимбольдо. Мы и сами попытались создать изображения из предметов в технике к...</t>
        </is>
      </c>
    </row>
    <row r="1246" ht="30" customHeight="1">
      <c r="A1246" s="28" t="n">
        <v>3534</v>
      </c>
      <c r="B1246" s="29" t="inlineStr">
        <is>
          <t>2018-06-08</t>
        </is>
      </c>
      <c r="C1246" s="30">
        <f>HYPERLINK("https://vk.com/wall-1825701_3534", "Открыть пост")</f>
        <v/>
      </c>
      <c r="D1246" s="31" t="inlineStr">
        <is>
          <t>Выставки, экскурсии и культурные выходы</t>
        </is>
      </c>
      <c r="E1246" s="31" t="inlineStr">
        <is>
          <t>Выставки, экскурсии и культурные выходы</t>
        </is>
      </c>
      <c r="F1246" s="31" t="inlineStr">
        <is>
          <t>Подростки и взрослые с ментальными особенностями и ОВЗ (ПНИ / Социальные дома)</t>
        </is>
      </c>
      <c r="G1246" s="31" t="inlineStr">
        <is>
          <t>Студия фонда / выездная площадка</t>
        </is>
      </c>
      <c r="H1246" s="31" t="inlineStr">
        <is>
          <t>Коммуникативные навыки, эмпатия и тьюторское сопровождение</t>
        </is>
      </c>
      <c r="I1246" s="32" t="inlineStr">
        <is>
          <t>По формату занятия</t>
        </is>
      </c>
      <c r="J1246" s="31" t="inlineStr">
        <is>
          <t>А вот и фото с выставки янтаря в музее декоративно-прикладного искусства, где побывали сегодня ребята из ПНИ 16 вместе с нашими художниками.</t>
        </is>
      </c>
    </row>
    <row r="1247" ht="30" customHeight="1">
      <c r="A1247" s="23" t="n">
        <v>3533</v>
      </c>
      <c r="B1247" s="24" t="inlineStr">
        <is>
          <t>2018-06-08</t>
        </is>
      </c>
      <c r="C1247" s="25">
        <f>HYPERLINK("https://vk.com/wall-1825701_3533", "Открыть пост")</f>
        <v/>
      </c>
      <c r="D1247" s="26" t="inlineStr">
        <is>
          <t>Выездные лагеря, дача и сезонные программы</t>
        </is>
      </c>
      <c r="E1247" s="26" t="inlineStr">
        <is>
          <t>Выездные лагеря, дача и сезонные программы</t>
        </is>
      </c>
      <c r="F1247" s="26" t="inlineStr">
        <is>
          <t>Подопечные фонда «Дети Марии» (общая группа детей и подростков)</t>
        </is>
      </c>
      <c r="G1247" s="26" t="inlineStr">
        <is>
          <t>Студия фонда / выездная площадка</t>
        </is>
      </c>
      <c r="H1247" s="26" t="inlineStr">
        <is>
          <t>Мобильность, выездное сопровождение и автоволонтёрство</t>
        </is>
      </c>
      <c r="I1247" s="27" t="inlineStr">
        <is>
          <t>По формату занятия</t>
        </is>
      </c>
      <c r="J1247" s="26" t="inlineStr">
        <is>
          <t>https://vk.com/detimariivlavkepadostej - присоединяйтесь! 13 июня — наш день в «Лавке радостей» на Цветном, Малый Сухаревский пер., дом 7, с 11 до 21 часа. Это значит, что мы в этот день мы привезём много интересного, а все средства, собранные в среду в Лавке, пойдут на нашу прог...</t>
        </is>
      </c>
    </row>
    <row r="1248" ht="30" customHeight="1">
      <c r="A1248" s="28" t="n">
        <v>3532</v>
      </c>
      <c r="B1248" s="29" t="inlineStr">
        <is>
          <t>2018-06-08</t>
        </is>
      </c>
      <c r="C1248" s="30">
        <f>HYPERLINK("https://vk.com/wall-1825701_3532", "Открыть пост")</f>
        <v/>
      </c>
      <c r="D1248" s="31" t="inlineStr">
        <is>
          <t>Выставки, экскурсии и культурные выходы</t>
        </is>
      </c>
      <c r="E1248" s="31" t="inlineStr">
        <is>
          <t>Выставки, экскурсии и культурные выходы</t>
        </is>
      </c>
      <c r="F1248" s="31" t="inlineStr">
        <is>
          <t>Подростки и взрослые с ментальными особенностями и ОВЗ (ПНИ / Социальные дома)</t>
        </is>
      </c>
      <c r="G1248" s="31" t="inlineStr">
        <is>
          <t>Студия фонда / выездная площадка</t>
        </is>
      </c>
      <c r="H1248" s="31" t="inlineStr">
        <is>
          <t>Коммуникативные навыки, эмпатия и тьюторское сопровождение</t>
        </is>
      </c>
      <c r="I1248" s="32" t="inlineStr">
        <is>
          <t>По формату занятия</t>
        </is>
      </c>
      <c r="J1248" s="31" t="inlineStr">
        <is>
          <t>Часть вторая. Ребята из ПНИ 16 разделились на две группы — половина отправилась в Музей декоративно-прикладного искусства на выставку янтаря, а другие — гулять в Щемиловский парк. С какой радостью наши взрослые ребята гуляют, совсем как дети!</t>
        </is>
      </c>
    </row>
    <row r="1249" ht="30" customHeight="1">
      <c r="A1249" s="23" t="n">
        <v>3531</v>
      </c>
      <c r="B1249" s="24" t="inlineStr">
        <is>
          <t>2018-06-08</t>
        </is>
      </c>
      <c r="C1249" s="25">
        <f>HYPERLINK("https://vk.com/wall-1825701_3531", "Открыть пост")</f>
        <v/>
      </c>
      <c r="D1249" s="26" t="inlineStr">
        <is>
          <t>Творческие мастер-классы и художественные студии</t>
        </is>
      </c>
      <c r="E1249" s="26" t="inlineStr">
        <is>
          <t>Творческие мастер-классы и художественные студии</t>
        </is>
      </c>
      <c r="F1249" s="26" t="inlineStr">
        <is>
          <t>Подростки и взрослые с ментальными особенностями и ОВЗ (ПНИ / Социальные дома)</t>
        </is>
      </c>
      <c r="G1249" s="26" t="inlineStr">
        <is>
          <t>Студия фонда / выездная площадка</t>
        </is>
      </c>
      <c r="H1249" s="26" t="inlineStr">
        <is>
          <t>Художественно-прикладные и ремесленные навыки</t>
        </is>
      </c>
      <c r="I1249" s="27" t="inlineStr">
        <is>
          <t>По формату занятия</t>
        </is>
      </c>
      <c r="J1249" s="26" t="inlineStr">
        <is>
          <t>Занятие с ребятами из ПНИ 16 сегодня было из двух частей. Часть первая, традиционная — лепим, рисуем, валяем, шьём.</t>
        </is>
      </c>
    </row>
    <row r="1250" ht="30" customHeight="1">
      <c r="A1250" s="28" t="n">
        <v>3530</v>
      </c>
      <c r="B1250" s="29" t="inlineStr">
        <is>
          <t>2018-06-08</t>
        </is>
      </c>
      <c r="C1250" s="30">
        <f>HYPERLINK("https://vk.com/wall-1825701_3530", "Открыть пост")</f>
        <v/>
      </c>
      <c r="D1250" s="31" t="inlineStr">
        <is>
          <t>Выездные лагеря, дача и сезонные программы</t>
        </is>
      </c>
      <c r="E1250" s="31" t="inlineStr">
        <is>
          <t>Выездные лагеря, дача и сезонные программы</t>
        </is>
      </c>
      <c r="F1250" s="31" t="inlineStr">
        <is>
          <t>Подопечные фонда «Дети Марии» (общая группа детей и подростков)</t>
        </is>
      </c>
      <c r="G1250" s="31" t="inlineStr">
        <is>
          <t>Студия фонда / выездная площадка</t>
        </is>
      </c>
      <c r="H1250" s="31" t="inlineStr">
        <is>
          <t>Артистические, музыкальные и спортивно-игровые навыки; Мобильность, выездное сопровождение и автоволонтёрство</t>
        </is>
      </c>
      <c r="I1250" s="32" t="inlineStr">
        <is>
          <t>Да (в тексте)</t>
        </is>
      </c>
      <c r="J1250" s="31" t="inlineStr">
        <is>
          <t>Как мы гуляли во вчерашнем городском арт-лагере. Время провели весело и активно — играли в вышибалы, а потом катались на тарзанке и лазали на разных «лазилках», которых в Щемиловском парке много, и все такие интересные! Волонтёры Саша и Миша заботливо всех страховали, спасибо.</t>
        </is>
      </c>
    </row>
    <row r="1251" ht="30" customHeight="1">
      <c r="A1251" s="23" t="n">
        <v>3529</v>
      </c>
      <c r="B1251" s="24" t="inlineStr">
        <is>
          <t>2018-06-07</t>
        </is>
      </c>
      <c r="C1251" s="25">
        <f>HYPERLINK("https://vk.com/wall-1825701_3529", "Открыть пост")</f>
        <v/>
      </c>
      <c r="D1251" s="26" t="inlineStr">
        <is>
          <t>Выездные лагеря, дача и сезонные программы</t>
        </is>
      </c>
      <c r="E1251" s="26" t="inlineStr">
        <is>
          <t>Выездные лагеря, дача и сезонные программы</t>
        </is>
      </c>
      <c r="F1251" s="26" t="inlineStr">
        <is>
          <t>Подопечные фонда «Дети Марии» (общая группа детей и подростков)</t>
        </is>
      </c>
      <c r="G1251" s="26" t="inlineStr">
        <is>
          <t>Студия фонда / выездная площадка</t>
        </is>
      </c>
      <c r="H1251" s="26" t="inlineStr">
        <is>
          <t>Художественно-прикладные и ремесленные навыки; Мобильность, выездное сопровождение и автоволонтёрство</t>
        </is>
      </c>
      <c r="I1251" s="27" t="inlineStr">
        <is>
          <t>По формату занятия</t>
        </is>
      </c>
      <c r="J1251" s="26" t="inlineStr">
        <is>
          <t>Слепить из глины зайца в пальто, нарисовать планету робокопа, свалять божью коровку — все эти творческие замыслы родились и реализовались сегодня в нашем городском арт-лагере.</t>
        </is>
      </c>
    </row>
    <row r="1252" ht="30" customHeight="1">
      <c r="A1252" s="28" t="n">
        <v>3528</v>
      </c>
      <c r="B1252" s="29" t="inlineStr">
        <is>
          <t>2018-06-07</t>
        </is>
      </c>
      <c r="C1252" s="30">
        <f>HYPERLINK("https://vk.com/wall-1825701_3528", "Открыть пост")</f>
        <v/>
      </c>
      <c r="D1252" s="31" t="inlineStr">
        <is>
          <t>Ярмарки, фестивали и благотворительные базары</t>
        </is>
      </c>
      <c r="E1252" s="31" t="inlineStr">
        <is>
          <t>Ярмарки, фестивали и благотворительные базары</t>
        </is>
      </c>
      <c r="F1252" s="31" t="inlineStr">
        <is>
          <t>Подопечные фонда «Дети Марии» (общая группа детей и подростков)</t>
        </is>
      </c>
      <c r="G1252" s="31" t="inlineStr">
        <is>
          <t>Студия фонда / выездная площадка</t>
        </is>
      </c>
      <c r="H1252" s="31" t="inlineStr">
        <is>
          <t>Организационные, ивент- и ярмарочные навыки</t>
        </is>
      </c>
      <c r="I1252" s="32" t="inlineStr">
        <is>
          <t>По формату занятия</t>
        </is>
      </c>
      <c r="J1252" s="31" t="inlineStr">
        <is>
          <t>Сегодня прошла благотворительная ярмарка в офисе компании РусГидро на Малой Дмитровке. Мы собрали 19000 рублей, спасибо, дорогие сотрудники компании!</t>
        </is>
      </c>
    </row>
    <row r="1253" ht="30" customHeight="1">
      <c r="A1253" s="23" t="n">
        <v>3527</v>
      </c>
      <c r="B1253" s="24" t="inlineStr">
        <is>
          <t>2018-06-07</t>
        </is>
      </c>
      <c r="C1253" s="25">
        <f>HYPERLINK("https://vk.com/wall-1825701_3527", "Открыть пост")</f>
        <v/>
      </c>
      <c r="D1253" s="26" t="inlineStr">
        <is>
          <t>Выездные лагеря, дача и сезонные программы</t>
        </is>
      </c>
      <c r="E1253" s="26" t="inlineStr">
        <is>
          <t>Выездные лагеря, дача и сезонные программы; Творческие мастер-классы и художественные студии</t>
        </is>
      </c>
      <c r="F1253" s="26" t="inlineStr">
        <is>
          <t>Подопечные фонда «Дети Марии» (общая группа детей и подростков)</t>
        </is>
      </c>
      <c r="G1253" s="26" t="inlineStr">
        <is>
          <t>Студия фонда / выездная площадка</t>
        </is>
      </c>
      <c r="H1253" s="26" t="inlineStr">
        <is>
          <t>Коммуникативные навыки, эмпатия и тьюторское сопровождение; Педагогические и наставнические навыки (кулинария, быт, учёба); Мобильность, выездное сопровождение и автоволонтёрство</t>
        </is>
      </c>
      <c r="I1253" s="27" t="inlineStr">
        <is>
          <t>По формату занятия</t>
        </is>
      </c>
      <c r="J1253" s="26" t="inlineStr">
        <is>
          <t>А ещё вчера в нашем городском арт-лагере был импровизированный мастер-класс по приготовлению гамбургеров. Это дети придумали, а мама Максима и Нади поддержала и воплотила. И все были не только сыты, но и страшно довольны. И пошли гулять с Димой и Ирой, на этот раз дождя не было, ...</t>
        </is>
      </c>
    </row>
    <row r="1254" ht="30" customHeight="1">
      <c r="A1254" s="28" t="n">
        <v>3526</v>
      </c>
      <c r="B1254" s="29" t="inlineStr">
        <is>
          <t>2018-06-06</t>
        </is>
      </c>
      <c r="C1254" s="30">
        <f>HYPERLINK("https://vk.com/wall-1825701_3526", "Открыть пост")</f>
        <v/>
      </c>
      <c r="D1254" s="31" t="inlineStr">
        <is>
          <t>Выездные лагеря, дача и сезонные программы</t>
        </is>
      </c>
      <c r="E1254" s="31" t="inlineStr">
        <is>
          <t>Выездные лагеря, дача и сезонные программы</t>
        </is>
      </c>
      <c r="F1254" s="31" t="inlineStr">
        <is>
          <t>Подопечные фонда «Дети Марии» (общая группа детей и подростков)</t>
        </is>
      </c>
      <c r="G1254" s="31" t="inlineStr">
        <is>
          <t>Студия фонда / выездная площадка</t>
        </is>
      </c>
      <c r="H1254" s="31" t="inlineStr">
        <is>
          <t>Мобильность, выездное сопровождение и автоволонтёрство</t>
        </is>
      </c>
      <c r="I1254" s="32" t="inlineStr">
        <is>
          <t>По формату занятия</t>
        </is>
      </c>
      <c r="J1254" s="31" t="inlineStr">
        <is>
          <t>В наш летний городской лагерь каждый день приходят дети. Особенно рады ребята, которые во время учебного года приходили раз в неделю (по субботам и по воскресеньям, когда у нас занимаются «домашние» дети). А теперь они хоть каждый день и с утра-пораньше у нас сразу, как только дв...</t>
        </is>
      </c>
    </row>
    <row r="1255" ht="30" customHeight="1">
      <c r="A1255" s="23" t="n">
        <v>3525</v>
      </c>
      <c r="B1255" s="24" t="inlineStr">
        <is>
          <t>2018-06-06</t>
        </is>
      </c>
      <c r="C1255" s="25">
        <f>HYPERLINK("https://vk.com/wall-1825701_3525", "Открыть пост")</f>
        <v/>
      </c>
      <c r="D1255" s="26" t="inlineStr">
        <is>
          <t>Выездные лагеря, дача и сезонные программы</t>
        </is>
      </c>
      <c r="E1255" s="26" t="inlineStr">
        <is>
          <t>Выездные лагеря, дача и сезонные программы</t>
        </is>
      </c>
      <c r="F1255" s="26" t="inlineStr">
        <is>
          <t>Подопечные фонда «Дети Марии» (общая группа детей и подростков)</t>
        </is>
      </c>
      <c r="G1255" s="26" t="inlineStr">
        <is>
          <t>Студия фонда / выездная площадка</t>
        </is>
      </c>
      <c r="H1255" s="26" t="inlineStr">
        <is>
          <t>Мобильность, выездное сопровождение и автоволонтёрство</t>
        </is>
      </c>
      <c r="I1255" s="27" t="inlineStr">
        <is>
          <t>По формату занятия</t>
        </is>
      </c>
      <c r="J1255" s="26" t="inlineStr">
        <is>
          <t>Сегодня день рождения А.С.Пушкина. А в нашем городском арт-лагере день Наташи Пушкиной (извините за каламбур). Дети под руководством Наташи за одно занятие нарисовали вот такую коллективную картину со зверями!</t>
        </is>
      </c>
    </row>
    <row r="1256" ht="30" customHeight="1">
      <c r="A1256" s="28" t="n">
        <v>3524</v>
      </c>
      <c r="B1256" s="29" t="inlineStr">
        <is>
          <t>2018-06-05</t>
        </is>
      </c>
      <c r="C1256" s="30">
        <f>HYPERLINK("https://vk.com/wall-1825701_3524", "Открыть пост")</f>
        <v/>
      </c>
      <c r="D1256" s="31" t="inlineStr">
        <is>
          <t>Спектакли, концерты и музыкально-театральные занятия</t>
        </is>
      </c>
      <c r="E1256" s="31" t="inlineStr">
        <is>
          <t>Спектакли, концерты и музыкально-театральные занятия</t>
        </is>
      </c>
      <c r="F1256" s="31" t="inlineStr">
        <is>
          <t>Воспитанники ЦССВ, ДДИ и детских домов-интернатов</t>
        </is>
      </c>
      <c r="G1256" s="31" t="inlineStr">
        <is>
          <t>Студия фонда / выездная площадка</t>
        </is>
      </c>
      <c r="H1256" s="31" t="inlineStr">
        <is>
          <t>Артистические, музыкальные и спортивно-игровые навыки; Организационные, ивент- и ярмарочные навыки</t>
        </is>
      </c>
      <c r="I1256" s="32" t="inlineStr">
        <is>
          <t>Да (в тексте)</t>
        </is>
      </c>
      <c r="J1256" s="31" t="inlineStr">
        <is>
          <t>Сегодня наши выпускницы — молодые мамы с детьми ходили на спектакль «Аленький цветочек» в Московский культурный фольклорный центр Людмилы Рюминой. Перед спектаклем для детей была ещё часовая развлекательная программа! Этот праздник нам подарил Всероссийский женский союз «Надежда ...</t>
        </is>
      </c>
    </row>
    <row r="1257" ht="30" customHeight="1">
      <c r="A1257" s="23" t="n">
        <v>3523</v>
      </c>
      <c r="B1257" s="24" t="inlineStr">
        <is>
          <t>2018-06-05</t>
        </is>
      </c>
      <c r="C1257" s="25">
        <f>HYPERLINK("https://vk.com/wall-1825701_3523", "Открыть пост")</f>
        <v/>
      </c>
      <c r="D1257" s="26" t="inlineStr">
        <is>
          <t>Творческие мастер-классы и художественные студии</t>
        </is>
      </c>
      <c r="E1257" s="26" t="inlineStr">
        <is>
          <t>Творческие мастер-классы и художественные студии; Выездные лагеря, дача и сезонные программы; Кулинарные, образовательные и социально-бытовые занятия</t>
        </is>
      </c>
      <c r="F1257" s="26" t="inlineStr">
        <is>
          <t>Подопечные фонда «Дети Марии» (общая группа детей и подростков)</t>
        </is>
      </c>
      <c r="G1257" s="26" t="inlineStr">
        <is>
          <t>Студия фонда / выездная площадка</t>
        </is>
      </c>
      <c r="H1257" s="26" t="inlineStr">
        <is>
          <t>Художественно-прикладные и ремесленные навыки; Педагогические и наставнические навыки (кулинария, быт, учёба); Мобильность, выездное сопровождение и автоволонтёрство</t>
        </is>
      </c>
      <c r="I1257" s="27" t="inlineStr">
        <is>
          <t>По формату занятия</t>
        </is>
      </c>
      <c r="J1257" s="26" t="inlineStr">
        <is>
          <t>Сегодня в нашем городском арт-лагере любимцы детей Лёша Ждамиров и Миша Мамедов. А значит, было выпиливание лобзиком, шахматы и жонглирование. Дождик не позволил жонглировать на улице, но это не остановило ребят, и урок жонглирования продолжился в студии. А ещё лепили, рисовали, ...</t>
        </is>
      </c>
    </row>
    <row r="1258" ht="30" customHeight="1">
      <c r="A1258" s="28" t="n">
        <v>3521</v>
      </c>
      <c r="B1258" s="29" t="inlineStr">
        <is>
          <t>2018-06-04</t>
        </is>
      </c>
      <c r="C1258" s="30">
        <f>HYPERLINK("https://vk.com/wall-1825701_3521", "Открыть пост")</f>
        <v/>
      </c>
      <c r="D1258" s="31" t="inlineStr">
        <is>
          <t>Выставки, экскурсии и культурные выходы</t>
        </is>
      </c>
      <c r="E1258" s="31" t="inlineStr">
        <is>
          <t>Выставки, экскурсии и культурные выходы</t>
        </is>
      </c>
      <c r="F1258" s="31" t="inlineStr">
        <is>
          <t>Подростки и взрослые с ментальными особенностями и ОВЗ (ПНИ / Социальные дома)</t>
        </is>
      </c>
      <c r="G1258" s="31" t="inlineStr">
        <is>
          <t>Студия фонда / выездная площадка</t>
        </is>
      </c>
      <c r="H1258" s="31" t="inlineStr">
        <is>
          <t>Коммуникативные навыки, эмпатия и тьюторское сопровождение</t>
        </is>
      </c>
      <c r="I1258" s="32" t="inlineStr">
        <is>
          <t>По формату занятия</t>
        </is>
      </c>
      <c r="J1258" s="31" t="inlineStr">
        <is>
          <t>Ребята из ПНИ 11 сегодня побывали на выставке янтаря в Музее декоративно-прикладного искусства. Узнали много нового и интересного: как образуется янтарь, как его добывают и обрабатывают, какие оттенки имеет янтарь и что из него делают.</t>
        </is>
      </c>
    </row>
    <row r="1259" ht="30" customHeight="1">
      <c r="A1259" s="23" t="n">
        <v>3519</v>
      </c>
      <c r="B1259" s="24" t="inlineStr">
        <is>
          <t>2018-06-04</t>
        </is>
      </c>
      <c r="C1259" s="25">
        <f>HYPERLINK("https://vk.com/wall-1825701_3519", "Открыть пост")</f>
        <v/>
      </c>
      <c r="D1259" s="26" t="inlineStr">
        <is>
          <t>Творческие мастер-классы и художественные студии</t>
        </is>
      </c>
      <c r="E1259" s="26" t="inlineStr">
        <is>
          <t>Творческие мастер-классы и художественные студии; Выездные лагеря, дача и сезонные программы</t>
        </is>
      </c>
      <c r="F1259" s="26" t="inlineStr">
        <is>
          <t>Подопечные фонда «Дети Марии» (общая группа детей и подростков)</t>
        </is>
      </c>
      <c r="G1259" s="26" t="inlineStr">
        <is>
          <t>Студия фонда / выездная площадка</t>
        </is>
      </c>
      <c r="H1259" s="26" t="inlineStr">
        <is>
          <t>Художественно-прикладные и ремесленные навыки; Артистические, музыкальные и спортивно-игровые навыки; Мобильность, выездное сопровождение и автоволонтёрство</t>
        </is>
      </c>
      <c r="I1259" s="27" t="inlineStr">
        <is>
          <t>По формату занятия</t>
        </is>
      </c>
      <c r="J1259" s="26" t="inlineStr">
        <is>
          <t>В наш городской арт-лагерь сегодня пришло одиннадцать детей. И так много успели! Рисовали на пленэре в сквере и в студии, лепили и валяли, а закончили игрой на улице в вышибалы! Завтра продолжим.</t>
        </is>
      </c>
    </row>
    <row r="1260" ht="30" customHeight="1">
      <c r="A1260" s="28" t="n">
        <v>3515</v>
      </c>
      <c r="B1260" s="29" t="inlineStr">
        <is>
          <t>2018-06-01</t>
        </is>
      </c>
      <c r="C1260" s="30">
        <f>HYPERLINK("https://vk.com/wall-1825701_3515", "Открыть пост")</f>
        <v/>
      </c>
      <c r="D1260" s="31" t="inlineStr">
        <is>
          <t>Творческие мастер-классы и художественные студии</t>
        </is>
      </c>
      <c r="E1260" s="31" t="inlineStr">
        <is>
          <t>Творческие мастер-классы и художественные студии; Выездные лагеря, дача и сезонные программы; Спортивные и активные мероприятия; Спектакли, концерты и музыкально-театральные занятия</t>
        </is>
      </c>
      <c r="F1260" s="31" t="inlineStr">
        <is>
          <t>Подопечные фонда «Дети Марии» (общая группа детей и подростков)</t>
        </is>
      </c>
      <c r="G1260" s="31" t="inlineStr">
        <is>
          <t>Студия фонда / выездная площадка</t>
        </is>
      </c>
      <c r="H1260" s="31" t="inlineStr">
        <is>
          <t>Художественно-прикладные и ремесленные навыки; Артистические, музыкальные и спортивно-игровые навыки; Мобильность, выездное сопровождение и автоволонтёрство</t>
        </is>
      </c>
      <c r="I1260" s="32" t="inlineStr">
        <is>
          <t>Да (в тексте)</t>
        </is>
      </c>
      <c r="J1260" s="31" t="inlineStr">
        <is>
          <t>С первым днём лета, друзья! У нас в студии сегодня начался городской арт-лагерь. Дети из ближних домов занимались рисованием волшебных цветов с Нюсей, попробовали себя в лепке. Пели песни с шумовым оркестром. А в перерыве в Щемиловском парке поиграли в футбол и поучились жонглиро...</t>
        </is>
      </c>
    </row>
    <row r="1261" ht="30" customHeight="1">
      <c r="A1261" s="23" t="n">
        <v>3514</v>
      </c>
      <c r="B1261" s="24" t="inlineStr">
        <is>
          <t>2018-06-01</t>
        </is>
      </c>
      <c r="C1261" s="25">
        <f>HYPERLINK("https://vk.com/wall-1825701_3514", "Открыть пост")</f>
        <v/>
      </c>
      <c r="D1261" s="26" t="inlineStr">
        <is>
          <t>Творческие мастер-классы и художественные студии</t>
        </is>
      </c>
      <c r="E1261" s="26" t="inlineStr">
        <is>
          <t>Творческие мастер-классы и художественные студии; Праздники, дни рождения и клубные встречи</t>
        </is>
      </c>
      <c r="F1261" s="26" t="inlineStr">
        <is>
          <t>Подростки и взрослые с ментальными особенностями и ОВЗ (ПНИ / Социальные дома)</t>
        </is>
      </c>
      <c r="G1261" s="26" t="inlineStr">
        <is>
          <t>Студия фонда / выездная площадка</t>
        </is>
      </c>
      <c r="H1261" s="26"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 Организационные, ивент- и ярмарочные навыки</t>
        </is>
      </c>
      <c r="I1261" s="27" t="inlineStr">
        <is>
          <t>По формату занятия</t>
        </is>
      </c>
      <c r="J1261" s="26" t="inlineStr">
        <is>
          <t>Парад планет прямо у нас сегодня в студии! К ребятам из 16го ПНИ пришли в гости студенты из геолого-разведочного университета, где учился наш Илья Сегалович! Молодые ребята другим молодым ребятам показывали минералы, рассказывали о них, о строении планеты, о вращении Земли вокруг...</t>
        </is>
      </c>
    </row>
    <row r="1262" ht="30" customHeight="1">
      <c r="A1262" s="28" t="n">
        <v>3503</v>
      </c>
      <c r="B1262" s="29" t="inlineStr">
        <is>
          <t>2018-05-25</t>
        </is>
      </c>
      <c r="C1262" s="30">
        <f>HYPERLINK("https://vk.com/wall-1825701_3503", "Открыть пост")</f>
        <v/>
      </c>
      <c r="D1262" s="31" t="inlineStr">
        <is>
          <t>Праздники, дни рождения и клубные встречи</t>
        </is>
      </c>
      <c r="E1262" s="31" t="inlineStr">
        <is>
          <t>Праздники, дни рождения и клубные встречи</t>
        </is>
      </c>
      <c r="F1262" s="31" t="inlineStr">
        <is>
          <t>Подопечные фонда «Дети Марии» (общая группа детей и подростков)</t>
        </is>
      </c>
      <c r="G1262" s="31" t="inlineStr">
        <is>
          <t>Студия фонда / выездная площадка</t>
        </is>
      </c>
      <c r="H1262" s="31" t="inlineStr">
        <is>
          <t>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t>
        </is>
      </c>
      <c r="I1262" s="32" t="inlineStr">
        <is>
          <t>Да (в тексте)</t>
        </is>
      </c>
      <c r="J1262" s="31" t="inlineStr">
        <is>
          <t>Сегодня день рождения Веры Ивановны, Верочки, как чаще мы и ребята её называем — первого студийного преподавателя музыки. Вера Ивановна не ведёт в студии занятия (теперь это делает её сестра Любовь Ивановна)), но она по-прежнему с нами на связи, в курсе всех студийных событий, по...</t>
        </is>
      </c>
    </row>
    <row r="1263" ht="30" customHeight="1">
      <c r="A1263" s="23" t="n">
        <v>3500</v>
      </c>
      <c r="B1263" s="24" t="inlineStr">
        <is>
          <t>2018-05-25</t>
        </is>
      </c>
      <c r="C1263" s="25">
        <f>HYPERLINK("https://vk.com/wall-1825701_3500", "Открыть пост")</f>
        <v/>
      </c>
      <c r="D1263" s="26" t="inlineStr">
        <is>
          <t>Творческие мастер-классы и художественные студии</t>
        </is>
      </c>
      <c r="E1263" s="26" t="inlineStr">
        <is>
          <t>Творческие мастер-классы и художественные студии</t>
        </is>
      </c>
      <c r="F1263" s="26" t="inlineStr">
        <is>
          <t>Подопечные фонда «Дети Марии» (общая группа детей и подростков)</t>
        </is>
      </c>
      <c r="G1263" s="26" t="inlineStr">
        <is>
          <t>Студия фонда / выездная площадка</t>
        </is>
      </c>
      <c r="H1263" s="26" t="inlineStr">
        <is>
          <t>Художественно-прикладные и ремесленные навыки</t>
        </is>
      </c>
      <c r="I1263" s="27" t="inlineStr">
        <is>
          <t>По формату занятия</t>
        </is>
      </c>
      <c r="J1263" s="26" t="inlineStr">
        <is>
          <t>Студия не терпит пустоты. Освободилось время занятий в четверг — у ребят из 31го интерната начались каникулы — и теперь в это время будут приходить мамы — выпусницы интернатов со своими детьми. Вчера было первое занятие керамикой. И это было здорово.</t>
        </is>
      </c>
    </row>
    <row r="1264" ht="30" customHeight="1">
      <c r="A1264" s="28" t="n">
        <v>3498</v>
      </c>
      <c r="B1264" s="29" t="inlineStr">
        <is>
          <t>2018-05-24</t>
        </is>
      </c>
      <c r="C1264" s="30">
        <f>HYPERLINK("https://vk.com/wall-1825701_3498", "Открыть пост")</f>
        <v/>
      </c>
      <c r="D1264" s="31" t="inlineStr">
        <is>
          <t>Творческие мастер-классы и художественные студии</t>
        </is>
      </c>
      <c r="E1264" s="31" t="inlineStr">
        <is>
          <t>Творческие мастер-классы и художественные студии; Спектакли, концерты и музыкально-театральные занятия; Спортивные и активные мероприятия</t>
        </is>
      </c>
      <c r="F1264" s="31" t="inlineStr">
        <is>
          <t>Подопечные фонда «Дети Марии» (общая группа детей и подростков)</t>
        </is>
      </c>
      <c r="G1264" s="31" t="inlineStr">
        <is>
          <t>Студия фонда / выездная площадка</t>
        </is>
      </c>
      <c r="H1264" s="31" t="inlineStr">
        <is>
          <t>Художественно-прикладные и ремесленные навыки; 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t>
        </is>
      </c>
      <c r="I1264" s="32" t="inlineStr">
        <is>
          <t>По формату занятия</t>
        </is>
      </c>
      <c r="J1264" s="31" t="inlineStr">
        <is>
          <t>А знаете, какой сегодня праздник в Москве? Вот и мы не знали, а сегодня — день соседа! В Тверском районе его отметили дворовым праздником на ул. Фадеева, у дома 6, мы тоже участвовалии. На спортплощадке — эстафеты, мини-футбол, спортивные игры. Во дворе — сразу несколько мастер-к...</t>
        </is>
      </c>
    </row>
    <row r="1265" ht="30" customHeight="1">
      <c r="A1265" s="23" t="n">
        <v>3495</v>
      </c>
      <c r="B1265" s="24" t="inlineStr">
        <is>
          <t>2018-05-24</t>
        </is>
      </c>
      <c r="C1265" s="25">
        <f>HYPERLINK("https://vk.com/wall-1825701_3495", "Открыть пост")</f>
        <v/>
      </c>
      <c r="D1265" s="26" t="inlineStr">
        <is>
          <t>Спортивные и активные мероприятия</t>
        </is>
      </c>
      <c r="E1265" s="26" t="inlineStr">
        <is>
          <t>Спортивные и активные мероприятия; Выездные лагеря, дача и сезонные программы</t>
        </is>
      </c>
      <c r="F1265" s="26" t="inlineStr">
        <is>
          <t>Подопечные фонда «Дети Марии» (общая группа детей и подростков)</t>
        </is>
      </c>
      <c r="G1265" s="26" t="inlineStr">
        <is>
          <t>Студия фонда / выездная площадка</t>
        </is>
      </c>
      <c r="H1265" s="26" t="inlineStr">
        <is>
          <t>Артистические, музыкальные и спортивно-игровые навыки</t>
        </is>
      </c>
      <c r="I1265" s="27" t="inlineStr">
        <is>
          <t>По формату занятия</t>
        </is>
      </c>
      <c r="J1265" s="26" t="inlineStr">
        <is>
          <t>В такую погоду везде хорошо, а за городом особенно. Каждое занятие в загородных мастерских для детей из Филимонок — радость. Радость творчества, встречи с друзьями. А в тёплое время — вдобавок и футбол, и батут!</t>
        </is>
      </c>
    </row>
    <row r="1266" ht="30" customHeight="1">
      <c r="A1266" s="28" t="n">
        <v>3490</v>
      </c>
      <c r="B1266" s="29" t="inlineStr">
        <is>
          <t>2018-05-23</t>
        </is>
      </c>
      <c r="C1266" s="30">
        <f>HYPERLINK("https://vk.com/wall-1825701_3490", "Открыть пост")</f>
        <v/>
      </c>
      <c r="D1266" s="31" t="inlineStr">
        <is>
          <t>Ярмарки, фестивали и благотворительные базары</t>
        </is>
      </c>
      <c r="E1266" s="31" t="inlineStr">
        <is>
          <t>Ярмарки, фестивали и благотворительные базары</t>
        </is>
      </c>
      <c r="F1266" s="31" t="inlineStr">
        <is>
          <t>Широкая аудитория, гости и благотворители (открытые события)</t>
        </is>
      </c>
      <c r="G1266" s="31" t="inlineStr">
        <is>
          <t>Студия фонда / выездная площадка</t>
        </is>
      </c>
      <c r="H1266" s="31" t="inlineStr">
        <is>
          <t>Организационные, ивент- и ярмарочные навыки</t>
        </is>
      </c>
      <c r="I1266" s="32" t="inlineStr">
        <is>
          <t>По формату занятия</t>
        </is>
      </c>
      <c r="J1266" s="31" t="inlineStr">
        <is>
          <t>Вчера в Англо-американской школе в Москве прошла благотворительная ярмарка в честь окончания учебного года. Наш сбор на ней 11250 рублей. Спасибо щедрым посетителям и гостеприимным организаторам ярмарки!</t>
        </is>
      </c>
    </row>
    <row r="1267" ht="30" customHeight="1">
      <c r="A1267" s="23" t="n">
        <v>3489</v>
      </c>
      <c r="B1267" s="24" t="inlineStr">
        <is>
          <t>2018-05-22</t>
        </is>
      </c>
      <c r="C1267" s="25">
        <f>HYPERLINK("https://vk.com/wall-1825701_3489", "Открыть пост")</f>
        <v/>
      </c>
      <c r="D1267" s="26" t="inlineStr">
        <is>
          <t>Творческие мастер-классы и художественные студии</t>
        </is>
      </c>
      <c r="E1267" s="26" t="inlineStr">
        <is>
          <t>Творческие мастер-классы и художественные студии</t>
        </is>
      </c>
      <c r="F1267" s="26" t="inlineStr">
        <is>
          <t>Подростки и взрослые с ментальными особенностями и ОВЗ (ПНИ / Социальные дома)</t>
        </is>
      </c>
      <c r="G1267" s="26" t="inlineStr">
        <is>
          <t>Студия фонда / выездная площадка</t>
        </is>
      </c>
      <c r="H1267" s="26" t="inlineStr">
        <is>
          <t>Коммуникативные навыки, эмпатия и тьюторское сопровождение</t>
        </is>
      </c>
      <c r="I1267" s="27" t="inlineStr">
        <is>
          <t>Да (в тексте)</t>
        </is>
      </c>
      <c r="J1267" s="26" t="inlineStr">
        <is>
          <t>Почти все наши дети и взрослые любят пиццу❤•🍕. И пицца тоже любит нас)))❤•Сегодня ребята из 11го ПНИ с волонтёрами Ирой и Верой были в ресторане Domino’s Pizza на Серпуховском валу. Вот рассказ Ирины Чёрненькой: «Это был не просто мастер-класс, а знакомство с компанией, ее истори...</t>
        </is>
      </c>
    </row>
    <row r="1268" ht="30" customHeight="1">
      <c r="A1268" s="28" t="n">
        <v>3484</v>
      </c>
      <c r="B1268" s="29" t="inlineStr">
        <is>
          <t>2018-05-21</t>
        </is>
      </c>
      <c r="C1268" s="30">
        <f>HYPERLINK("https://vk.com/wall-1825701_3484", "Открыть пост")</f>
        <v/>
      </c>
      <c r="D1268" s="31" t="inlineStr">
        <is>
          <t>Спектакли, концерты и музыкально-театральные занятия</t>
        </is>
      </c>
      <c r="E1268" s="31" t="inlineStr">
        <is>
          <t>Спектакли, концерты и музыкально-театральные занятия</t>
        </is>
      </c>
      <c r="F1268" s="31" t="inlineStr">
        <is>
          <t>Широкая аудитория, гости и благотворители (открытые события)</t>
        </is>
      </c>
      <c r="G1268" s="31" t="inlineStr">
        <is>
          <t>Студия фонда / выездная площадка</t>
        </is>
      </c>
      <c r="H1268" s="31" t="inlineStr">
        <is>
          <t>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t>
        </is>
      </c>
      <c r="I1268" s="32" t="inlineStr">
        <is>
          <t>По формату занятия</t>
        </is>
      </c>
      <c r="J1268" s="31" t="inlineStr">
        <is>
          <t>На обратном пути на кораблике традиции незыблемы — у нас концерт. Начали с небольшого, но душевного «театра с колёс». Сцену «Иван Иваныч — самовар» по Хармсу поставили прямо во время праздника наши опытные студийные режиссёры Галя и Ярослав. А потом выступали все желающие — пели ...</t>
        </is>
      </c>
    </row>
    <row r="1269" ht="30" customHeight="1">
      <c r="A1269" s="23" t="n">
        <v>3476</v>
      </c>
      <c r="B1269" s="24" t="inlineStr">
        <is>
          <t>2018-05-20</t>
        </is>
      </c>
      <c r="C1269" s="25">
        <f>HYPERLINK("https://vk.com/wall-1825701_3476", "Открыть пост")</f>
        <v/>
      </c>
      <c r="D1269" s="26" t="inlineStr">
        <is>
          <t>Творческие мастер-классы и художественные студии</t>
        </is>
      </c>
      <c r="E1269" s="26" t="inlineStr">
        <is>
          <t>Творческие мастер-классы и художественные студии</t>
        </is>
      </c>
      <c r="F1269" s="26" t="inlineStr">
        <is>
          <t>Подопечные фонда «Дети Марии» (общая группа детей и подростков)</t>
        </is>
      </c>
      <c r="G1269" s="26" t="inlineStr">
        <is>
          <t>Студия фонда / выездная площадка</t>
        </is>
      </c>
      <c r="H1269" s="26" t="inlineStr">
        <is>
          <t>Художественно-прикладные и ремесленные навыки; Артистические, музыкальные и спортивно-игровые навыки; Педагогические и наставнические навыки (кулинария, быт, учёба)</t>
        </is>
      </c>
      <c r="I1269" s="27" t="inlineStr">
        <is>
          <t>По формату занятия</t>
        </is>
      </c>
      <c r="J1269" s="26" t="inlineStr">
        <is>
          <t>В субботу занятия для детей Тверского района. Рисуем, выпиливаем, лепим из глины, играем в шахматы. Каждый пришёл со своими планами и идеями, и наши преподаватели помогают реализовать их все.</t>
        </is>
      </c>
    </row>
    <row r="1270" ht="30" customHeight="1">
      <c r="A1270" s="28" t="n">
        <v>3475</v>
      </c>
      <c r="B1270" s="29" t="inlineStr">
        <is>
          <t>2018-05-18</t>
        </is>
      </c>
      <c r="C1270" s="30">
        <f>HYPERLINK("https://vk.com/wall-1825701_3475", "Открыть пост")</f>
        <v/>
      </c>
      <c r="D1270" s="31" t="inlineStr">
        <is>
          <t>Спектакли, концерты и музыкально-театральные занятия</t>
        </is>
      </c>
      <c r="E1270" s="31" t="inlineStr">
        <is>
          <t>Спектакли, концерты и музыкально-театральные занятия</t>
        </is>
      </c>
      <c r="F1270" s="31" t="inlineStr">
        <is>
          <t>Воспитанники ЦССВ, ДДИ и детских домов-интернатов</t>
        </is>
      </c>
      <c r="G1270" s="31" t="inlineStr">
        <is>
          <t>Студия фонда / выездная площадка</t>
        </is>
      </c>
      <c r="H1270" s="31" t="inlineStr">
        <is>
          <t>Художественно-прикладные и ремесленные навыки; Артистические, музыкальные и спортивно-игровые навыки; Педагогические и наставнические навыки (кулинария, быт, учёба)</t>
        </is>
      </c>
      <c r="I1270" s="32" t="inlineStr">
        <is>
          <t>По формату занятия</t>
        </is>
      </c>
      <c r="J1270" s="31" t="inlineStr">
        <is>
          <t>А у нас сегодня были гости, да такие чудесные! Десять детей из детских домов Кировской и Ярославской области, от пяти до девяти лет. Они в Москве гостят по приглашению фонда «Здесь и сейчас», ходили на спектакль в Театр кукол Образцова, а потом к нам пришли — мы же прямо за театр...</t>
        </is>
      </c>
    </row>
    <row r="1271" ht="30" customHeight="1">
      <c r="A1271" s="23" t="n">
        <v>3470</v>
      </c>
      <c r="B1271" s="24" t="inlineStr">
        <is>
          <t>2018-05-17</t>
        </is>
      </c>
      <c r="C1271" s="25">
        <f>HYPERLINK("https://vk.com/wall-1825701_3470", "Открыть пост")</f>
        <v/>
      </c>
      <c r="D1271" s="26" t="inlineStr">
        <is>
          <t>Ярмарки, фестивали и благотворительные базары</t>
        </is>
      </c>
      <c r="E1271" s="26" t="inlineStr">
        <is>
          <t>Ярмарки, фестивали и благотворительные базары</t>
        </is>
      </c>
      <c r="F1271" s="26" t="inlineStr">
        <is>
          <t>Подопечные фонда «Дети Марии» (общая группа детей и подростков)</t>
        </is>
      </c>
      <c r="G1271" s="26" t="inlineStr">
        <is>
          <t>Студия фонда / выездная площадка</t>
        </is>
      </c>
      <c r="H1271" s="26" t="inlineStr">
        <is>
          <t>Организационные, ивент- и ярмарочные навыки</t>
        </is>
      </c>
      <c r="I1271" s="27" t="inlineStr">
        <is>
          <t>По формату занятия</t>
        </is>
      </c>
      <c r="J1271" s="26" t="inlineStr">
        <is>
          <t>Meet Владимир Шубин, узнайте, пожалуйста, репостните или даже выиграйте встречу на благотворительном аукционе встреч! Это давний друг наш и донор! О технологии бизнеса в России, о том, как обойти успешных конкурентов, с чего нужно начинать при создания личного стартапа, как выраб...</t>
        </is>
      </c>
    </row>
    <row r="1272" ht="30" customHeight="1">
      <c r="A1272" s="28" t="n">
        <v>3468</v>
      </c>
      <c r="B1272" s="29" t="inlineStr">
        <is>
          <t>2018-05-17</t>
        </is>
      </c>
      <c r="C1272" s="30">
        <f>HYPERLINK("https://vk.com/wall-1825701_3468", "Открыть пост")</f>
        <v/>
      </c>
      <c r="D1272" s="31" t="inlineStr">
        <is>
          <t>Творческие мастер-классы и художественные студии</t>
        </is>
      </c>
      <c r="E1272" s="31" t="inlineStr">
        <is>
          <t>Творческие мастер-классы и художественные студии; Выездные лагеря, дача и сезонные программы</t>
        </is>
      </c>
      <c r="F1272" s="31" t="inlineStr">
        <is>
          <t>Подопечные фонда «Дети Марии» (общая группа детей и подростков)</t>
        </is>
      </c>
      <c r="G1272" s="31" t="inlineStr">
        <is>
          <t>Студия фонда / выездная площадка</t>
        </is>
      </c>
      <c r="H1272" s="31" t="inlineStr">
        <is>
          <t>Художественно-прикладные и ремесленные навыки; Мобильность, выездное сопровождение и автоволонтёрство</t>
        </is>
      </c>
      <c r="I1272" s="32" t="inlineStr">
        <is>
          <t>По формату занятия</t>
        </is>
      </c>
      <c r="J1272" s="31" t="inlineStr">
        <is>
          <t>В загородных мастерских дети из Филимонок. Любимые занятия — керамика, мозаика, живопись — каждый выбирает для себя. А в конце занятия посмотрели фильмы Аси и Ани Сегалович. В нашем летнем лагере Ася и Аня тоже снимают фильмы — там истории придумывают и роли исполняют сами дети.</t>
        </is>
      </c>
    </row>
    <row r="1273" ht="30" customHeight="1">
      <c r="A1273" s="23" t="n">
        <v>3467</v>
      </c>
      <c r="B1273" s="24" t="inlineStr">
        <is>
          <t>2018-05-16</t>
        </is>
      </c>
      <c r="C1273" s="25">
        <f>HYPERLINK("https://vk.com/wall-1825701_3467", "Открыть пост")</f>
        <v/>
      </c>
      <c r="D1273" s="26" t="inlineStr">
        <is>
          <t>Творческие мастер-классы и художественные студии</t>
        </is>
      </c>
      <c r="E1273" s="26" t="inlineStr">
        <is>
          <t>Творческие мастер-классы и художественные студии</t>
        </is>
      </c>
      <c r="F1273" s="26" t="inlineStr">
        <is>
          <t>Воспитанники ЦССВ, ДДИ и детских домов-интернатов</t>
        </is>
      </c>
      <c r="G1273" s="26" t="inlineStr">
        <is>
          <t>ЦССВ «Юнона»</t>
        </is>
      </c>
      <c r="H1273" s="26" t="inlineStr">
        <is>
          <t>Художественно-прикладные и ремесленные навыки; Мобильность, выездное сопровождение и автоволонтёрство</t>
        </is>
      </c>
      <c r="I1273" s="27" t="inlineStr">
        <is>
          <t>По формату занятия</t>
        </is>
      </c>
      <c r="J1273" s="26" t="inlineStr">
        <is>
          <t>В студии дети из ЦССВ «Юнона». Света — наша взрослая подопечная, приезжает к нам на занятия в сопровождении соцработника. Очень трогательно сегодня занималась с Ваней, рисовали вместе. Танюшка в ожидании кораблика нарисовала наше будущее плавание с признанием в любви всем близким...</t>
        </is>
      </c>
    </row>
    <row r="1274" ht="30" customHeight="1">
      <c r="A1274" s="28" t="n">
        <v>3455</v>
      </c>
      <c r="B1274" s="29" t="inlineStr">
        <is>
          <t>2018-05-11</t>
        </is>
      </c>
      <c r="C1274" s="30">
        <f>HYPERLINK("https://vk.com/wall-1825701_3455", "Открыть пост")</f>
        <v/>
      </c>
      <c r="D1274" s="31" t="inlineStr">
        <is>
          <t>Творческие мастер-классы и художественные студии</t>
        </is>
      </c>
      <c r="E1274" s="31" t="inlineStr">
        <is>
          <t>Творческие мастер-классы и художественные студии; Спектакли, концерты и музыкально-театральные занятия</t>
        </is>
      </c>
      <c r="F1274" s="31" t="inlineStr">
        <is>
          <t>Воспитанники ЦССВ, ДДИ и детских домов-интернатов</t>
        </is>
      </c>
      <c r="G1274" s="31" t="inlineStr">
        <is>
          <t>ЦССВ «Спутник»</t>
        </is>
      </c>
      <c r="H1274" s="31" t="inlineStr">
        <is>
          <t>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t>
        </is>
      </c>
      <c r="I1274" s="32" t="inlineStr">
        <is>
          <t>Да (в тексте)</t>
        </is>
      </c>
      <c r="J1274" s="31" t="inlineStr">
        <is>
          <t>10 мая в сквере «У камня» в Малом Каретном переулке досуговые клубы Тверского района провели праздник для жителей «Весна Победы», «Дети Марии» тоже готовили и участвовали. На праздник пришли и стар, и млад. Через Совет ветеранов пригласили пожилых москвичей, среди которых было мн...</t>
        </is>
      </c>
    </row>
    <row r="1275" ht="30" customHeight="1">
      <c r="A1275" s="23" t="n">
        <v>3454</v>
      </c>
      <c r="B1275" s="24" t="inlineStr">
        <is>
          <t>2018-05-10</t>
        </is>
      </c>
      <c r="C1275" s="25">
        <f>HYPERLINK("https://vk.com/wall-1825701_3454", "Открыть пост")</f>
        <v/>
      </c>
      <c r="D1275" s="26" t="inlineStr">
        <is>
          <t>Спектакли, концерты и музыкально-театральные занятия</t>
        </is>
      </c>
      <c r="E1275" s="26" t="inlineStr">
        <is>
          <t>Спектакли, концерты и музыкально-театральные занятия; Творческие мастер-классы и художественные студии</t>
        </is>
      </c>
      <c r="F1275" s="26" t="inlineStr">
        <is>
          <t>Подопечные фонда «Дети Марии» (общая группа детей и подростков)</t>
        </is>
      </c>
      <c r="G1275" s="26" t="inlineStr">
        <is>
          <t>Студия фонда / выездная площадка</t>
        </is>
      </c>
      <c r="H1275" s="26" t="inlineStr">
        <is>
          <t>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t>
        </is>
      </c>
      <c r="I1275" s="27" t="inlineStr">
        <is>
          <t>Да (в тексте)</t>
        </is>
      </c>
      <c r="J1275" s="26" t="inlineStr">
        <is>
          <t>День Победы в районе продолжается. Сегодня мы участвовали в празднике на Миусской площади. Был отличный концерт: выступал кадетский корпус, много музыкальных коллективов, дети читали стихи, клуб «Ковчег» показал пантомиму, а наш волонтёр Ярослав (он же сотрудник центра «Шапо-синт...</t>
        </is>
      </c>
    </row>
    <row r="1276" ht="30" customHeight="1">
      <c r="A1276" s="28" t="n">
        <v>3452</v>
      </c>
      <c r="B1276" s="29" t="inlineStr">
        <is>
          <t>2018-05-10</t>
        </is>
      </c>
      <c r="C1276" s="30">
        <f>HYPERLINK("https://vk.com/wall-1825701_3452", "Открыть пост")</f>
        <v/>
      </c>
      <c r="D1276" s="31" t="inlineStr">
        <is>
          <t>Ярмарки, фестивали и благотворительные базары</t>
        </is>
      </c>
      <c r="E1276" s="31" t="inlineStr">
        <is>
          <t>Ярмарки, фестивали и благотворительные базары</t>
        </is>
      </c>
      <c r="F1276" s="31" t="inlineStr">
        <is>
          <t>Подопечные фонда «Дети Марии» (общая группа детей и подростков)</t>
        </is>
      </c>
      <c r="G1276" s="31" t="inlineStr">
        <is>
          <t>Студия фонда / выездная площадка</t>
        </is>
      </c>
      <c r="H1276" s="31" t="inlineStr">
        <is>
          <t>Организационные, ивент- и ярмарочные навыки</t>
        </is>
      </c>
      <c r="I1276" s="32" t="inlineStr">
        <is>
          <t>По формату занятия</t>
        </is>
      </c>
      <c r="J1276" s="31" t="inlineStr">
        <is>
          <t>Огромное спасибо удивительным одиннадцатиклассникам из группы Mercy Moscow, которые несмотря на предстоящие вскоре экзамены по своей инициативе провели у себя в школе благотворительную ярмарку в помощь нашей студии. Отзывчивые ученики и родители пожертвовали нам 17750 рублей! Мы ...</t>
        </is>
      </c>
    </row>
    <row r="1277" ht="30" customHeight="1">
      <c r="A1277" s="23" t="n">
        <v>3451</v>
      </c>
      <c r="B1277" s="24" t="inlineStr">
        <is>
          <t>2018-05-09</t>
        </is>
      </c>
      <c r="C1277" s="25">
        <f>HYPERLINK("https://vk.com/wall-1825701_3451", "Открыть пост")</f>
        <v/>
      </c>
      <c r="D1277" s="26" t="inlineStr">
        <is>
          <t>Кулинарные, образовательные и социально-бытовые занятия</t>
        </is>
      </c>
      <c r="E1277" s="26" t="inlineStr">
        <is>
          <t>Кулинарные, образовательные и социально-бытовые занятия; Творческие мастер-классы и художественные студии</t>
        </is>
      </c>
      <c r="F1277" s="26" t="inlineStr">
        <is>
          <t>Подопечные фонда «Дети Марии» (общая группа детей и подростков)</t>
        </is>
      </c>
      <c r="G1277" s="26" t="inlineStr">
        <is>
          <t>Студия фонда / выездная площадка</t>
        </is>
      </c>
      <c r="H1277" s="26" t="inlineStr">
        <is>
          <t>Артистические, музыкальные и спортивно-игровые навыки; Организационные, ивент- и ярмарочные навыки</t>
        </is>
      </c>
      <c r="I1277" s="27" t="inlineStr">
        <is>
          <t>По формату занятия</t>
        </is>
      </c>
      <c r="J1277" s="26" t="inlineStr">
        <is>
          <t>8 мая накануне Дня Победы в Екатерининском парке прошёл праздник «Сирень Победы», организованный префектурой ЦАО Москвы. НКО района провели квест с мастер-классами. По нашему приглашению дети, которые занимаются у нас в студии, тоже побывали на празднике, поздравляли и благодарил...</t>
        </is>
      </c>
    </row>
    <row r="1278" ht="30" customHeight="1">
      <c r="A1278" s="28" t="n">
        <v>3445</v>
      </c>
      <c r="B1278" s="29" t="inlineStr">
        <is>
          <t>2018-05-06</t>
        </is>
      </c>
      <c r="C1278" s="30">
        <f>HYPERLINK("https://vk.com/wall-1825701_3445", "Открыть пост")</f>
        <v/>
      </c>
      <c r="D1278" s="31" t="inlineStr">
        <is>
          <t>Творческие мастер-классы и художественные студии</t>
        </is>
      </c>
      <c r="E1278" s="31" t="inlineStr">
        <is>
          <t>Творческие мастер-классы и художественные студии</t>
        </is>
      </c>
      <c r="F1278" s="31" t="inlineStr">
        <is>
          <t>Подростки и взрослые с ментальными особенностями и ОВЗ (ПНИ / Социальные дома)</t>
        </is>
      </c>
      <c r="G1278" s="31" t="inlineStr">
        <is>
          <t>Студия фонда / выездная площадка</t>
        </is>
      </c>
      <c r="H1278" s="31" t="inlineStr">
        <is>
          <t>Художественно-прикладные и ремесленные навыки; Организационные, ивент- и ярмарочные навыки</t>
        </is>
      </c>
      <c r="I1278" s="32" t="inlineStr">
        <is>
          <t>По формату занятия</t>
        </is>
      </c>
      <c r="J1278" s="31" t="inlineStr">
        <is>
          <t>В праздники многие разъехались, так что «домашние» дети не занимались, но Вика из ПНИ 20 приехала в студию и продолжала с Нюсей рисовать большую картину с замками и принцессами.</t>
        </is>
      </c>
    </row>
    <row r="1279" ht="30" customHeight="1">
      <c r="A1279" s="23" t="n">
        <v>3438</v>
      </c>
      <c r="B1279" s="24" t="inlineStr">
        <is>
          <t>2018-04-30</t>
        </is>
      </c>
      <c r="C1279" s="25">
        <f>HYPERLINK("https://vk.com/wall-1825701_3438", "Открыть пост")</f>
        <v/>
      </c>
      <c r="D1279" s="26" t="inlineStr">
        <is>
          <t>Выставки, экскурсии и культурные выходы</t>
        </is>
      </c>
      <c r="E1279" s="26" t="inlineStr">
        <is>
          <t>Выставки, экскурсии и культурные выходы; Творческие мастер-классы и художественные студии</t>
        </is>
      </c>
      <c r="F1279" s="26" t="inlineStr">
        <is>
          <t>Воспитанники ЦССВ, ДДИ и детских домов-интернатов; Выпускники интернатов и детских домов (молодые взрослые)</t>
        </is>
      </c>
      <c r="G1279" s="26" t="inlineStr">
        <is>
          <t>Студия фонда / выездная площадка</t>
        </is>
      </c>
      <c r="H1279" s="26" t="inlineStr">
        <is>
          <t>Организационные, ивент- и ярмарочные навыки</t>
        </is>
      </c>
      <c r="I1279" s="27" t="inlineStr">
        <is>
          <t>Да (в тексте)</t>
        </is>
      </c>
      <c r="J1279" s="26" t="inlineStr">
        <is>
          <t>В Черногории, в городе Будва есть галерея наших больших друзей Magic Yard. Зимой несколько наших сотрудников и волонтёров приезжали туда на серию творческих мастер-классов. В галерее появился стеллаж с работами наших ребят — детей из детских домов и выпускников интернатов. Все вы...</t>
        </is>
      </c>
    </row>
    <row r="1280" ht="30" customHeight="1">
      <c r="A1280" s="28" t="n">
        <v>3435</v>
      </c>
      <c r="B1280" s="29" t="inlineStr">
        <is>
          <t>2018-04-27</t>
        </is>
      </c>
      <c r="C1280" s="30">
        <f>HYPERLINK("https://vk.com/wall-1825701_3435", "Открыть пост")</f>
        <v/>
      </c>
      <c r="D1280" s="31" t="inlineStr">
        <is>
          <t>Кулинарные, образовательные и социально-бытовые занятия</t>
        </is>
      </c>
      <c r="E1280" s="31" t="inlineStr">
        <is>
          <t>Кулинарные, образовательные и социально-бытовые занятия; Творческие мастер-классы и художественные студии</t>
        </is>
      </c>
      <c r="F1280" s="31" t="inlineStr">
        <is>
          <t>Подростки и взрослые с ментальными особенностями и ОВЗ (ПНИ / Социальные дома)</t>
        </is>
      </c>
      <c r="G1280" s="31" t="inlineStr">
        <is>
          <t>Студия фонда / выездная площадка</t>
        </is>
      </c>
      <c r="H1280" s="31" t="inlineStr">
        <is>
          <t>Педагогические и наставнические навыки (кулинария, быт, учёба)</t>
        </is>
      </c>
      <c r="I1280" s="32" t="inlineStr">
        <is>
          <t>Да (в тексте)</t>
        </is>
      </c>
      <c r="J1280" s="31" t="inlineStr">
        <is>
          <t>Чтобы ребята из ПНИ 16, волонтёры и гости не путались в поиске нужных предметов в шкафчиках нашей кухни, художники придумали нарисовать вместе с ребятами поясняющие картинки. Вот сегодня вместе и приклеивали. Теперь во время кулинарных мастер-классов удобнее будет!</t>
        </is>
      </c>
    </row>
    <row r="1281" ht="30" customHeight="1">
      <c r="A1281" s="23" t="n">
        <v>3431</v>
      </c>
      <c r="B1281" s="24" t="inlineStr">
        <is>
          <t>2018-04-26</t>
        </is>
      </c>
      <c r="C1281" s="25">
        <f>HYPERLINK("https://vk.com/wall-1825701_3431", "Открыть пост")</f>
        <v/>
      </c>
      <c r="D1281" s="26" t="inlineStr">
        <is>
          <t>Выставки, экскурсии и культурные выходы</t>
        </is>
      </c>
      <c r="E1281" s="26" t="inlineStr">
        <is>
          <t>Выставки, экскурсии и культурные выходы</t>
        </is>
      </c>
      <c r="F1281" s="26" t="inlineStr">
        <is>
          <t>Подростки и взрослые с ментальными особенностями и ОВЗ (ПНИ / Социальные дома); Воспитанники ЦССВ, ДДИ и детских домов-интернатов</t>
        </is>
      </c>
      <c r="G1281" s="26" t="inlineStr">
        <is>
          <t>Студия фонда / выездная площадка</t>
        </is>
      </c>
      <c r="H1281" s="26" t="inlineStr">
        <is>
          <t>Артистические, музыкальные и спортивно-игровые навыки; Медиа, фото/видеосъёмка и культурная медиация</t>
        </is>
      </c>
      <c r="I1281" s="27" t="inlineStr">
        <is>
          <t>По формату занятия</t>
        </is>
      </c>
      <c r="J1281" s="26" t="inlineStr">
        <is>
          <t>Сегодня ребята из ПНИ 16 с Аллой Тягуновой побывали в музее Юрия Никулина, который находится в школе циркового искусства. Юрий Владимирович помогал этой школе, раньше это был детский дом, потом школа-интернат, в которой росли будущие звёзды цирка. Ребята узнали о жизни известного...</t>
        </is>
      </c>
    </row>
    <row r="1282" ht="30" customHeight="1">
      <c r="A1282" s="28" t="n">
        <v>3430</v>
      </c>
      <c r="B1282" s="29" t="inlineStr">
        <is>
          <t>2018-04-25</t>
        </is>
      </c>
      <c r="C1282" s="30">
        <f>HYPERLINK("https://vk.com/wall-1825701_3430", "Открыть пост")</f>
        <v/>
      </c>
      <c r="D1282" s="31" t="inlineStr">
        <is>
          <t>Творческие мастер-классы и художественные студии</t>
        </is>
      </c>
      <c r="E1282" s="31" t="inlineStr">
        <is>
          <t>Творческие мастер-классы и художественные студии</t>
        </is>
      </c>
      <c r="F1282" s="31" t="inlineStr">
        <is>
          <t>Подопечные фонда «Дети Марии» (общая группа детей и подростков)</t>
        </is>
      </c>
      <c r="G1282" s="31" t="inlineStr">
        <is>
          <t>Студия фонда / выездная площадка</t>
        </is>
      </c>
      <c r="H1282" s="31" t="inlineStr">
        <is>
          <t>Коммуникативные навыки, эмпатия и тьюторское сопровождение</t>
        </is>
      </c>
      <c r="I1282" s="32" t="inlineStr">
        <is>
          <t>По формату занятия</t>
        </is>
      </c>
      <c r="J1282" s="31" t="inlineStr">
        <is>
          <t>Занимаясь творчеством, дети познают мир. Именно через творчество дети обретают себя в мире и мир в себе (разделяем полностью эту мысль Елены Макаровой, арт-терапевта, педагога, писателя, историка). А взрослые могут вдохновить и направить. Для наших же детей ценность общения с чут...</t>
        </is>
      </c>
    </row>
    <row r="1283" ht="30" customHeight="1">
      <c r="A1283" s="23" t="n">
        <v>3423</v>
      </c>
      <c r="B1283" s="24" t="inlineStr">
        <is>
          <t>2018-04-23</t>
        </is>
      </c>
      <c r="C1283" s="25">
        <f>HYPERLINK("https://vk.com/wall-1825701_3423", "Открыть пост")</f>
        <v/>
      </c>
      <c r="D1283" s="26" t="inlineStr">
        <is>
          <t>Творческие мастер-классы и художественные студии</t>
        </is>
      </c>
      <c r="E1283" s="26" t="inlineStr">
        <is>
          <t>Творческие мастер-классы и художественные студии</t>
        </is>
      </c>
      <c r="F1283" s="26" t="inlineStr">
        <is>
          <t>Подопечные фонда «Дети Марии» (общая группа детей и подростков)</t>
        </is>
      </c>
      <c r="G1283" s="26" t="inlineStr">
        <is>
          <t>Студия фонда / выездная площадка</t>
        </is>
      </c>
      <c r="H1283" s="26" t="inlineStr">
        <is>
          <t>Художественно-прикладные и ремесленные навыки; Организационные, ивент- и ярмарочные навыки</t>
        </is>
      </c>
      <c r="I1283" s="27" t="inlineStr">
        <is>
          <t>По формату занятия</t>
        </is>
      </c>
      <c r="J1283" s="26" t="inlineStr">
        <is>
          <t>Из АНО «Дети» в воскресенье в студию приехали три семьи. Мамы и папы в который раз говорили о том, как здорово заниматься творчеством вместе с детьми. Продолжили делать открытки к празднику Победы. Мы их передадим в Совет ветеранов Тверского района. Святослав — удивительный мальч...</t>
        </is>
      </c>
    </row>
    <row r="1284" ht="30" customHeight="1">
      <c r="A1284" s="28" t="n">
        <v>3418</v>
      </c>
      <c r="B1284" s="29" t="inlineStr">
        <is>
          <t>2018-04-19</t>
        </is>
      </c>
      <c r="C1284" s="30">
        <f>HYPERLINK("https://vk.com/wall-1825701_3418", "Открыть пост")</f>
        <v/>
      </c>
      <c r="D1284" s="31" t="inlineStr">
        <is>
          <t>Выставки, экскурсии и культурные выходы</t>
        </is>
      </c>
      <c r="E1284" s="31" t="inlineStr">
        <is>
          <t>Выставки, экскурсии и культурные выходы</t>
        </is>
      </c>
      <c r="F1284" s="31" t="inlineStr">
        <is>
          <t>Воспитанники ЦССВ, ДДИ и детских домов-интернатов</t>
        </is>
      </c>
      <c r="G1284" s="31" t="inlineStr">
        <is>
          <t>интерната № 31</t>
        </is>
      </c>
      <c r="H1284" s="31" t="inlineStr">
        <is>
          <t>Артистические, музыкальные и спортивно-игровые навыки</t>
        </is>
      </c>
      <c r="I1284" s="32" t="inlineStr">
        <is>
          <t>По формату занятия</t>
        </is>
      </c>
      <c r="J1284" s="31" t="inlineStr">
        <is>
          <t>Дети из школы-интерната № 31 побывали сегодня с нами в Музее декоративно-прикладного искусства, этот музей находится с нами на одной Делегатской улице. Посмотрели очень яркую, пёструю и радостную выставку африканской одежды и аксессуаров, а потом и основную экспозицию музея — рус...</t>
        </is>
      </c>
    </row>
    <row r="1285" ht="30" customHeight="1">
      <c r="A1285" s="23" t="n">
        <v>3413</v>
      </c>
      <c r="B1285" s="24" t="inlineStr">
        <is>
          <t>2018-04-17</t>
        </is>
      </c>
      <c r="C1285" s="25">
        <f>HYPERLINK("https://vk.com/wall-1825701_3413", "Открыть пост")</f>
        <v/>
      </c>
      <c r="D1285" s="26" t="inlineStr">
        <is>
          <t>Праздники, дни рождения и клубные встречи</t>
        </is>
      </c>
      <c r="E1285" s="26" t="inlineStr">
        <is>
          <t>Праздники, дни рождения и клубные встречи</t>
        </is>
      </c>
      <c r="F1285" s="26" t="inlineStr">
        <is>
          <t>Подростки и взрослые с ментальными особенностями и ОВЗ (ПНИ / Социальные дома)</t>
        </is>
      </c>
      <c r="G1285" s="26" t="inlineStr">
        <is>
          <t>Студия фонда / выездная площадка</t>
        </is>
      </c>
      <c r="H1285" s="26" t="inlineStr">
        <is>
          <t>Коммуникативные навыки, эмпатия и тьюторское сопровождение</t>
        </is>
      </c>
      <c r="I1285" s="27" t="inlineStr">
        <is>
          <t>По формату занятия</t>
        </is>
      </c>
      <c r="J1285" s="26" t="inlineStr">
        <is>
          <t>И сегодня, в день рождения студии, у нас занятия, целых две группы, и это лучший нам всем подарок. С утра взрослые из ПНИ 16. Творят увлечённо и весело.</t>
        </is>
      </c>
    </row>
    <row r="1286" ht="30" customHeight="1">
      <c r="A1286" s="28" t="n">
        <v>3411</v>
      </c>
      <c r="B1286" s="29" t="inlineStr">
        <is>
          <t>2018-04-17</t>
        </is>
      </c>
      <c r="C1286" s="30">
        <f>HYPERLINK("https://vk.com/wall-1825701_3411", "Открыть пост")</f>
        <v/>
      </c>
      <c r="D1286" s="31" t="inlineStr">
        <is>
          <t>Выездные лагеря, дача и сезонные программы</t>
        </is>
      </c>
      <c r="E1286" s="31" t="inlineStr">
        <is>
          <t>Выездные лагеря, дача и сезонные программы</t>
        </is>
      </c>
      <c r="F1286" s="31" t="inlineStr">
        <is>
          <t>Дети и семьи (в т.ч. приёмные семьи и программа в Беслане)</t>
        </is>
      </c>
      <c r="G1286" s="31" t="inlineStr">
        <is>
          <t>Беслан</t>
        </is>
      </c>
      <c r="H1286" s="31" t="inlineStr">
        <is>
          <t>Мобильность, выездное сопровождение и автоволонтёрство</t>
        </is>
      </c>
      <c r="I1286" s="32" t="inlineStr">
        <is>
          <t>Да (в тексте)</t>
        </is>
      </c>
      <c r="J1286" s="31" t="inlineStr">
        <is>
          <t>Эти ребята приехали из Беслана к нам в летний лагерь малышами-третьеклашками, а теперь помогают как волонтёры и вот поздравили студию с днём рождения! Любим и любуемся❤•спасибо, дорогие❤•</t>
        </is>
      </c>
    </row>
    <row r="1287" ht="30" customHeight="1">
      <c r="A1287" s="23" t="n">
        <v>3410</v>
      </c>
      <c r="B1287" s="24" t="inlineStr">
        <is>
          <t>2018-04-17</t>
        </is>
      </c>
      <c r="C1287" s="25">
        <f>HYPERLINK("https://vk.com/wall-1825701_3410", "Открыть пост")</f>
        <v/>
      </c>
      <c r="D1287" s="26" t="inlineStr">
        <is>
          <t>Творческие мастер-классы и художественные студии</t>
        </is>
      </c>
      <c r="E1287" s="26" t="inlineStr">
        <is>
          <t>Творческие мастер-классы и художественные студии</t>
        </is>
      </c>
      <c r="F1287" s="26" t="inlineStr">
        <is>
          <t>Дети и семьи (в т.ч. приёмные семьи и программа в Беслане)</t>
        </is>
      </c>
      <c r="G1287" s="26" t="inlineStr">
        <is>
          <t>Беслан</t>
        </is>
      </c>
      <c r="H1287" s="26" t="inlineStr">
        <is>
          <t>Художественно-прикладные и ремесленные навыки; Артистические, музыкальные и спортивно-игровые навыки; Педагогические и наставнические навыки (кулинария, быт, учёба)</t>
        </is>
      </c>
      <c r="I1287" s="27" t="inlineStr">
        <is>
          <t>По формату занятия</t>
        </is>
      </c>
      <c r="J1287" s="26" t="inlineStr">
        <is>
          <t>Не успевали держать вас в курсе всего того, что происходило в Беслане, поэтому с некоторым опозданием показываем и рассказываем ещё об одном традиционном мастер-классе, который в Первой школе уже третий год проводит наша преподавательница керамики Ира Рокотнина. А помогает ей Джа...</t>
        </is>
      </c>
    </row>
    <row r="1288" ht="30" customHeight="1">
      <c r="A1288" s="28" t="n">
        <v>3409</v>
      </c>
      <c r="B1288" s="29" t="inlineStr">
        <is>
          <t>2018-04-16</t>
        </is>
      </c>
      <c r="C1288" s="30">
        <f>HYPERLINK("https://vk.com/wall-1825701_3409", "Открыть пост")</f>
        <v/>
      </c>
      <c r="D1288" s="31" t="inlineStr">
        <is>
          <t>Выставки, экскурсии и культурные выходы</t>
        </is>
      </c>
      <c r="E1288" s="31" t="inlineStr">
        <is>
          <t>Выставки, экскурсии и культурные выходы; Творческие мастер-классы и художественные студии</t>
        </is>
      </c>
      <c r="F1288" s="31" t="inlineStr">
        <is>
          <t>Подростки и взрослые с ментальными особенностями и ОВЗ (ПНИ / Социальные дома)</t>
        </is>
      </c>
      <c r="G1288" s="31" t="inlineStr">
        <is>
          <t>Студия фонда / выездная площадка</t>
        </is>
      </c>
      <c r="H1288" s="31" t="inlineStr">
        <is>
          <t>Художественно-прикладные и ремесленные навыки; Педагогические и наставнические навыки (кулинария, быт, учёба); Мобильность, выездное сопровождение и автоволонтёрство; Медиа, фото/видеосъёмка и культурная медиация</t>
        </is>
      </c>
      <c r="I1288" s="32" t="inlineStr">
        <is>
          <t>Да (в тексте)</t>
        </is>
      </c>
      <c r="J1288" s="31" t="inlineStr">
        <is>
          <t>В планетарий на Воробьевых горах съездили сегодня ребята из ПНИ 16. Сначала их провели по зимнему саду, где много тропических растений и бассейн с рыбками. Затем прошли по этажам Дворца пионеров и увидели документальные фотографии за 75 лет его существования. Ребята посмотрели вы...</t>
        </is>
      </c>
    </row>
    <row r="1289" ht="30" customHeight="1">
      <c r="A1289" s="23" t="n">
        <v>3403</v>
      </c>
      <c r="B1289" s="24" t="inlineStr">
        <is>
          <t>2018-04-16</t>
        </is>
      </c>
      <c r="C1289" s="25">
        <f>HYPERLINK("https://vk.com/wall-1825701_3403", "Открыть пост")</f>
        <v/>
      </c>
      <c r="D1289" s="26" t="inlineStr">
        <is>
          <t>Спектакли, концерты и музыкально-театральные занятия</t>
        </is>
      </c>
      <c r="E1289" s="26" t="inlineStr">
        <is>
          <t>Спектакли, концерты и музыкально-театральные занятия; Праздники, дни рождения и клубные встречи</t>
        </is>
      </c>
      <c r="F1289" s="26" t="inlineStr">
        <is>
          <t>Воспитанники ЦССВ, ДДИ и детских домов-интернатов; Широкая аудитория, гости и благотворители (открытые события)</t>
        </is>
      </c>
      <c r="G1289" s="26" t="inlineStr">
        <is>
          <t>ЦССВ «Спутник»</t>
        </is>
      </c>
      <c r="H1289" s="26" t="inlineStr">
        <is>
          <t>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t>
        </is>
      </c>
      <c r="I1289" s="27" t="inlineStr">
        <is>
          <t>По формату занятия</t>
        </is>
      </c>
      <c r="J1289" s="26" t="inlineStr">
        <is>
          <t>17 апреля 1997 года «Дети Марии» были зарегистрированы официально, и этот день мы каждый год празднуем как наш общий день рождения. В этом году нам 21 год! День рождения студии мы отметили уже вчера, в воскресенье, в уютном и гостеприимном ресторане ОбедБуфет на Войковской. В нач...</t>
        </is>
      </c>
    </row>
    <row r="1290" ht="30" customHeight="1">
      <c r="A1290" s="28" t="n">
        <v>3400</v>
      </c>
      <c r="B1290" s="29" t="inlineStr">
        <is>
          <t>2018-04-15</t>
        </is>
      </c>
      <c r="C1290" s="30">
        <f>HYPERLINK("https://vk.com/wall-1825701_3400", "Открыть пост")</f>
        <v/>
      </c>
      <c r="D1290" s="31" t="inlineStr">
        <is>
          <t>Волонтёрские встречи, обучение и дни открытых дверей</t>
        </is>
      </c>
      <c r="E1290" s="31" t="inlineStr">
        <is>
          <t>Волонтёрские встречи, обучение и дни открытых дверей; Творческие мастер-классы и художественные студии</t>
        </is>
      </c>
      <c r="F1290" s="31" t="inlineStr">
        <is>
          <t>Подопечные фонда «Дети Марии» (общая группа детей и подростков)</t>
        </is>
      </c>
      <c r="G1290" s="31" t="inlineStr">
        <is>
          <t>Студия фонда / выездная площадка</t>
        </is>
      </c>
      <c r="H1290" s="31" t="inlineStr">
        <is>
          <t>Художественно-прикладные и ремесленные навыки; Организационные, ивент- и ярмарочные навыки</t>
        </is>
      </c>
      <c r="I1290" s="32" t="inlineStr">
        <is>
          <t>По формату занятия</t>
        </is>
      </c>
      <c r="J1290" s="31" t="inlineStr">
        <is>
          <t>Утром был субботник, а вечером, как всегда — занятия для детей из окрестных домов. В керамической сегодня расписывали тарелки, вазочки. В рукодельной — продолжали делать детали для коллективного валяного панно про страну сладкоежек. И ещё сов валяли по желанию детей. Спасибо Мише...</t>
        </is>
      </c>
    </row>
    <row r="1291" ht="30" customHeight="1">
      <c r="A1291" s="23" t="n">
        <v>3399</v>
      </c>
      <c r="B1291" s="24" t="inlineStr">
        <is>
          <t>2018-04-14</t>
        </is>
      </c>
      <c r="C1291" s="25">
        <f>HYPERLINK("https://vk.com/wall-1825701_3399", "Открыть пост")</f>
        <v/>
      </c>
      <c r="D1291" s="26" t="inlineStr">
        <is>
          <t>Волонтёрские встречи, обучение и дни открытых дверей</t>
        </is>
      </c>
      <c r="E1291" s="26" t="inlineStr">
        <is>
          <t>Волонтёрские встречи, обучение и дни открытых дверей</t>
        </is>
      </c>
      <c r="F1291" s="26" t="inlineStr">
        <is>
          <t>Подопечные фонда «Дети Марии» (общая группа детей и подростков)</t>
        </is>
      </c>
      <c r="G1291" s="26" t="inlineStr">
        <is>
          <t>Студия фонда / выездная площадка</t>
        </is>
      </c>
      <c r="H1291" s="26" t="inlineStr">
        <is>
          <t>Организационные, ивент- и ярмарочные навыки</t>
        </is>
      </c>
      <c r="I1291" s="27" t="inlineStr">
        <is>
          <t>Да (в тексте)</t>
        </is>
      </c>
      <c r="J1291" s="26" t="inlineStr">
        <is>
          <t>Сегодня субботник — наши волонтёры вместе с представителями других НКО Тверского района убирали прошлогоднюю листву в Антроповском сквере. С погодой повезло, а делать хорошее дело вместе с друзьями было весело и даже приятно. Спасибо, ребята!</t>
        </is>
      </c>
    </row>
    <row r="1292" ht="30" customHeight="1">
      <c r="A1292" s="28" t="n">
        <v>3397</v>
      </c>
      <c r="B1292" s="29" t="inlineStr">
        <is>
          <t>2018-04-13</t>
        </is>
      </c>
      <c r="C1292" s="30">
        <f>HYPERLINK("https://vk.com/wall-1825701_3397", "Открыть пост")</f>
        <v/>
      </c>
      <c r="D1292" s="31" t="inlineStr">
        <is>
          <t>Ярмарки, фестивали и благотворительные базары</t>
        </is>
      </c>
      <c r="E1292" s="31" t="inlineStr">
        <is>
          <t>Ярмарки, фестивали и благотворительные базары; Выставки, экскурсии и культурные выходы</t>
        </is>
      </c>
      <c r="F1292" s="31" t="inlineStr">
        <is>
          <t>Подростки и взрослые с ментальными особенностями и ОВЗ (ПНИ / Социальные дома)</t>
        </is>
      </c>
      <c r="G1292" s="31" t="inlineStr">
        <is>
          <t>Студия фонда / выездная площадка</t>
        </is>
      </c>
      <c r="H1292" s="31" t="inlineStr">
        <is>
          <t>Мобильность, выездное сопровождение и автоволонтёрство</t>
        </is>
      </c>
      <c r="I1292" s="32" t="inlineStr">
        <is>
          <t>По формату занятия</t>
        </is>
      </c>
      <c r="J1292" s="31" t="inlineStr">
        <is>
          <t>ЧАСТЬ 1. Сегодня ребята из ПНИ 16 позанимались, как обычно, в студии, подкрепились основательнее, чем обычно, обедом (спасибо бригаде шеф-поваров: Алле, Ирине, Анне и Вере!). И поехали в Пушкинский музей на фестиваль мировоззренческого кино — смотреть фильмы и мультфильмы, работы...</t>
        </is>
      </c>
    </row>
    <row r="1293" ht="30" customHeight="1">
      <c r="A1293" s="23" t="n">
        <v>3393</v>
      </c>
      <c r="B1293" s="24" t="inlineStr">
        <is>
          <t>2018-04-12</t>
        </is>
      </c>
      <c r="C1293" s="25">
        <f>HYPERLINK("https://vk.com/wall-1825701_3393", "Открыть пост")</f>
        <v/>
      </c>
      <c r="D1293" s="26" t="inlineStr">
        <is>
          <t>Выездные лагеря, дача и сезонные программы</t>
        </is>
      </c>
      <c r="E1293" s="26" t="inlineStr">
        <is>
          <t>Выездные лагеря, дача и сезонные программы; Творческие мастер-классы и художественные студии</t>
        </is>
      </c>
      <c r="F1293" s="26" t="inlineStr">
        <is>
          <t>Воспитанники ЦССВ, ДДИ и детских домов-интернатов; Выпускники интернатов и детских домов (молодые взрослые)</t>
        </is>
      </c>
      <c r="G1293" s="26" t="inlineStr">
        <is>
          <t>ЦССВ «Юнона»</t>
        </is>
      </c>
      <c r="H1293" s="26"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 Мобильность, выездное сопровождение и автоволонтёрство</t>
        </is>
      </c>
      <c r="I1293" s="27" t="inlineStr">
        <is>
          <t>По формату занятия</t>
        </is>
      </c>
      <c r="J1293" s="26" t="inlineStr">
        <is>
          <t>Дети из ЦССВ «Юнона» уехали в лагерь — у них каникулы. Так что выпускники «Юноны» вчера получили много внимания преподавателей — и рисовали, и в чтении практиковались.</t>
        </is>
      </c>
    </row>
    <row r="1294" ht="30" customHeight="1">
      <c r="A1294" s="28" t="n">
        <v>3392</v>
      </c>
      <c r="B1294" s="29" t="inlineStr">
        <is>
          <t>2018-04-12</t>
        </is>
      </c>
      <c r="C1294" s="30">
        <f>HYPERLINK("https://vk.com/wall-1825701_3392", "Открыть пост")</f>
        <v/>
      </c>
      <c r="D1294" s="31" t="inlineStr">
        <is>
          <t>Творческие мастер-классы и художественные студии</t>
        </is>
      </c>
      <c r="E1294" s="31" t="inlineStr">
        <is>
          <t>Творческие мастер-классы и художественные студии</t>
        </is>
      </c>
      <c r="F1294" s="31" t="inlineStr">
        <is>
          <t>Воспитанники ЦССВ, ДДИ и детских домов-интернатов; Дети и семьи (в т.ч. приёмные семьи и программа в Беслане)</t>
        </is>
      </c>
      <c r="G1294" s="31" t="inlineStr">
        <is>
          <t>ЦССВ «Спутник», беслан</t>
        </is>
      </c>
      <c r="H1294" s="31" t="inlineStr">
        <is>
          <t>Художественно-прикладные и ремесленные навыки; Коммуникативные навыки, эмпатия и тьюторское сопровождение; Организационные, ивент- и ярмарочные навыки; Мобильность, выездное сопровождение и автоволонтёрство</t>
        </is>
      </c>
      <c r="I1294" s="32" t="inlineStr">
        <is>
          <t>По формату занятия</t>
        </is>
      </c>
      <c r="J1294" s="31" t="inlineStr">
        <is>
          <t>Продолжаем рассказ о нашей поездке в Осетию и её участниках. С Людмилой Павловной мы задружились, когда она была завучем ЦССВ «Спутник». В бесланской школе Людмила Павловна провела мастер-классы по оригами. Мы давно восхищаемся её энергией, юмором, организаторским талантом и забо...</t>
        </is>
      </c>
    </row>
    <row r="1295" ht="30" customHeight="1">
      <c r="A1295" s="23" t="n">
        <v>3383</v>
      </c>
      <c r="B1295" s="24" t="inlineStr">
        <is>
          <t>2018-04-10</t>
        </is>
      </c>
      <c r="C1295" s="25">
        <f>HYPERLINK("https://vk.com/wall-1825701_3383", "Открыть пост")</f>
        <v/>
      </c>
      <c r="D1295" s="26" t="inlineStr">
        <is>
          <t>Выставки, экскурсии и культурные выходы</t>
        </is>
      </c>
      <c r="E1295" s="26" t="inlineStr">
        <is>
          <t>Выставки, экскурсии и культурные выходы</t>
        </is>
      </c>
      <c r="F1295" s="26" t="inlineStr">
        <is>
          <t>Подопечные фонда «Дети Марии» (общая группа детей и подростков)</t>
        </is>
      </c>
      <c r="G1295" s="26" t="inlineStr">
        <is>
          <t>Студия фонда / выездная площадка</t>
        </is>
      </c>
      <c r="H1295" s="26" t="inlineStr">
        <is>
          <t>Коммуникативные навыки, эмпатия и тьюторское сопровождение</t>
        </is>
      </c>
      <c r="I1295" s="27" t="inlineStr">
        <is>
          <t>По формату занятия</t>
        </is>
      </c>
      <c r="J1295" s="26" t="inlineStr">
        <is>
          <t>В городской суете Место есть красоте! . Выставка картин подопечных нашего центра на Новом Арбате. #московскиесезоны #пасхальныйдар</t>
        </is>
      </c>
    </row>
    <row r="1296" ht="30" customHeight="1">
      <c r="A1296" s="28" t="n">
        <v>3382</v>
      </c>
      <c r="B1296" s="29" t="inlineStr">
        <is>
          <t>2018-04-10</t>
        </is>
      </c>
      <c r="C1296" s="30">
        <f>HYPERLINK("https://vk.com/wall-1825701_3382", "Открыть пост")</f>
        <v/>
      </c>
      <c r="D1296" s="31" t="inlineStr">
        <is>
          <t>Выставки, экскурсии и культурные выходы</t>
        </is>
      </c>
      <c r="E1296" s="31" t="inlineStr">
        <is>
          <t>Выставки, экскурсии и культурные выходы</t>
        </is>
      </c>
      <c r="F1296" s="31" t="inlineStr">
        <is>
          <t>Подростки и взрослые с ментальными особенностями и ОВЗ (ПНИ / Социальные дома)</t>
        </is>
      </c>
      <c r="G1296" s="31" t="inlineStr">
        <is>
          <t>Студия фонда / выездная площадка</t>
        </is>
      </c>
      <c r="H1296" s="31" t="inlineStr">
        <is>
          <t>Мобильность, выездное сопровождение и автоволонтёрство</t>
        </is>
      </c>
      <c r="I1296" s="32" t="inlineStr">
        <is>
          <t>По формату занятия</t>
        </is>
      </c>
      <c r="J1296" s="31" t="inlineStr">
        <is>
          <t>Вчера ребята из ПНИ 16 ездили на экскурсию в Крокус Сити Океанариум. Услышали рассказ про обитателей морей. Увидели всевозможных рыб, черепах, акул, скатов, морских звёзд и осьминога. А ещё там есть зоопарк, так что мы видели и пингвинов, обезьян, лемуров. Очень впечатлил павильо...</t>
        </is>
      </c>
    </row>
    <row r="1297" ht="30" customHeight="1">
      <c r="A1297" s="23" t="n">
        <v>3380</v>
      </c>
      <c r="B1297" s="24" t="inlineStr">
        <is>
          <t>2018-04-09</t>
        </is>
      </c>
      <c r="C1297" s="25">
        <f>HYPERLINK("https://vk.com/wall-1825701_3380", "Открыть пост")</f>
        <v/>
      </c>
      <c r="D1297" s="26" t="inlineStr">
        <is>
          <t>Выставки, экскурсии и культурные выходы</t>
        </is>
      </c>
      <c r="E1297" s="26" t="inlineStr">
        <is>
          <t>Выставки, экскурсии и культурные выходы</t>
        </is>
      </c>
      <c r="F1297" s="26" t="inlineStr">
        <is>
          <t>Подопечные фонда «Дети Марии» (общая группа детей и подростков)</t>
        </is>
      </c>
      <c r="G1297" s="26" t="inlineStr">
        <is>
          <t>Студия фонда / выездная площадка</t>
        </is>
      </c>
      <c r="H1297" s="26" t="inlineStr">
        <is>
          <t>Коммуникативные навыки, эмпатия и тьюторское сопровождение</t>
        </is>
      </c>
      <c r="I1297" s="27" t="inlineStr">
        <is>
          <t>По формату занятия</t>
        </is>
      </c>
      <c r="J1297" s="26" t="inlineStr">
        <is>
          <t>Картины наших детей украсили город! Выставка работ воспитанников «Художественного центра «Дети Марии» на Новом Арбате — круглосуточно, бесплатно, на радость всем! #московскиесезоны #пасхальныйдар</t>
        </is>
      </c>
    </row>
    <row r="1298" ht="30" customHeight="1">
      <c r="A1298" s="28" t="n">
        <v>3375</v>
      </c>
      <c r="B1298" s="29" t="inlineStr">
        <is>
          <t>2018-04-08</t>
        </is>
      </c>
      <c r="C1298" s="30">
        <f>HYPERLINK("https://vk.com/wall-1825701_3375", "Открыть пост")</f>
        <v/>
      </c>
      <c r="D1298" s="31" t="inlineStr">
        <is>
          <t>Спектакли, концерты и музыкально-театральные занятия</t>
        </is>
      </c>
      <c r="E1298" s="31" t="inlineStr">
        <is>
          <t>Спектакли, концерты и музыкально-театральные занятия</t>
        </is>
      </c>
      <c r="F1298" s="31" t="inlineStr">
        <is>
          <t>Дети и семьи (в т.ч. приёмные семьи и программа в Беслане)</t>
        </is>
      </c>
      <c r="G1298" s="31" t="inlineStr">
        <is>
          <t>беслан, Беслан</t>
        </is>
      </c>
      <c r="H1298" s="31" t="inlineStr">
        <is>
          <t>Артистические, музыкальные и спортивно-игровые навыки; Мобильность, выездное сопровождение и автоволонтёрство</t>
        </is>
      </c>
      <c r="I1298" s="32" t="inlineStr">
        <is>
          <t>По формату занятия</t>
        </is>
      </c>
      <c r="J1298" s="31" t="inlineStr">
        <is>
          <t>Посмотрите, какие люди расписывали стену в бесланской школе! Во главе с самим Пэтчем Адамсом! Наша поездка завершается. Вчера прошёл гала-концерт, на котором Марию и всю нашу группу поблагодарила администрация города Беслана (последнее фото).</t>
        </is>
      </c>
    </row>
    <row r="1299" ht="30" customHeight="1">
      <c r="A1299" s="23" t="n">
        <v>3374</v>
      </c>
      <c r="B1299" s="24" t="inlineStr">
        <is>
          <t>2018-04-07</t>
        </is>
      </c>
      <c r="C1299" s="25">
        <f>HYPERLINK("https://vk.com/wall-1825701_3374", "Открыть пост")</f>
        <v/>
      </c>
      <c r="D1299" s="26" t="inlineStr">
        <is>
          <t>Спектакли, концерты и музыкально-театральные занятия</t>
        </is>
      </c>
      <c r="E1299" s="26" t="inlineStr">
        <is>
          <t>Спектакли, концерты и музыкально-театральные занятия</t>
        </is>
      </c>
      <c r="F1299" s="26" t="inlineStr">
        <is>
          <t>Подростки и взрослые с ментальными особенностями и ОВЗ (ПНИ / Социальные дома); Воспитанники ЦССВ, ДДИ и детских домов-интернатов</t>
        </is>
      </c>
      <c r="G1299" s="26" t="inlineStr">
        <is>
          <t>ЦССВ «Спутник»</t>
        </is>
      </c>
      <c r="H1299" s="26" t="inlineStr">
        <is>
          <t>Артистические, музыкальные и спортивно-игровые навыки</t>
        </is>
      </c>
      <c r="I1299" s="27" t="inlineStr">
        <is>
          <t>Да (в тексте)</t>
        </is>
      </c>
      <c r="J1299" s="26" t="inlineStr">
        <is>
          <t>Недавно наши ребята из ПНИ 16, ЦССВ «Спутник» и 31го интерната по приглашению Натальи Черкасовой и компании «Ланит» побывали в консерватории, многие впервые. Слушали музыку из диснеевских мультфильмов в исполнении симфонического оркестра и смотрели фрагменты мультфильмов. Такое в...</t>
        </is>
      </c>
    </row>
    <row r="1300" ht="30" customHeight="1">
      <c r="A1300" s="28" t="n">
        <v>3373</v>
      </c>
      <c r="B1300" s="29" t="inlineStr">
        <is>
          <t>2018-04-07</t>
        </is>
      </c>
      <c r="C1300" s="30">
        <f>HYPERLINK("https://vk.com/wall-1825701_3373", "Открыть пост")</f>
        <v/>
      </c>
      <c r="D1300" s="31" t="inlineStr">
        <is>
          <t>Творческие мастер-классы и художественные студии</t>
        </is>
      </c>
      <c r="E1300" s="31" t="inlineStr">
        <is>
          <t>Творческие мастер-классы и художественные студии</t>
        </is>
      </c>
      <c r="F1300" s="31" t="inlineStr">
        <is>
          <t>Дети и семьи (в т.ч. приёмные семьи и программа в Беслане)</t>
        </is>
      </c>
      <c r="G1300" s="31" t="inlineStr">
        <is>
          <t>беслан</t>
        </is>
      </c>
      <c r="H1300" s="31" t="inlineStr">
        <is>
          <t>Художественно-прикладные и ремесленные навыки; Медиа, фото/видеосъёмка и культурная медиация</t>
        </is>
      </c>
      <c r="I1300" s="32" t="inlineStr">
        <is>
          <t>По формату занятия</t>
        </is>
      </c>
      <c r="J1300" s="31" t="inlineStr">
        <is>
          <t>Наши педагоги Ясин и Дима проводят сразу два мастер-класса в бесланской школе — рисование автопортретов по фотографии и изготовление блокнотов. И оба с аншлагом!</t>
        </is>
      </c>
    </row>
    <row r="1301" ht="30" customHeight="1">
      <c r="A1301" s="23" t="n">
        <v>3371</v>
      </c>
      <c r="B1301" s="24" t="inlineStr">
        <is>
          <t>2018-04-06</t>
        </is>
      </c>
      <c r="C1301" s="25">
        <f>HYPERLINK("https://vk.com/wall-1825701_3371", "Открыть пост")</f>
        <v/>
      </c>
      <c r="D1301" s="26" t="inlineStr">
        <is>
          <t>Творческие мастер-классы и художественные студии</t>
        </is>
      </c>
      <c r="E1301" s="26" t="inlineStr">
        <is>
          <t>Творческие мастер-классы и художественные студии</t>
        </is>
      </c>
      <c r="F1301" s="26" t="inlineStr">
        <is>
          <t>Подростки и взрослые с ментальными особенностями и ОВЗ (ПНИ / Социальные дома)</t>
        </is>
      </c>
      <c r="G1301" s="26" t="inlineStr">
        <is>
          <t>Студия фонда / выездная площадка</t>
        </is>
      </c>
      <c r="H1301" s="26" t="inlineStr">
        <is>
          <t>Художественно-прикладные и ремесленные навыки</t>
        </is>
      </c>
      <c r="I1301" s="27" t="inlineStr">
        <is>
          <t>Да (в тексте)</t>
        </is>
      </c>
      <c r="J1301" s="26" t="inlineStr">
        <is>
          <t>Чудесные волонтёры-студентки, которые приходят на занятия с ребятами из ПНИ 16, сегодня провели мастер-класс по росписи пасхальных яиц. Спасибо! В керамической осваивали новую форму мисок. А на кухне тем временем своё творчество — волонтёр Анна с помощником Мишей Алтуфьевым приго...</t>
        </is>
      </c>
    </row>
    <row r="1302" ht="30" customHeight="1">
      <c r="A1302" s="28" t="n">
        <v>3370</v>
      </c>
      <c r="B1302" s="29" t="inlineStr">
        <is>
          <t>2018-04-06</t>
        </is>
      </c>
      <c r="C1302" s="30">
        <f>HYPERLINK("https://vk.com/wall-1825701_3370", "Открыть пост")</f>
        <v/>
      </c>
      <c r="D1302" s="31" t="inlineStr">
        <is>
          <t>Творческие мастер-классы и художественные студии</t>
        </is>
      </c>
      <c r="E1302" s="31" t="inlineStr">
        <is>
          <t>Творческие мастер-классы и художественные студии</t>
        </is>
      </c>
      <c r="F1302" s="31" t="inlineStr">
        <is>
          <t>Дети и семьи (в т.ч. приёмные семьи и программа в Беслане)</t>
        </is>
      </c>
      <c r="G1302" s="31" t="inlineStr">
        <is>
          <t>Беслан</t>
        </is>
      </c>
      <c r="H1302" s="31" t="inlineStr">
        <is>
          <t>Художественно-прикладные и ремесленные навыки; Артистические, музыкальные и спортивно-игровые навыки; Мобильность, выездное сопровождение и автоволонтёрство</t>
        </is>
      </c>
      <c r="I1302" s="32" t="inlineStr">
        <is>
          <t>Да (в тексте)</t>
        </is>
      </c>
      <c r="J1302" s="31" t="inlineStr">
        <is>
          <t>Продолжается поездка в Северную Осетию. Второй день волонтёры гостят в нашей любимой Первой школе города Беслана. Проводим мастер-классы и игры, начали новую роспись стены. Дети нас встретили как старых друзей и долгожданных гостей и очень активно во всём участвуют!</t>
        </is>
      </c>
    </row>
    <row r="1303" ht="30" customHeight="1">
      <c r="A1303" s="23" t="n">
        <v>3368</v>
      </c>
      <c r="B1303" s="24" t="inlineStr">
        <is>
          <t>2018-04-05</t>
        </is>
      </c>
      <c r="C1303" s="25">
        <f>HYPERLINK("https://vk.com/wall-1825701_3368", "Открыть пост")</f>
        <v/>
      </c>
      <c r="D1303" s="26" t="inlineStr">
        <is>
          <t>Ярмарки, фестивали и благотворительные базары</t>
        </is>
      </c>
      <c r="E1303" s="26" t="inlineStr">
        <is>
          <t>Ярмарки, фестивали и благотворительные базары; Выставки, экскурсии и культурные выходы</t>
        </is>
      </c>
      <c r="F1303" s="26" t="inlineStr">
        <is>
          <t>Подопечные фонда «Дети Марии» (общая группа детей и подростков)</t>
        </is>
      </c>
      <c r="G1303" s="26" t="inlineStr">
        <is>
          <t>Студия фонда / выездная площадка</t>
        </is>
      </c>
      <c r="H1303" s="26" t="inlineStr">
        <is>
          <t>Коммуникативные навыки, эмпатия и тьюторское сопровождение; Организационные, ивент- и ярмарочные навыки</t>
        </is>
      </c>
      <c r="I1303" s="27" t="inlineStr">
        <is>
          <t>По формату занятия</t>
        </is>
      </c>
      <c r="J1303" s="26" t="inlineStr">
        <is>
          <t>Сегодня, пока дети были в музее, взрослые фандрайзили на продолжение программ студии на благотворительной ярмарке в Сбербанке на Кутузовском. Нафандрайзили ни много, ни мало 85675 рублей — сотрудники там невероятно активные и щедрые, отзывчивые и живо реагирующие! Спасибо организ...</t>
        </is>
      </c>
    </row>
    <row r="1304" ht="30" customHeight="1">
      <c r="A1304" s="28" t="n">
        <v>3367</v>
      </c>
      <c r="B1304" s="29" t="inlineStr">
        <is>
          <t>2018-04-05</t>
        </is>
      </c>
      <c r="C1304" s="30">
        <f>HYPERLINK("https://vk.com/wall-1825701_3367", "Открыть пост")</f>
        <v/>
      </c>
      <c r="D1304" s="31" t="inlineStr">
        <is>
          <t>Творческие мастер-классы и художественные студии</t>
        </is>
      </c>
      <c r="E1304" s="31" t="inlineStr">
        <is>
          <t>Творческие мастер-классы и художественные студии</t>
        </is>
      </c>
      <c r="F1304" s="31" t="inlineStr">
        <is>
          <t>Подопечные фонда «Дети Марии» (общая группа детей и подростков)</t>
        </is>
      </c>
      <c r="G1304" s="31" t="inlineStr">
        <is>
          <t>Студия фонда / выездная площадка</t>
        </is>
      </c>
      <c r="H1304" s="31" t="inlineStr">
        <is>
          <t>Художественно-прикладные и ремесленные навыки</t>
        </is>
      </c>
      <c r="I1304" s="32" t="inlineStr">
        <is>
          <t>По формату занятия</t>
        </is>
      </c>
      <c r="J1304" s="31" t="inlineStr">
        <is>
          <t>Неделя выдалась музейная! Сегодня с детьми из 31й школы-интерната мы побывали в доме-музее Виктора Михайловича Васнецова. В этом музее сказочно всё — и само здание, и резная старинная мебель, и главное — картины. Ведь самые известные полотна Васнецова написаны на сюжеты русских с...</t>
        </is>
      </c>
    </row>
    <row r="1305" ht="30" customHeight="1">
      <c r="A1305" s="23" t="n">
        <v>3364</v>
      </c>
      <c r="B1305" s="24" t="inlineStr">
        <is>
          <t>2018-04-04</t>
        </is>
      </c>
      <c r="C1305" s="25">
        <f>HYPERLINK("https://vk.com/wall-1825701_3364", "Открыть пост")</f>
        <v/>
      </c>
      <c r="D1305" s="26" t="inlineStr">
        <is>
          <t>Выездные лагеря, дача и сезонные программы</t>
        </is>
      </c>
      <c r="E1305" s="26" t="inlineStr">
        <is>
          <t>Выездные лагеря, дача и сезонные программы</t>
        </is>
      </c>
      <c r="F1305" s="26" t="inlineStr">
        <is>
          <t>Подростки и взрослые с ментальными особенностями и ОВЗ (ПНИ / Социальные дома); Воспитанники ЦССВ, ДДИ и детских домов-интернатов; Дети и семьи (в т.ч. приёмные семьи и программа в Беслане)</t>
        </is>
      </c>
      <c r="G1305" s="26" t="inlineStr">
        <is>
          <t>Беслан</t>
        </is>
      </c>
      <c r="H1305" s="26" t="inlineStr">
        <is>
          <t>Коммуникативные навыки, эмпатия и тьюторское сопровождение; Артистические, музыкальные и спортивно-игровые навыки; Мобильность, выездное сопровождение и автоволонтёрство</t>
        </is>
      </c>
      <c r="I1305" s="27" t="inlineStr">
        <is>
          <t>Да (в тексте)</t>
        </is>
      </c>
      <c r="J1305" s="26" t="inlineStr">
        <is>
          <t>Вчера команда наших волонтёров из Москвы, Америки и Беслана побывала в детском доме города Моздока. Несколько ребят и психолог Алёна приезжали прошлым летом в наш лагерь, и наши волонтёры уже не раз навещали детский дом, но такой звёздный состав — впервые! Здорово было увидеть зн...</t>
        </is>
      </c>
    </row>
    <row r="1306" ht="30" customHeight="1">
      <c r="A1306" s="28" t="n">
        <v>3355</v>
      </c>
      <c r="B1306" s="29" t="inlineStr">
        <is>
          <t>2018-04-02</t>
        </is>
      </c>
      <c r="C1306" s="30">
        <f>HYPERLINK("https://vk.com/wall-1825701_3355", "Открыть пост")</f>
        <v/>
      </c>
      <c r="D1306" s="31" t="inlineStr">
        <is>
          <t>Выставки, экскурсии и культурные выходы</t>
        </is>
      </c>
      <c r="E1306" s="31" t="inlineStr">
        <is>
          <t>Выставки, экскурсии и культурные выходы</t>
        </is>
      </c>
      <c r="F1306" s="31" t="inlineStr">
        <is>
          <t>Подростки и взрослые с ментальными особенностями и ОВЗ (ПНИ / Социальные дома)</t>
        </is>
      </c>
      <c r="G1306" s="31" t="inlineStr">
        <is>
          <t>интерната №11</t>
        </is>
      </c>
      <c r="H1306" s="31" t="inlineStr">
        <is>
          <t>Мобильность, выездное сопровождение и автоволонтёрство</t>
        </is>
      </c>
      <c r="I1306" s="32" t="inlineStr">
        <is>
          <t>По формату занятия</t>
        </is>
      </c>
      <c r="J1306" s="31" t="inlineStr">
        <is>
          <t>Мы с ребятами из психоневрологического интерната №11 здорово провели сегодня полдня в Музей русского импрессионизма. Это очень атмосферное место, и сам музей (бывший склад муки и сахара в круглом здании на территории кондитерской фабрики «Большевик»), и пространство старых кирпич...</t>
        </is>
      </c>
    </row>
    <row r="1307" ht="30" customHeight="1">
      <c r="A1307" s="23" t="n">
        <v>3354</v>
      </c>
      <c r="B1307" s="24" t="inlineStr">
        <is>
          <t>2018-04-02</t>
        </is>
      </c>
      <c r="C1307" s="25">
        <f>HYPERLINK("https://vk.com/wall-1825701_3354", "Открыть пост")</f>
        <v/>
      </c>
      <c r="D1307" s="26" t="inlineStr">
        <is>
          <t>Творческие мастер-классы и художественные студии</t>
        </is>
      </c>
      <c r="E1307" s="26" t="inlineStr">
        <is>
          <t>Творческие мастер-классы и художественные студии; Спортивные и активные мероприятия</t>
        </is>
      </c>
      <c r="F1307" s="26" t="inlineStr">
        <is>
          <t>Воспитанники ЦССВ, ДДИ и детских домов-интернатов</t>
        </is>
      </c>
      <c r="G1307" s="26" t="inlineStr">
        <is>
          <t>ЦССВ «Спутник»</t>
        </is>
      </c>
      <c r="H1307" s="26" t="inlineStr">
        <is>
          <t>Художественно-прикладные и ремесленные навыки; Артистические, музыкальные и спортивно-игровые навыки</t>
        </is>
      </c>
      <c r="I1307" s="27" t="inlineStr">
        <is>
          <t>По формату занятия</t>
        </is>
      </c>
      <c r="J1307" s="26" t="inlineStr">
        <is>
          <t>Дети из ЦССВ «Спутник» приехали в студию большой гурьбой, а ещё и «домашние» пришли, так что второе занятие сегодня вышло многолюдным. Кроме рисования, валяния, выпиливания ещё устроили импровизированный турнир по шашкам, Максим получил приз лично от играющего тренера Лёши Ждамир...</t>
        </is>
      </c>
    </row>
    <row r="1308" ht="30" customHeight="1">
      <c r="A1308" s="28" t="n">
        <v>3350</v>
      </c>
      <c r="B1308" s="29" t="inlineStr">
        <is>
          <t>2018-03-30</t>
        </is>
      </c>
      <c r="C1308" s="30">
        <f>HYPERLINK("https://vk.com/wall-1825701_3350", "Открыть пост")</f>
        <v/>
      </c>
      <c r="D1308" s="31" t="inlineStr">
        <is>
          <t>Творческие мастер-классы и художественные студии</t>
        </is>
      </c>
      <c r="E1308" s="31" t="inlineStr">
        <is>
          <t>Творческие мастер-классы и художественные студии</t>
        </is>
      </c>
      <c r="F1308" s="31" t="inlineStr">
        <is>
          <t>Подростки и взрослые с ментальными особенностями и ОВЗ (ПНИ / Социальные дома)</t>
        </is>
      </c>
      <c r="G1308" s="31" t="inlineStr">
        <is>
          <t>Студия фонда / выездная площадка</t>
        </is>
      </c>
      <c r="H1308" s="31"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 Мобильность, выездное сопровождение и автоволонтёрство</t>
        </is>
      </c>
      <c r="I1308" s="32" t="inlineStr">
        <is>
          <t>Да (в тексте)</t>
        </is>
      </c>
      <c r="J1308" s="31" t="inlineStr">
        <is>
          <t>В студии ребята из ПНИ 16 и их друзья волонтёры, волонтёров много, что замечательно — ребята получают индивидуальное внимание. Маша Орехова наконец выздровела после простуды и получила все подарки, переданные нам после поста о Машиных мечтах — диск с мультфильмами и фильмами, мно...</t>
        </is>
      </c>
    </row>
    <row r="1309" ht="30" customHeight="1">
      <c r="A1309" s="23" t="n">
        <v>3337</v>
      </c>
      <c r="B1309" s="24" t="inlineStr">
        <is>
          <t>2018-03-24</t>
        </is>
      </c>
      <c r="C1309" s="25">
        <f>HYPERLINK("https://vk.com/wall-1825701_3337", "Открыть пост")</f>
        <v/>
      </c>
      <c r="D1309" s="26" t="inlineStr">
        <is>
          <t>Выездные лагеря, дача и сезонные программы</t>
        </is>
      </c>
      <c r="E1309" s="26" t="inlineStr">
        <is>
          <t>Выездные лагеря, дача и сезонные программы</t>
        </is>
      </c>
      <c r="F1309" s="26" t="inlineStr">
        <is>
          <t>Воспитанники ЦССВ, ДДИ и детских домов-интернатов</t>
        </is>
      </c>
      <c r="G1309" s="26" t="inlineStr">
        <is>
          <t>ЦССВ «Спутник»</t>
        </is>
      </c>
      <c r="H1309" s="26" t="inlineStr">
        <is>
          <t>Коммуникативные навыки, эмпатия и тьюторское сопровождение</t>
        </is>
      </c>
      <c r="I1309" s="27" t="inlineStr">
        <is>
          <t>По формату занятия</t>
        </is>
      </c>
      <c r="J1309" s="26" t="inlineStr">
        <is>
          <t>Занятия детей из ЦССВ «Спутник» в загородных мастерских. Мишка слепил мишку, Артём расписывает доску с Пасхе. Приехали две новых девочки, Оля и Катя, и тоже нашли себе занятие по душе.</t>
        </is>
      </c>
    </row>
    <row r="1310" ht="30" customHeight="1">
      <c r="A1310" s="28" t="n">
        <v>3332</v>
      </c>
      <c r="B1310" s="29" t="inlineStr">
        <is>
          <t>2018-03-22</t>
        </is>
      </c>
      <c r="C1310" s="30">
        <f>HYPERLINK("https://vk.com/wall-1825701_3332", "Открыть пост")</f>
        <v/>
      </c>
      <c r="D1310" s="31" t="inlineStr">
        <is>
          <t>Выездные лагеря, дача и сезонные программы</t>
        </is>
      </c>
      <c r="E1310" s="31" t="inlineStr">
        <is>
          <t>Выездные лагеря, дача и сезонные программы</t>
        </is>
      </c>
      <c r="F1310" s="31" t="inlineStr">
        <is>
          <t>Подопечные фонда «Дети Марии» (общая группа детей и подростков)</t>
        </is>
      </c>
      <c r="G1310" s="31" t="inlineStr">
        <is>
          <t>Студия фонда / выездная площадка</t>
        </is>
      </c>
      <c r="H1310" s="31" t="inlineStr">
        <is>
          <t>Артистические, музыкальные и спортивно-игровые навыки; Педагогические и наставнические навыки (кулинария, быт, учёба)</t>
        </is>
      </c>
      <c r="I1310" s="32" t="inlineStr">
        <is>
          <t>По формату занятия</t>
        </is>
      </c>
      <c r="J1310" s="31" t="inlineStr">
        <is>
          <t>Занятия детей из Филимонок в загородных мастерских вчера разнообразились прекрасной музыкой и хохочущей Лизой, которую Даша учила ходить, пока Джастин учил других ребят математике.</t>
        </is>
      </c>
    </row>
    <row r="1311" ht="30" customHeight="1">
      <c r="A1311" s="23" t="n">
        <v>3329</v>
      </c>
      <c r="B1311" s="24" t="inlineStr">
        <is>
          <t>2018-03-21</t>
        </is>
      </c>
      <c r="C1311" s="25">
        <f>HYPERLINK("https://vk.com/wall-1825701_3329", "Открыть пост")</f>
        <v/>
      </c>
      <c r="D1311" s="26" t="inlineStr">
        <is>
          <t>Ярмарки, фестивали и благотворительные базары</t>
        </is>
      </c>
      <c r="E1311" s="26" t="inlineStr">
        <is>
          <t>Ярмарки, фестивали и благотворительные базары; Выставки, экскурсии и культурные выходы</t>
        </is>
      </c>
      <c r="F1311" s="26" t="inlineStr">
        <is>
          <t>Подопечные фонда «Дети Марии» (общая группа детей и подростков)</t>
        </is>
      </c>
      <c r="G1311" s="26" t="inlineStr">
        <is>
          <t>Студия фонда / выездная площадка</t>
        </is>
      </c>
      <c r="H1311" s="26" t="inlineStr">
        <is>
          <t>Организационные, ивент- и ярмарочные навыки</t>
        </is>
      </c>
      <c r="I1311" s="27" t="inlineStr">
        <is>
          <t>По формату занятия</t>
        </is>
      </c>
      <c r="J1311" s="26" t="inlineStr">
        <is>
          <t>У бедных художников был Третьяков, а у нас есть прекрасная Яна Приходченко! На благотворительном аукционе Meet For Charity разыгрывается встреча с этой лучезарной девушкой! Яна руководит в Сбербанке и участвует в занятиях с детьми в нашей студии, а ещё у неё уже достаточно обширн...</t>
        </is>
      </c>
    </row>
    <row r="1312" ht="30" customHeight="1">
      <c r="A1312" s="28" t="n">
        <v>3320</v>
      </c>
      <c r="B1312" s="29" t="inlineStr">
        <is>
          <t>2018-03-19</t>
        </is>
      </c>
      <c r="C1312" s="30">
        <f>HYPERLINK("https://vk.com/wall-1825701_3320", "Открыть пост")</f>
        <v/>
      </c>
      <c r="D1312" s="31" t="inlineStr">
        <is>
          <t>Ярмарки, фестивали и благотворительные базары</t>
        </is>
      </c>
      <c r="E1312" s="31" t="inlineStr">
        <is>
          <t>Ярмарки, фестивали и благотворительные базары</t>
        </is>
      </c>
      <c r="F1312" s="31" t="inlineStr">
        <is>
          <t>Подопечные фонда «Дети Марии» (общая группа детей и подростков)</t>
        </is>
      </c>
      <c r="G1312" s="31" t="inlineStr">
        <is>
          <t>Студия фонда / выездная площадка</t>
        </is>
      </c>
      <c r="H1312" s="31" t="inlineStr">
        <is>
          <t>Организационные, ивент- и ярмарочные навыки</t>
        </is>
      </c>
      <c r="I1312" s="32" t="inlineStr">
        <is>
          <t>По формату занятия</t>
        </is>
      </c>
      <c r="J1312" s="31" t="inlineStr">
        <is>
          <t>Новый прекрасный герой на благотворительном аукционе Meet For Charity в пользу студии «Дети Марии» — Гюванч Донмез, генеральный директор Domino’s Pizza в России. Сердечно благодарим Гюванча, а вам желаем не упустить свой шанс и выиграть встречу с ним! https://meetforcharity.today...</t>
        </is>
      </c>
    </row>
    <row r="1313" ht="30" customHeight="1">
      <c r="A1313" s="23" t="n">
        <v>3314</v>
      </c>
      <c r="B1313" s="24" t="inlineStr">
        <is>
          <t>2018-03-17</t>
        </is>
      </c>
      <c r="C1313" s="25">
        <f>HYPERLINK("https://vk.com/wall-1825701_3314", "Открыть пост")</f>
        <v/>
      </c>
      <c r="D1313" s="26" t="inlineStr">
        <is>
          <t>Выездные лагеря, дача и сезонные программы</t>
        </is>
      </c>
      <c r="E1313" s="26" t="inlineStr">
        <is>
          <t>Выездные лагеря, дача и сезонные программы; Праздники, дни рождения и клубные встречи; Творческие мастер-классы и художественные студии</t>
        </is>
      </c>
      <c r="F1313" s="26" t="inlineStr">
        <is>
          <t>Подростки и взрослые с ментальными особенностями и ОВЗ (ПНИ / Социальные дома); Воспитанники ЦССВ, ДДИ и детских домов-интернатов</t>
        </is>
      </c>
      <c r="G1313" s="26" t="inlineStr">
        <is>
          <t>Студия фонда / выездная площадка</t>
        </is>
      </c>
      <c r="H1313" s="26" t="inlineStr">
        <is>
          <t>Художественно-прикладные и ремесленные навыки; Артистические, музыкальные и спортивно-игровые навыки; Мобильность, выездное сопровождение и автоволонтёрство</t>
        </is>
      </c>
      <c r="I1313" s="27" t="inlineStr">
        <is>
          <t>Да (в тексте)</t>
        </is>
      </c>
      <c r="J1313" s="26" t="inlineStr">
        <is>
          <t>Знакомим читателей ещё с одной Катей. Катю Тарасову мы знаем с тех пор, как она была в детском доме №28. Эмоциональная, живая, артистичная, очень непосредственная и открытая, Катя была звездой сцены и дискотек ещё в нашем летнем лагере на Селигере. Вот уже несколько лет Катя живё...</t>
        </is>
      </c>
    </row>
    <row r="1314" ht="30" customHeight="1">
      <c r="A1314" s="28" t="n">
        <v>3312</v>
      </c>
      <c r="B1314" s="29" t="inlineStr">
        <is>
          <t>2018-03-16</t>
        </is>
      </c>
      <c r="C1314" s="30">
        <f>HYPERLINK("https://vk.com/wall-1825701_3312", "Открыть пост")</f>
        <v/>
      </c>
      <c r="D1314" s="31" t="inlineStr">
        <is>
          <t>Праздники, дни рождения и клубные встречи</t>
        </is>
      </c>
      <c r="E1314" s="31" t="inlineStr">
        <is>
          <t>Праздники, дни рождения и клубные встречи</t>
        </is>
      </c>
      <c r="F1314" s="31" t="inlineStr">
        <is>
          <t>Подростки и взрослые с ментальными особенностями и ОВЗ (ПНИ / Социальные дома)</t>
        </is>
      </c>
      <c r="G1314" s="31" t="inlineStr">
        <is>
          <t>Студия фонда / выездная площадка</t>
        </is>
      </c>
      <c r="H1314" s="31" t="inlineStr">
        <is>
          <t>Организационные, ивент- и ярмарочные навыки</t>
        </is>
      </c>
      <c r="I1314" s="32" t="inlineStr">
        <is>
          <t>Да (в тексте)</t>
        </is>
      </c>
      <c r="J1314" s="31" t="inlineStr">
        <is>
          <t>Ребята из ПНИ 16 в студии, каждый занят любимым делом. Пока все рисуют, лепят, валяют, поют, Миша с волонтёром Анной Павловской готовят вишнёвый пирог. Апофеозом программы — чаепитие с пирогом и поздравление Васи Андросова с днём рождения.</t>
        </is>
      </c>
    </row>
    <row r="1315" ht="30" customHeight="1">
      <c r="A1315" s="23" t="n">
        <v>3305</v>
      </c>
      <c r="B1315" s="24" t="inlineStr">
        <is>
          <t>2018-03-14</t>
        </is>
      </c>
      <c r="C1315" s="25">
        <f>HYPERLINK("https://vk.com/wall-1825701_3305", "Открыть пост")</f>
        <v/>
      </c>
      <c r="D1315" s="26" t="inlineStr">
        <is>
          <t>Творческие мастер-классы и художественные студии</t>
        </is>
      </c>
      <c r="E1315" s="26" t="inlineStr">
        <is>
          <t>Творческие мастер-классы и художественные студии</t>
        </is>
      </c>
      <c r="F1315" s="26" t="inlineStr">
        <is>
          <t>Воспитанники ЦССВ, ДДИ и детских домов-интернатов</t>
        </is>
      </c>
      <c r="G1315" s="26" t="inlineStr">
        <is>
          <t>Студия фонда / выездная площадка</t>
        </is>
      </c>
      <c r="H1315" s="26" t="inlineStr">
        <is>
          <t>Художественно-прикладные и ремесленные навыки</t>
        </is>
      </c>
      <c r="I1315" s="27" t="inlineStr">
        <is>
          <t>По формату занятия</t>
        </is>
      </c>
      <c r="J1315" s="26" t="inlineStr">
        <is>
          <t>Выпусники «Юноны» Дима и Кирилл подгадывают свой визит в студию к приезду детей из той же «Юноны» — и пообщаться, и показать мастер-класс по рисованию. Кстати, если у вас дома или на работе висит календарь с картинами наших ребят, в марте — именно димина работа!</t>
        </is>
      </c>
    </row>
    <row r="1316" ht="30" customHeight="1">
      <c r="A1316" s="28" t="n">
        <v>3303</v>
      </c>
      <c r="B1316" s="29" t="inlineStr">
        <is>
          <t>2018-03-14</t>
        </is>
      </c>
      <c r="C1316" s="30">
        <f>HYPERLINK("https://vk.com/wall-1825701_3303", "Открыть пост")</f>
        <v/>
      </c>
      <c r="D1316" s="31" t="inlineStr">
        <is>
          <t>Ярмарки, фестивали и благотворительные базары</t>
        </is>
      </c>
      <c r="E1316" s="31" t="inlineStr">
        <is>
          <t>Ярмарки, фестивали и благотворительные базары; Спортивные и активные мероприятия</t>
        </is>
      </c>
      <c r="F1316" s="31" t="inlineStr">
        <is>
          <t>Подопечные фонда «Дети Марии» (общая группа детей и подростков)</t>
        </is>
      </c>
      <c r="G1316" s="31" t="inlineStr">
        <is>
          <t>Студия фонда / выездная площадка</t>
        </is>
      </c>
      <c r="H1316" s="31" t="inlineStr">
        <is>
          <t>Организационные, ивент- и ярмарочные навыки</t>
        </is>
      </c>
      <c r="I1316" s="32" t="inlineStr">
        <is>
          <t>По формату занятия</t>
        </is>
      </c>
      <c r="J1316" s="31" t="inlineStr">
        <is>
          <t>На благотворительном аукционе встреч Meet For Charity в пользу «Детей Марии» — Джо Ватт (Joe Watt). Джо — Управляющий партнёр EY в странах СНГ. А ещё Джо — марафонец, кулинар, художник. Он говорит: «Вне зависимости от социального статуса нас всех объединяет одно — время неумолимо...</t>
        </is>
      </c>
    </row>
    <row r="1317" ht="30" customHeight="1">
      <c r="A1317" s="23" t="n">
        <v>3302</v>
      </c>
      <c r="B1317" s="24" t="inlineStr">
        <is>
          <t>2018-03-14</t>
        </is>
      </c>
      <c r="C1317" s="25">
        <f>HYPERLINK("https://vk.com/wall-1825701_3302", "Открыть пост")</f>
        <v/>
      </c>
      <c r="D1317" s="26" t="inlineStr">
        <is>
          <t>Творческие мастер-классы и художественные студии</t>
        </is>
      </c>
      <c r="E1317" s="26" t="inlineStr">
        <is>
          <t>Творческие мастер-классы и художественные студии; Выставки, экскурсии и культурные выходы</t>
        </is>
      </c>
      <c r="F1317" s="26" t="inlineStr">
        <is>
          <t>Подростки и взрослые с ментальными особенностями и ОВЗ (ПНИ / Социальные дома)</t>
        </is>
      </c>
      <c r="G1317" s="26" t="inlineStr">
        <is>
          <t>Студия фонда / выездная площадка</t>
        </is>
      </c>
      <c r="H1317" s="26" t="inlineStr">
        <is>
          <t>Художественно-прикладные и ремесленные навыки; Коммуникативные навыки, эмпатия и тьюторское сопровождение</t>
        </is>
      </c>
      <c r="I1317" s="27" t="inlineStr">
        <is>
          <t>По формату занятия</t>
        </is>
      </c>
      <c r="J1317" s="26" t="inlineStr">
        <is>
          <t>Хотим рассказать о Кате Анашкиной из ПНИ 16. Она только с осени начала ездить в студию, впервые стала лепить из глины и сразу же добилась потрясающего успеха. Её работы отправили на выставку, и их купили! Главные качества Кати — она не боится работать с новыми материалами (раньше...</t>
        </is>
      </c>
    </row>
    <row r="1318" ht="30" customHeight="1">
      <c r="A1318" s="28" t="n">
        <v>3297</v>
      </c>
      <c r="B1318" s="29" t="inlineStr">
        <is>
          <t>2018-03-13</t>
        </is>
      </c>
      <c r="C1318" s="30">
        <f>HYPERLINK("https://vk.com/wall-1825701_3297", "Открыть пост")</f>
        <v/>
      </c>
      <c r="D1318" s="31" t="inlineStr">
        <is>
          <t>Кулинарные, образовательные и социально-бытовые занятия</t>
        </is>
      </c>
      <c r="E1318" s="31" t="inlineStr">
        <is>
          <t>Кулинарные, образовательные и социально-бытовые занятия</t>
        </is>
      </c>
      <c r="F1318" s="31" t="inlineStr">
        <is>
          <t>Подростки и взрослые с ментальными особенностями и ОВЗ (ПНИ / Социальные дома)</t>
        </is>
      </c>
      <c r="G1318" s="31" t="inlineStr">
        <is>
          <t>Студия фонда / выездная площадка</t>
        </is>
      </c>
      <c r="H1318" s="31" t="inlineStr">
        <is>
          <t>Педагогические и наставнические навыки (кулинария, быт, учёба); Организационные, ивент- и ярмарочные навыки</t>
        </is>
      </c>
      <c r="I1318" s="32" t="inlineStr">
        <is>
          <t>Да (в тексте)</t>
        </is>
      </c>
      <c r="J1318" s="31" t="inlineStr">
        <is>
          <t>И снова ребята из ПНИ 16 побывали в некулинарном клубе «Короли и капуста». Готовили лазанью — мясную и рыбную! Впервые к нам присоединились Дима Червинов и Лёша Панасенков. Ребята научились растирать фенхель в порошок. Натирать жутко твёрдый пармезан (без небольших ранений не обо...</t>
        </is>
      </c>
    </row>
    <row r="1319" ht="30" customHeight="1">
      <c r="A1319" s="23" t="n">
        <v>3294</v>
      </c>
      <c r="B1319" s="24" t="inlineStr">
        <is>
          <t>2018-03-12</t>
        </is>
      </c>
      <c r="C1319" s="25">
        <f>HYPERLINK("https://vk.com/wall-1825701_3294", "Открыть пост")</f>
        <v/>
      </c>
      <c r="D1319" s="26" t="inlineStr">
        <is>
          <t>Выездные лагеря, дача и сезонные программы</t>
        </is>
      </c>
      <c r="E1319" s="26" t="inlineStr">
        <is>
          <t>Выездные лагеря, дача и сезонные программы</t>
        </is>
      </c>
      <c r="F1319" s="26" t="inlineStr">
        <is>
          <t>Подопечные фонда «Дети Марии» (общая группа детей и подростков)</t>
        </is>
      </c>
      <c r="G1319" s="26" t="inlineStr">
        <is>
          <t>Студия фонда / выездная площадка</t>
        </is>
      </c>
      <c r="H1319" s="26" t="inlineStr">
        <is>
          <t>Мобильность, выездное сопровождение и автоволонтёрство; Медиа, фото/видеосъёмка и культурная медиация</t>
        </is>
      </c>
      <c r="I1319" s="27" t="inlineStr">
        <is>
          <t>По формату занятия</t>
        </is>
      </c>
      <c r="J1319" s="26" t="inlineStr">
        <is>
          <t>Небольшой видеоролик о нашем зимнем лагере. Спасибо за съёмки Алексею Строеву и Матвею Лосеву</t>
        </is>
      </c>
    </row>
    <row r="1320" ht="30" customHeight="1">
      <c r="A1320" s="28" t="n">
        <v>3291</v>
      </c>
      <c r="B1320" s="29" t="inlineStr">
        <is>
          <t>2018-03-11</t>
        </is>
      </c>
      <c r="C1320" s="30">
        <f>HYPERLINK("https://vk.com/wall-1825701_3291", "Открыть пост")</f>
        <v/>
      </c>
      <c r="D1320" s="31" t="inlineStr">
        <is>
          <t>Выставки, экскурсии и культурные выходы</t>
        </is>
      </c>
      <c r="E1320" s="31" t="inlineStr">
        <is>
          <t>Выставки, экскурсии и культурные выходы; Кулинарные, образовательные и социально-бытовые занятия</t>
        </is>
      </c>
      <c r="F1320" s="31" t="inlineStr">
        <is>
          <t>Воспитанники ЦССВ, ДДИ и детских домов-интернатов; Широкая аудитория, гости и благотворители (открытые события)</t>
        </is>
      </c>
      <c r="G1320" s="31" t="inlineStr">
        <is>
          <t>Студия фонда / выездная площадка</t>
        </is>
      </c>
      <c r="H1320" s="31" t="inlineStr">
        <is>
          <t>Художественно-прикладные и ремесленные навыки; Артистические, музыкальные и спортивно-игровые навыки; Мобильность, выездное сопровождение и автоволонтёрство; Медиа, фото/видеосъёмка и культурная медиация</t>
        </is>
      </c>
      <c r="I1320" s="32" t="inlineStr">
        <is>
          <t>По формату занятия</t>
        </is>
      </c>
      <c r="J1320" s="31" t="inlineStr">
        <is>
          <t>Сегодня ГМИ им. Пушкина буквально отдали детям — юным экскурсоводам-школьникам и посетителям — тоже школьникам. Мы с несколькими детьми из ЦССВ Спутник поучаствовали в экскурсии в форме квеста, которые провели для нас прекрасные Ксюша и Маруся. Ребятам всем очень понравилось, они...</t>
        </is>
      </c>
    </row>
    <row r="1321" ht="30" customHeight="1">
      <c r="A1321" s="23" t="n">
        <v>3289</v>
      </c>
      <c r="B1321" s="24" t="inlineStr">
        <is>
          <t>2018-03-11</t>
        </is>
      </c>
      <c r="C1321" s="25">
        <f>HYPERLINK("https://vk.com/wall-1825701_3289", "Открыть пост")</f>
        <v/>
      </c>
      <c r="D1321" s="26" t="inlineStr">
        <is>
          <t>Выездные лагеря, дача и сезонные программы</t>
        </is>
      </c>
      <c r="E1321" s="26" t="inlineStr">
        <is>
          <t>Выездные лагеря, дача и сезонные программы</t>
        </is>
      </c>
      <c r="F1321" s="26" t="inlineStr">
        <is>
          <t>Воспитанники ЦССВ, ДДИ и детских домов-интернатов</t>
        </is>
      </c>
      <c r="G1321" s="26" t="inlineStr">
        <is>
          <t>Студия фонда / выездная площадка</t>
        </is>
      </c>
      <c r="H1321" s="26" t="inlineStr">
        <is>
          <t>Коммуникативные навыки, эмпатия и тьюторское сопровождение</t>
        </is>
      </c>
      <c r="I1321" s="27" t="inlineStr">
        <is>
          <t>По формату занятия</t>
        </is>
      </c>
      <c r="J1321" s="26" t="inlineStr">
        <is>
          <t>«Воскресенье, суббота, Дружба — это не работа! Есть друзья, а для них У друзей нет выходных»... В дружбе и в творчестве нет выходных — в воскресенье в загородных мастерских дети из «Спутника». Занятия — это хороший повод встретиться с друзьями!</t>
        </is>
      </c>
    </row>
    <row r="1322" ht="30" customHeight="1">
      <c r="A1322" s="28" t="n">
        <v>3285</v>
      </c>
      <c r="B1322" s="29" t="inlineStr">
        <is>
          <t>2018-03-09</t>
        </is>
      </c>
      <c r="C1322" s="30">
        <f>HYPERLINK("https://vk.com/wall-1825701_3285", "Открыть пост")</f>
        <v/>
      </c>
      <c r="D1322" s="31" t="inlineStr">
        <is>
          <t>Выездные лагеря, дача и сезонные программы</t>
        </is>
      </c>
      <c r="E1322" s="31" t="inlineStr">
        <is>
          <t>Выездные лагеря, дача и сезонные программы</t>
        </is>
      </c>
      <c r="F1322" s="31" t="inlineStr">
        <is>
          <t>Подопечные фонда «Дети Марии» (общая группа детей и подростков)</t>
        </is>
      </c>
      <c r="G1322" s="31" t="inlineStr">
        <is>
          <t>Студия фонда / выездная площадка</t>
        </is>
      </c>
      <c r="H1322" s="31" t="inlineStr">
        <is>
          <t>Коммуникативные навыки, эмпатия и тьюторское сопровождение</t>
        </is>
      </c>
      <c r="I1322" s="32" t="inlineStr">
        <is>
          <t>По формату занятия</t>
        </is>
      </c>
      <c r="J1322" s="31" t="inlineStr">
        <is>
          <t>Дети из Филимонок поздравили Марию и всю женскую половину студии на занятиях в загородных мастерских.</t>
        </is>
      </c>
    </row>
    <row r="1323" ht="30" customHeight="1">
      <c r="A1323" s="23" t="n">
        <v>3274</v>
      </c>
      <c r="B1323" s="24" t="inlineStr">
        <is>
          <t>2018-03-07</t>
        </is>
      </c>
      <c r="C1323" s="25">
        <f>HYPERLINK("https://vk.com/wall-1825701_3274", "Открыть пост")</f>
        <v/>
      </c>
      <c r="D1323" s="26" t="inlineStr">
        <is>
          <t>Ярмарки, фестивали и благотворительные базары</t>
        </is>
      </c>
      <c r="E1323" s="26" t="inlineStr">
        <is>
          <t>Ярмарки, фестивали и благотворительные базары</t>
        </is>
      </c>
      <c r="F1323" s="26" t="inlineStr">
        <is>
          <t>Подопечные фонда «Дети Марии» (общая группа детей и подростков)</t>
        </is>
      </c>
      <c r="G1323" s="26" t="inlineStr">
        <is>
          <t>Студия фонда / выездная площадка</t>
        </is>
      </c>
      <c r="H1323" s="26" t="inlineStr">
        <is>
          <t>Организационные, ивент- и ярмарочные навыки</t>
        </is>
      </c>
      <c r="I1323" s="27" t="inlineStr">
        <is>
          <t>По формату занятия</t>
        </is>
      </c>
      <c r="J1323" s="26" t="inlineStr">
        <is>
          <t>Вчера на благотворительных ярмарках «БашняБазар с КПМГ» и в БЦ «Парк Победы» мы собрали 13750 рублей. Спасибо организаторам и жертвователям!</t>
        </is>
      </c>
    </row>
    <row r="1324" ht="30" customHeight="1">
      <c r="A1324" s="28" t="n">
        <v>3264</v>
      </c>
      <c r="B1324" s="29" t="inlineStr">
        <is>
          <t>2018-03-04</t>
        </is>
      </c>
      <c r="C1324" s="30">
        <f>HYPERLINK("https://vk.com/wall-1825701_3264", "Открыть пост")</f>
        <v/>
      </c>
      <c r="D1324" s="31" t="inlineStr">
        <is>
          <t>Творческие мастер-классы и художественные студии</t>
        </is>
      </c>
      <c r="E1324" s="31" t="inlineStr">
        <is>
          <t>Творческие мастер-классы и художественные студии</t>
        </is>
      </c>
      <c r="F1324" s="31" t="inlineStr">
        <is>
          <t>Подростки и взрослые с ментальными особенностями и ОВЗ (ПНИ / Социальные дома)</t>
        </is>
      </c>
      <c r="G1324" s="31" t="inlineStr">
        <is>
          <t>Студия фонда / выездная площадка</t>
        </is>
      </c>
      <c r="H1324" s="31" t="inlineStr">
        <is>
          <t>Художественно-прикладные и ремесленные навыки; Артистические, музыкальные и спортивно-игровые навыки; Организационные, ивент- и ярмарочные навыки</t>
        </is>
      </c>
      <c r="I1324" s="32" t="inlineStr">
        <is>
          <t>По формату занятия</t>
        </is>
      </c>
      <c r="J1324" s="31" t="inlineStr">
        <is>
          <t>В студии занятия АНО «Дети». Сегодня аншлаг — 17 детей, мамы, папы. В мастерской по валянию — очередь, все хотят сделать цветок к 8 Марта, в художественной комнате занят каждый уголок — там рисуют коллективную картину к празднику и открытки акварелью. Ткачество тоже популярно. Ст...</t>
        </is>
      </c>
    </row>
    <row r="1325" ht="30" customHeight="1">
      <c r="A1325" s="23" t="n">
        <v>3261</v>
      </c>
      <c r="B1325" s="24" t="inlineStr">
        <is>
          <t>2018-03-04</t>
        </is>
      </c>
      <c r="C1325" s="25">
        <f>HYPERLINK("https://vk.com/wall-1825701_3261", "Открыть пост")</f>
        <v/>
      </c>
      <c r="D1325" s="26" t="inlineStr">
        <is>
          <t>Творческие мастер-классы и художественные студии</t>
        </is>
      </c>
      <c r="E1325" s="26" t="inlineStr">
        <is>
          <t>Творческие мастер-классы и художественные студии</t>
        </is>
      </c>
      <c r="F1325" s="26" t="inlineStr">
        <is>
          <t>Подопечные фонда «Дети Марии» (общая группа детей и подростков)</t>
        </is>
      </c>
      <c r="G1325" s="26" t="inlineStr">
        <is>
          <t>Студия фонда / выездная площадка</t>
        </is>
      </c>
      <c r="H1325" s="26" t="inlineStr">
        <is>
          <t>Художественно-прикладные и ремесленные навыки</t>
        </is>
      </c>
      <c r="I1325" s="27" t="inlineStr">
        <is>
          <t>По формату занятия</t>
        </is>
      </c>
      <c r="J1325" s="26" t="inlineStr">
        <is>
          <t>Вот-вот настанет 8 Марта — дети из окрестных домов вчера делали подарки для мам — рисовали открытки, валяли жар-птиц. Ещё и успели порисовать детали для картины с принцессами. Рады вашим детям в студии на Делегатской в любую субботу, занятие начинается с 16 часов.</t>
        </is>
      </c>
    </row>
    <row r="1326" ht="30" customHeight="1">
      <c r="A1326" s="28" t="n">
        <v>3252</v>
      </c>
      <c r="B1326" s="29" t="inlineStr">
        <is>
          <t>2018-03-01</t>
        </is>
      </c>
      <c r="C1326" s="30">
        <f>HYPERLINK("https://vk.com/wall-1825701_3252", "Открыть пост")</f>
        <v/>
      </c>
      <c r="D1326" s="31" t="inlineStr">
        <is>
          <t>Творческие мастер-классы и художественные студии</t>
        </is>
      </c>
      <c r="E1326" s="31" t="inlineStr">
        <is>
          <t>Творческие мастер-классы и художественные студии</t>
        </is>
      </c>
      <c r="F1326" s="31" t="inlineStr">
        <is>
          <t>Подопечные фонда «Дети Марии» (общая группа детей и подростков)</t>
        </is>
      </c>
      <c r="G1326" s="31" t="inlineStr">
        <is>
          <t>Студия фонда / выездная площадка</t>
        </is>
      </c>
      <c r="H1326" s="31" t="inlineStr">
        <is>
          <t>Коммуникативные навыки, эмпатия и тьюторское сопровождение</t>
        </is>
      </c>
      <c r="I1326" s="32" t="inlineStr">
        <is>
          <t>По формату занятия</t>
        </is>
      </c>
      <c r="J1326" s="31" t="inlineStr">
        <is>
          <t>На занятиях дети из интерната 31. Рисуем мимозы, валяем мимозы — значит, скоро 8 Марта! Один из юных художников повеселил планами: — Маме подарю мимозы, а папе — крокодила. Сразу понятно: папа — храбрый человек!</t>
        </is>
      </c>
    </row>
    <row r="1327" ht="30" customHeight="1">
      <c r="A1327" s="23" t="n">
        <v>3239</v>
      </c>
      <c r="B1327" s="24" t="inlineStr">
        <is>
          <t>2018-02-27</t>
        </is>
      </c>
      <c r="C1327" s="25">
        <f>HYPERLINK("https://vk.com/wall-1825701_3239", "Открыть пост")</f>
        <v/>
      </c>
      <c r="D1327" s="26" t="inlineStr">
        <is>
          <t>Кулинарные, образовательные и социально-бытовые занятия</t>
        </is>
      </c>
      <c r="E1327" s="26" t="inlineStr">
        <is>
          <t>Кулинарные, образовательные и социально-бытовые занятия</t>
        </is>
      </c>
      <c r="F1327" s="26" t="inlineStr">
        <is>
          <t>Подопечные фонда «Дети Марии» (общая группа детей и подростков)</t>
        </is>
      </c>
      <c r="G1327" s="26" t="inlineStr">
        <is>
          <t>Студия фонда / выездная площадка</t>
        </is>
      </c>
      <c r="H1327" s="26" t="inlineStr">
        <is>
          <t>Коммуникативные навыки, эмпатия и тьюторское сопровождение</t>
        </is>
      </c>
      <c r="I1327" s="27" t="inlineStr">
        <is>
          <t>По формату занятия</t>
        </is>
      </c>
      <c r="J1327" s="26" t="inlineStr">
        <is>
          <t>Приглашаем всех желающих на бесплатный семинар.</t>
        </is>
      </c>
    </row>
    <row r="1328" ht="30" customHeight="1">
      <c r="A1328" s="28" t="n">
        <v>3232</v>
      </c>
      <c r="B1328" s="29" t="inlineStr">
        <is>
          <t>2018-02-25</t>
        </is>
      </c>
      <c r="C1328" s="30">
        <f>HYPERLINK("https://vk.com/wall-1825701_3232", "Открыть пост")</f>
        <v/>
      </c>
      <c r="D1328" s="31" t="inlineStr">
        <is>
          <t>Выездные лагеря, дача и сезонные программы</t>
        </is>
      </c>
      <c r="E1328" s="31" t="inlineStr">
        <is>
          <t>Выездные лагеря, дача и сезонные программы</t>
        </is>
      </c>
      <c r="F1328" s="31" t="inlineStr">
        <is>
          <t>Подопечные фонда «Дети Марии» (общая группа детей и подростков)</t>
        </is>
      </c>
      <c r="G1328" s="31" t="inlineStr">
        <is>
          <t>Студия фонда / выездная площадка</t>
        </is>
      </c>
      <c r="H1328" s="31" t="inlineStr">
        <is>
          <t>Коммуникативные навыки, эмпатия и тьюторское сопровождение; Мобильность, выездное сопровождение и автоволонтёрство</t>
        </is>
      </c>
      <c r="I1328" s="32" t="inlineStr">
        <is>
          <t>Да (в тексте)</t>
        </is>
      </c>
      <c r="J1328" s="31" t="inlineStr">
        <is>
          <t>Вот и завершился наш короткий, но насыщенный радостными событиями зимний лагерь. Спасибо всем волонтёрам! Спасибо участникам предновогодних благотворительных ярмарок, Платформе Сбербанка «Вместе» и благотворительной программе «Растим добро» при поддержке бренда «Добрый» и Фонда п...</t>
        </is>
      </c>
    </row>
    <row r="1329" ht="30" customHeight="1">
      <c r="A1329" s="23" t="n">
        <v>3231</v>
      </c>
      <c r="B1329" s="24" t="inlineStr">
        <is>
          <t>2018-02-25</t>
        </is>
      </c>
      <c r="C1329" s="25">
        <f>HYPERLINK("https://vk.com/wall-1825701_3231", "Открыть пост")</f>
        <v/>
      </c>
      <c r="D1329" s="26" t="inlineStr">
        <is>
          <t>Выездные лагеря, дача и сезонные программы</t>
        </is>
      </c>
      <c r="E1329" s="26" t="inlineStr">
        <is>
          <t>Выездные лагеря, дача и сезонные программы</t>
        </is>
      </c>
      <c r="F1329" s="26" t="inlineStr">
        <is>
          <t>Подопечные фонда «Дети Марии» (общая группа детей и подростков)</t>
        </is>
      </c>
      <c r="G1329" s="26" t="inlineStr">
        <is>
          <t>Студия фонда / выездная площадка</t>
        </is>
      </c>
      <c r="H1329" s="26" t="inlineStr">
        <is>
          <t>Мобильность, выездное сопровождение и автоволонтёрство</t>
        </is>
      </c>
      <c r="I1329" s="27" t="inlineStr">
        <is>
          <t>По формату занятия</t>
        </is>
      </c>
      <c r="J1329" s="26" t="inlineStr">
        <is>
          <t>В последний вечер зимнего лагеря дети покатались с горы на тюбингах и поодиночке, и паровозиком. Ветерок, снег, скорость и масса положительных эмоций!</t>
        </is>
      </c>
    </row>
    <row r="1330" ht="30" customHeight="1">
      <c r="A1330" s="28" t="n">
        <v>3230</v>
      </c>
      <c r="B1330" s="29" t="inlineStr">
        <is>
          <t>2018-02-24</t>
        </is>
      </c>
      <c r="C1330" s="30">
        <f>HYPERLINK("https://vk.com/wall-1825701_3230", "Открыть пост")</f>
        <v/>
      </c>
      <c r="D1330" s="31" t="inlineStr">
        <is>
          <t>Выездные лагеря, дача и сезонные программы</t>
        </is>
      </c>
      <c r="E1330" s="31" t="inlineStr">
        <is>
          <t>Выездные лагеря, дача и сезонные программы; Спектакли, концерты и музыкально-театральные занятия</t>
        </is>
      </c>
      <c r="F1330" s="31" t="inlineStr">
        <is>
          <t>Подопечные фонда «Дети Марии» (общая группа детей и подростков)</t>
        </is>
      </c>
      <c r="G1330" s="31" t="inlineStr">
        <is>
          <t>Студия фонда / выездная площадка</t>
        </is>
      </c>
      <c r="H1330" s="31" t="inlineStr">
        <is>
          <t>Артистические, музыкальные и спортивно-игровые навыки; Мобильность, выездное сопровождение и автоволонтёрство</t>
        </is>
      </c>
      <c r="I1330" s="32" t="inlineStr">
        <is>
          <t>По формату занятия</t>
        </is>
      </c>
      <c r="J1330" s="31" t="inlineStr">
        <is>
          <t>Вечером у нас в лагере «театр с колёс»: ставим импровизированный спектакль «Двенадцать месяцев». Играют все! По очереди. Зрители — тоже все! Вот двенадцать месяцев у волшебного костра и бедная падчерица, которую послали в лес за подснежниками.</t>
        </is>
      </c>
    </row>
    <row r="1331" ht="30" customHeight="1">
      <c r="A1331" s="23" t="n">
        <v>3229</v>
      </c>
      <c r="B1331" s="24" t="inlineStr">
        <is>
          <t>2018-02-24</t>
        </is>
      </c>
      <c r="C1331" s="25">
        <f>HYPERLINK("https://vk.com/wall-1825701_3229", "Открыть пост")</f>
        <v/>
      </c>
      <c r="D1331" s="26" t="inlineStr">
        <is>
          <t>Выездные лагеря, дача и сезонные программы</t>
        </is>
      </c>
      <c r="E1331" s="26" t="inlineStr">
        <is>
          <t>Выездные лагеря, дача и сезонные программы</t>
        </is>
      </c>
      <c r="F1331" s="26" t="inlineStr">
        <is>
          <t>Подопечные фонда «Дети Марии» (общая группа детей и подростков)</t>
        </is>
      </c>
      <c r="G1331" s="26" t="inlineStr">
        <is>
          <t>Студия фонда / выездная площадка</t>
        </is>
      </c>
      <c r="H1331" s="26" t="inlineStr">
        <is>
          <t>Мобильность, выездное сопровождение и автоволонтёрство</t>
        </is>
      </c>
      <c r="I1331" s="27" t="inlineStr">
        <is>
          <t>По формату занятия</t>
        </is>
      </c>
      <c r="J1331" s="26" t="inlineStr">
        <is>
          <t>Сегодня день в зимнем лагере начался с поздравления с днём рождения Иры Скимбаторь — необыкновенной, одарённой и удивительно красивой. Ирочка, желаем тебе осуществления всех планов, много хороших друзей, приключений, интересной жизни!</t>
        </is>
      </c>
    </row>
    <row r="1332" ht="30" customHeight="1">
      <c r="A1332" s="28" t="n">
        <v>3228</v>
      </c>
      <c r="B1332" s="29" t="inlineStr">
        <is>
          <t>2018-02-23</t>
        </is>
      </c>
      <c r="C1332" s="30">
        <f>HYPERLINK("https://vk.com/wall-1825701_3228", "Открыть пост")</f>
        <v/>
      </c>
      <c r="D1332" s="31" t="inlineStr">
        <is>
          <t>Выездные лагеря, дача и сезонные программы</t>
        </is>
      </c>
      <c r="E1332" s="31" t="inlineStr">
        <is>
          <t>Выездные лагеря, дача и сезонные программы</t>
        </is>
      </c>
      <c r="F1332" s="31" t="inlineStr">
        <is>
          <t>Подопечные фонда «Дети Марии» (общая группа детей и подростков)</t>
        </is>
      </c>
      <c r="G1332" s="31" t="inlineStr">
        <is>
          <t>Студия фонда / выездная площадка</t>
        </is>
      </c>
      <c r="H1332" s="31" t="inlineStr">
        <is>
          <t>Мобильность, выездное сопровождение и автоволонтёрство</t>
        </is>
      </c>
      <c r="I1332" s="32" t="inlineStr">
        <is>
          <t>По формату занятия</t>
        </is>
      </c>
      <c r="J1332" s="31" t="inlineStr">
        <is>
          <t>У нас в зимнем лагере поздравления мужского пола идут полным ходом! Сыграли в шарады, где нужно показать слово, чтобы получить подарок. По нашей старой и доброй традиции мужчины переоделись в красавиц-Аленок с одноимённой шоколадки. А потом мы смотрели крутейший салют, спасибо сп...</t>
        </is>
      </c>
    </row>
    <row r="1333" ht="30" customHeight="1">
      <c r="A1333" s="23" t="n">
        <v>3227</v>
      </c>
      <c r="B1333" s="24" t="inlineStr">
        <is>
          <t>2018-02-23</t>
        </is>
      </c>
      <c r="C1333" s="25">
        <f>HYPERLINK("https://vk.com/wall-1825701_3227", "Открыть пост")</f>
        <v/>
      </c>
      <c r="D1333" s="26" t="inlineStr">
        <is>
          <t>Выездные лагеря, дача и сезонные программы</t>
        </is>
      </c>
      <c r="E1333" s="26" t="inlineStr">
        <is>
          <t>Выездные лагеря, дача и сезонные программы</t>
        </is>
      </c>
      <c r="F1333" s="26" t="inlineStr">
        <is>
          <t>Подопечные фонда «Дети Марии» (общая группа детей и подростков)</t>
        </is>
      </c>
      <c r="G1333" s="26" t="inlineStr">
        <is>
          <t>Студия фонда / выездная площадка</t>
        </is>
      </c>
      <c r="H1333" s="26" t="inlineStr">
        <is>
          <t>Организационные, ивент- и ярмарочные навыки; Мобильность, выездное сопровождение и автоволонтёрство</t>
        </is>
      </c>
      <c r="I1333" s="27" t="inlineStr">
        <is>
          <t>По формату занятия</t>
        </is>
      </c>
      <c r="J1333" s="26" t="inlineStr">
        <is>
          <t>Наши замечательные повара в зимнем лагере, кормильцы и поильцы и их самоотверженные помощники готовят праздничный ужин в честь 23 февраля. Хотя благодаря их заботам и умениям каждый наш ужин, обед и завтрак — это праздник! Спасибо, дорогие Вера, Кирилл, Танечка и все причастные!</t>
        </is>
      </c>
    </row>
    <row r="1334" ht="30" customHeight="1">
      <c r="A1334" s="28" t="n">
        <v>3226</v>
      </c>
      <c r="B1334" s="29" t="inlineStr">
        <is>
          <t>2018-02-23</t>
        </is>
      </c>
      <c r="C1334" s="30">
        <f>HYPERLINK("https://vk.com/wall-1825701_3226", "Открыть пост")</f>
        <v/>
      </c>
      <c r="D1334" s="31" t="inlineStr">
        <is>
          <t>Выездные лагеря, дача и сезонные программы</t>
        </is>
      </c>
      <c r="E1334" s="31" t="inlineStr">
        <is>
          <t>Выездные лагеря, дача и сезонные программы</t>
        </is>
      </c>
      <c r="F1334" s="31" t="inlineStr">
        <is>
          <t>Подопечные фонда «Дети Марии» (общая группа детей и подростков)</t>
        </is>
      </c>
      <c r="G1334" s="31" t="inlineStr">
        <is>
          <t>Студия фонда / выездная площадка</t>
        </is>
      </c>
      <c r="H1334" s="31" t="inlineStr">
        <is>
          <t>Артистические, музыкальные и спортивно-игровые навыки; Мобильность, выездное сопровождение и автоволонтёрство</t>
        </is>
      </c>
      <c r="I1334" s="32" t="inlineStr">
        <is>
          <t>По формату занятия</t>
        </is>
      </c>
      <c r="J1334" s="31" t="inlineStr">
        <is>
          <t>Для тех, кто предпочитает играм освоение новых ремёсел, Ясин проводит в зимнем лагере занятия по переплётному делу. Делаем записные книжки своими руками.з</t>
        </is>
      </c>
    </row>
    <row r="1335" ht="30" customHeight="1">
      <c r="A1335" s="23" t="n">
        <v>3225</v>
      </c>
      <c r="B1335" s="24" t="inlineStr">
        <is>
          <t>2018-02-23</t>
        </is>
      </c>
      <c r="C1335" s="25">
        <f>HYPERLINK("https://vk.com/wall-1825701_3225", "Открыть пост")</f>
        <v/>
      </c>
      <c r="D1335" s="26" t="inlineStr">
        <is>
          <t>Выездные лагеря, дача и сезонные программы</t>
        </is>
      </c>
      <c r="E1335" s="26" t="inlineStr">
        <is>
          <t>Выездные лагеря, дача и сезонные программы; Кулинарные, образовательные и социально-бытовые занятия</t>
        </is>
      </c>
      <c r="F1335" s="26" t="inlineStr">
        <is>
          <t>Подопечные фонда «Дети Марии» (общая группа детей и подростков)</t>
        </is>
      </c>
      <c r="G1335" s="26" t="inlineStr">
        <is>
          <t>Студия фонда / выездная площадка</t>
        </is>
      </c>
      <c r="H1335" s="26" t="inlineStr">
        <is>
          <t>Артистические, музыкальные и спортивно-игровые навыки; Мобильность, выездное сопровождение и автоволонтёрство</t>
        </is>
      </c>
      <c r="I1335" s="27" t="inlineStr">
        <is>
          <t>По формату занятия</t>
        </is>
      </c>
      <c r="J1335" s="26" t="inlineStr">
        <is>
          <t>Накатавшись в зимнем лагере на горе, играем в настольные игры. Наши любимые — «Диксит», «Пятница» и «Эрудит». А во что любите играть вы?</t>
        </is>
      </c>
    </row>
    <row r="1336" ht="30" customHeight="1">
      <c r="A1336" s="28" t="n">
        <v>3222</v>
      </c>
      <c r="B1336" s="29" t="inlineStr">
        <is>
          <t>2018-02-22</t>
        </is>
      </c>
      <c r="C1336" s="30">
        <f>HYPERLINK("https://vk.com/wall-1825701_3222", "Открыть пост")</f>
        <v/>
      </c>
      <c r="D1336" s="31" t="inlineStr">
        <is>
          <t>Выездные лагеря, дача и сезонные программы</t>
        </is>
      </c>
      <c r="E1336" s="31" t="inlineStr">
        <is>
          <t>Выездные лагеря, дача и сезонные программы</t>
        </is>
      </c>
      <c r="F1336" s="31" t="inlineStr">
        <is>
          <t>Воспитанники ЦССВ, ДДИ и детских домов-интернатов</t>
        </is>
      </c>
      <c r="G1336" s="31" t="inlineStr">
        <is>
          <t>Сорочанах, ЦССВ «Спутник»</t>
        </is>
      </c>
      <c r="H1336" s="31" t="inlineStr">
        <is>
          <t>Артистические, музыкальные и спортивно-игровые навыки; Мобильность, выездное сопровождение и автоволонтёрство</t>
        </is>
      </c>
      <c r="I1336" s="32" t="inlineStr">
        <is>
          <t>По формату занятия</t>
        </is>
      </c>
      <c r="J1336" s="31" t="inlineStr">
        <is>
          <t>Первый день нашего зимнего лагеря в Сорочанах полон снега, солнца, счастья! С нами дети из ЦССВ «Спутник» от 3 до 18 лет, многие впервые сегодня начали кататься на сноубордах, горных лыжах и коньках.</t>
        </is>
      </c>
    </row>
    <row r="1337" ht="30" customHeight="1">
      <c r="A1337" s="23" t="n">
        <v>3221</v>
      </c>
      <c r="B1337" s="24" t="inlineStr">
        <is>
          <t>2018-02-21</t>
        </is>
      </c>
      <c r="C1337" s="25">
        <f>HYPERLINK("https://vk.com/wall-1825701_3221", "Открыть пост")</f>
        <v/>
      </c>
      <c r="D1337" s="26" t="inlineStr">
        <is>
          <t>Выездные лагеря, дача и сезонные программы</t>
        </is>
      </c>
      <c r="E1337" s="26" t="inlineStr">
        <is>
          <t>Выездные лагеря, дача и сезонные программы</t>
        </is>
      </c>
      <c r="F1337" s="26" t="inlineStr">
        <is>
          <t>Воспитанники ЦССВ, ДДИ и детских домов-интернатов</t>
        </is>
      </c>
      <c r="G1337" s="26" t="inlineStr">
        <is>
          <t>Сорочан, ЦССВ «Спутник»</t>
        </is>
      </c>
      <c r="H1337" s="26" t="inlineStr">
        <is>
          <t>Коммуникативные навыки, эмпатия и тьюторское сопровождение</t>
        </is>
      </c>
      <c r="I1337" s="27" t="inlineStr">
        <is>
          <t>По формату занятия</t>
        </is>
      </c>
      <c r="J1337" s="26" t="inlineStr">
        <is>
          <t>Всем привет из зимних Сорочан. Мы приехали и ждём детей из ЦССВ «Спутник».</t>
        </is>
      </c>
    </row>
    <row r="1338" ht="30" customHeight="1">
      <c r="A1338" s="28" t="n">
        <v>3220</v>
      </c>
      <c r="B1338" s="29" t="inlineStr">
        <is>
          <t>2018-02-21</t>
        </is>
      </c>
      <c r="C1338" s="30">
        <f>HYPERLINK("https://vk.com/wall-1825701_3220", "Открыть пост")</f>
        <v/>
      </c>
      <c r="D1338" s="31" t="inlineStr">
        <is>
          <t>Творческие мастер-классы и художественные студии</t>
        </is>
      </c>
      <c r="E1338" s="31" t="inlineStr">
        <is>
          <t>Творческие мастер-классы и художественные студии</t>
        </is>
      </c>
      <c r="F1338" s="31" t="inlineStr">
        <is>
          <t>Подростки и взрослые с ментальными особенностями и ОВЗ (ПНИ / Социальные дома)</t>
        </is>
      </c>
      <c r="G1338" s="31" t="inlineStr">
        <is>
          <t>Студия фонда / выездная площадка</t>
        </is>
      </c>
      <c r="H1338" s="31" t="inlineStr">
        <is>
          <t>Художественно-прикладные и ремесленные навыки</t>
        </is>
      </c>
      <c r="I1338" s="32" t="inlineStr">
        <is>
          <t>По формату занятия</t>
        </is>
      </c>
      <c r="J1338" s="31" t="inlineStr">
        <is>
          <t>На занятиях валянием в ПНИ 16 появились эти картинки. А из них стараниями педагога Аллы Тягуновой получились подушки, которые украсят любую детскую. Их можно купить в нашем интернет-магазине mariaschildren.ru/ru/store/textile Любая Ваша покупка — это помощь нашим подопечным.</t>
        </is>
      </c>
    </row>
    <row r="1339" ht="30" customHeight="1">
      <c r="A1339" s="23" t="n">
        <v>3217</v>
      </c>
      <c r="B1339" s="24" t="inlineStr">
        <is>
          <t>2018-02-21</t>
        </is>
      </c>
      <c r="C1339" s="25">
        <f>HYPERLINK("https://vk.com/wall-1825701_3217", "Открыть пост")</f>
        <v/>
      </c>
      <c r="D1339" s="26" t="inlineStr">
        <is>
          <t>Творческие мастер-классы и художественные студии</t>
        </is>
      </c>
      <c r="E1339" s="26" t="inlineStr">
        <is>
          <t>Творческие мастер-классы и художественные студии; Кулинарные, образовательные и социально-бытовые занятия</t>
        </is>
      </c>
      <c r="F1339" s="26" t="inlineStr">
        <is>
          <t>Подростки и взрослые с ментальными особенностями и ОВЗ (ПНИ / Социальные дома)</t>
        </is>
      </c>
      <c r="G1339" s="26" t="inlineStr">
        <is>
          <t>Студия фонда / выездная площадка</t>
        </is>
      </c>
      <c r="H1339" s="26" t="inlineStr">
        <is>
          <t>Педагогические и наставнические навыки (кулинария, быт, учёба); Мобильность, выездное сопровождение и автоволонтёрство</t>
        </is>
      </c>
      <c r="I1339" s="27" t="inlineStr">
        <is>
          <t>Да (в тексте)</t>
        </is>
      </c>
      <c r="J1339" s="26" t="inlineStr">
        <is>
          <t>Рассказывает волонтёр Ирина Чёрненькая, сопровождающая на занятия ребят из ПНИ 16: «Несколько раз по приглашению центра «Вверх» мы посещали мастер-классы по приготовлению еды. Нам разрешили пригласить пять человек от студии, поэтому кроме Саши и Никиты, которые учатся во «Вверхе»...</t>
        </is>
      </c>
    </row>
    <row r="1340" ht="30" customHeight="1">
      <c r="A1340" s="28" t="n">
        <v>3214</v>
      </c>
      <c r="B1340" s="29" t="inlineStr">
        <is>
          <t>2018-02-20</t>
        </is>
      </c>
      <c r="C1340" s="30">
        <f>HYPERLINK("https://vk.com/wall-1825701_3214", "Открыть пост")</f>
        <v/>
      </c>
      <c r="D1340" s="31" t="inlineStr">
        <is>
          <t>Кулинарные, образовательные и социально-бытовые занятия</t>
        </is>
      </c>
      <c r="E1340" s="31" t="inlineStr">
        <is>
          <t>Кулинарные, образовательные и социально-бытовые занятия</t>
        </is>
      </c>
      <c r="F1340" s="31" t="inlineStr">
        <is>
          <t>Подростки и взрослые с ментальными особенностями и ОВЗ (ПНИ / Социальные дома)</t>
        </is>
      </c>
      <c r="G1340" s="31" t="inlineStr">
        <is>
          <t>Студия фонда / выездная площадка</t>
        </is>
      </c>
      <c r="H1340" s="31" t="inlineStr">
        <is>
          <t>Педагогические и наставнические навыки (кулинария, быт, учёба)</t>
        </is>
      </c>
      <c r="I1340" s="32" t="inlineStr">
        <is>
          <t>По формату занятия</t>
        </is>
      </c>
      <c r="J1340" s="31" t="inlineStr">
        <is>
          <t>На занятие кулинарией с Анной Павловской Лёша Ильин из ПНИ 20 сегодня и друга привёл. Варили борщ, готовили плов, накормил всех! Лёша всё уверенее чувствует себя на кухне.</t>
        </is>
      </c>
    </row>
    <row r="1341" ht="30" customHeight="1">
      <c r="A1341" s="23" t="n">
        <v>3213</v>
      </c>
      <c r="B1341" s="24" t="inlineStr">
        <is>
          <t>2018-02-20</t>
        </is>
      </c>
      <c r="C1341" s="25">
        <f>HYPERLINK("https://vk.com/wall-1825701_3213", "Открыть пост")</f>
        <v/>
      </c>
      <c r="D1341" s="26" t="inlineStr">
        <is>
          <t>Творческие мастер-классы и художественные студии</t>
        </is>
      </c>
      <c r="E1341" s="26" t="inlineStr">
        <is>
          <t>Творческие мастер-классы и художественные студии</t>
        </is>
      </c>
      <c r="F1341" s="26" t="inlineStr">
        <is>
          <t>Воспитанники ЦССВ, ДДИ и детских домов-интернатов</t>
        </is>
      </c>
      <c r="G1341" s="26" t="inlineStr">
        <is>
          <t>ЦССВ №1</t>
        </is>
      </c>
      <c r="H1341" s="26" t="inlineStr">
        <is>
          <t>Художественно-прикладные и ремесленные навыки</t>
        </is>
      </c>
      <c r="I1341" s="27" t="inlineStr">
        <is>
          <t>По формату занятия</t>
        </is>
      </c>
      <c r="J1341" s="26" t="inlineStr">
        <is>
          <t>Наконец-то закончился карантин, и к нам приехали дети из ЦССВ №1, которых мы с нового года не видели, и, конечно, тоже начали занятие с просмотра мультфильма про зелёного слона. А вдохновившись, пошли создавать новые шедевры в живописи, керамике, валянии и пении.</t>
        </is>
      </c>
    </row>
    <row r="1342" ht="30" customHeight="1">
      <c r="A1342" s="28" t="n">
        <v>3199</v>
      </c>
      <c r="B1342" s="29" t="inlineStr">
        <is>
          <t>2018-02-18</t>
        </is>
      </c>
      <c r="C1342" s="30">
        <f>HYPERLINK("https://vk.com/wall-1825701_3199", "Открыть пост")</f>
        <v/>
      </c>
      <c r="D1342" s="31" t="inlineStr">
        <is>
          <t>Творческие мастер-классы и художественные студии</t>
        </is>
      </c>
      <c r="E1342" s="31" t="inlineStr">
        <is>
          <t>Творческие мастер-классы и художественные студии</t>
        </is>
      </c>
      <c r="F1342" s="31" t="inlineStr">
        <is>
          <t>Подростки и взрослые с ментальными особенностями и ОВЗ (ПНИ / Социальные дома); Выпускники интернатов и детских домов (молодые взрослые)</t>
        </is>
      </c>
      <c r="G1342" s="31" t="inlineStr">
        <is>
          <t>Студия фонда / выездная площадка</t>
        </is>
      </c>
      <c r="H1342" s="31" t="inlineStr">
        <is>
          <t>Художественно-прикладные и ремесленные навыки; Организационные, ивент- и ярмарочные навыки</t>
        </is>
      </c>
      <c r="I1342" s="32" t="inlineStr">
        <is>
          <t>По формату занятия</t>
        </is>
      </c>
      <c r="J1342" s="31" t="inlineStr">
        <is>
          <t>Субботним вечером на Делегатской собралось много народу. Старшие ребята пришли после праздника на Миуссах, забежал с работы Сережа Шульдиков, приехала Вика из 20 ПНИ, пришли домашние дети с родителями. А в студии — аромат блинов. Спасибо педагогам Марии Ивановне и Наталье Абрамов...</t>
        </is>
      </c>
    </row>
    <row r="1343" ht="30" customHeight="1">
      <c r="A1343" s="23" t="n">
        <v>3197</v>
      </c>
      <c r="B1343" s="24" t="inlineStr">
        <is>
          <t>2018-02-18</t>
        </is>
      </c>
      <c r="C1343" s="25">
        <f>HYPERLINK("https://vk.com/wall-1825701_3197", "Открыть пост")</f>
        <v/>
      </c>
      <c r="D1343" s="26" t="inlineStr">
        <is>
          <t>Праздники, дни рождения и клубные встречи</t>
        </is>
      </c>
      <c r="E1343" s="26" t="inlineStr">
        <is>
          <t>Праздники, дни рождения и клубные встречи</t>
        </is>
      </c>
      <c r="F1343" s="26" t="inlineStr">
        <is>
          <t>Подопечные фонда «Дети Марии» (общая группа детей и подростков)</t>
        </is>
      </c>
      <c r="G1343" s="26" t="inlineStr">
        <is>
          <t>Студия фонда / выездная площадка</t>
        </is>
      </c>
      <c r="H1343" s="26" t="inlineStr">
        <is>
          <t>Артистические, музыкальные и спортивно-игровые навыки; Организационные, ивент- и ярмарочные навыки</t>
        </is>
      </c>
      <c r="I1343" s="27" t="inlineStr">
        <is>
          <t>По формату занятия</t>
        </is>
      </c>
      <c r="J1343" s="26" t="inlineStr">
        <is>
          <t>На Миуссах сегодня прошёл праздник Масленицы. Досуговые клубы напекли блинов, запаслись сладостями, раскочегарили самовар и приглашали всех желающих съесть блин с чайком, пахнущим дымком. Вкусное угощение добавило хорошего настроения. Под веселые песни мы водили хороводы, бегали ...</t>
        </is>
      </c>
    </row>
    <row r="1344" ht="30" customHeight="1">
      <c r="A1344" s="28" t="n">
        <v>3196</v>
      </c>
      <c r="B1344" s="29" t="inlineStr">
        <is>
          <t>2018-02-17</t>
        </is>
      </c>
      <c r="C1344" s="30">
        <f>HYPERLINK("https://vk.com/wall-1825701_3196", "Открыть пост")</f>
        <v/>
      </c>
      <c r="D1344" s="31" t="inlineStr">
        <is>
          <t>Праздники, дни рождения и клубные встречи</t>
        </is>
      </c>
      <c r="E1344" s="31" t="inlineStr">
        <is>
          <t>Праздники, дни рождения и клубные встречи</t>
        </is>
      </c>
      <c r="F1344" s="31" t="inlineStr">
        <is>
          <t>Подопечные фонда «Дети Марии» (общая группа детей и подростков)</t>
        </is>
      </c>
      <c r="G1344" s="31" t="inlineStr">
        <is>
          <t>Студия фонда / выездная площадка</t>
        </is>
      </c>
      <c r="H1344" s="31" t="inlineStr">
        <is>
          <t>Коммуникативные навыки, эмпатия и тьюторское сопровождение</t>
        </is>
      </c>
      <c r="I1344" s="32" t="inlineStr">
        <is>
          <t>По формату занятия</t>
        </is>
      </c>
      <c r="J1344" s="31" t="inlineStr">
        <is>
          <t>А вот сюда, в сад Эрмитаж, приглашают всех завтра на последний день Масленицы. Наши дети тоже собираются!</t>
        </is>
      </c>
    </row>
    <row r="1345" ht="30" customHeight="1">
      <c r="A1345" s="23" t="n">
        <v>3193</v>
      </c>
      <c r="B1345" s="24" t="inlineStr">
        <is>
          <t>2018-02-16</t>
        </is>
      </c>
      <c r="C1345" s="25">
        <f>HYPERLINK("https://vk.com/wall-1825701_3193", "Открыть пост")</f>
        <v/>
      </c>
      <c r="D1345" s="26" t="inlineStr">
        <is>
          <t>Творческие мастер-классы и художественные студии</t>
        </is>
      </c>
      <c r="E1345" s="26" t="inlineStr">
        <is>
          <t>Творческие мастер-классы и художественные студии</t>
        </is>
      </c>
      <c r="F1345" s="26" t="inlineStr">
        <is>
          <t>Подопечные фонда «Дети Марии» (общая группа детей и подростков)</t>
        </is>
      </c>
      <c r="G1345" s="26" t="inlineStr">
        <is>
          <t>Студия фонда / выездная площадка</t>
        </is>
      </c>
      <c r="H1345" s="26" t="inlineStr">
        <is>
          <t>Коммуникативные навыки, эмпатия и тьюторское сопровождение</t>
        </is>
      </c>
      <c r="I1345" s="27" t="inlineStr">
        <is>
          <t>По формату занятия</t>
        </is>
      </c>
      <c r="J1345" s="26" t="inlineStr">
        <is>
          <t>Брошки-розы, сшитые нами на мастер-классе художницы Светланы Кауль, в интернет-магазине mariaschildren.ru/ru/store/accessories</t>
        </is>
      </c>
    </row>
    <row r="1346" ht="30" customHeight="1">
      <c r="A1346" s="28" t="n">
        <v>3192</v>
      </c>
      <c r="B1346" s="29" t="inlineStr">
        <is>
          <t>2018-02-16</t>
        </is>
      </c>
      <c r="C1346" s="30">
        <f>HYPERLINK("https://vk.com/wall-1825701_3192", "Открыть пост")</f>
        <v/>
      </c>
      <c r="D1346" s="31" t="inlineStr">
        <is>
          <t>Праздники, дни рождения и клубные встречи</t>
        </is>
      </c>
      <c r="E1346" s="31" t="inlineStr">
        <is>
          <t>Праздники, дни рождения и клубные встречи</t>
        </is>
      </c>
      <c r="F1346" s="31" t="inlineStr">
        <is>
          <t>Подопечные фонда «Дети Марии» (общая группа детей и подростков)</t>
        </is>
      </c>
      <c r="G1346" s="31" t="inlineStr">
        <is>
          <t>Студия фонда / выездная площадка</t>
        </is>
      </c>
      <c r="H1346" s="31" t="inlineStr">
        <is>
          <t>Артистические, музыкальные и спортивно-игровые навыки; Организационные, ивент- и ярмарочные навыки</t>
        </is>
      </c>
      <c r="I1346" s="32" t="inlineStr">
        <is>
          <t>По формату занятия</t>
        </is>
      </c>
      <c r="J1346" s="31" t="inlineStr">
        <is>
          <t>В эту субботу, 17 февраля, на Миусской площади пройдёт праздник Масленицы. Управа Тверского района приглашает всех по адресу: улица Александра Невского, дом 4 в 14.00 часов. В программе выступление заслуженного артиста РФ электро-баяниста Кирилла Штыбина, участницы телевизионного...</t>
        </is>
      </c>
    </row>
    <row r="1347" ht="30" customHeight="1">
      <c r="A1347" s="23" t="n">
        <v>3185</v>
      </c>
      <c r="B1347" s="24" t="inlineStr">
        <is>
          <t>2018-02-15</t>
        </is>
      </c>
      <c r="C1347" s="25">
        <f>HYPERLINK("https://vk.com/wall-1825701_3185", "Открыть пост")</f>
        <v/>
      </c>
      <c r="D1347" s="26" t="inlineStr">
        <is>
          <t>Творческие мастер-классы и художественные студии</t>
        </is>
      </c>
      <c r="E1347" s="26" t="inlineStr">
        <is>
          <t>Творческие мастер-классы и художественные студии</t>
        </is>
      </c>
      <c r="F1347" s="26" t="inlineStr">
        <is>
          <t>Подопечные фонда «Дети Марии» (общая группа детей и подростков)</t>
        </is>
      </c>
      <c r="G1347" s="26" t="inlineStr">
        <is>
          <t>Студия фонда / выездная площадка</t>
        </is>
      </c>
      <c r="H1347" s="26" t="inlineStr">
        <is>
          <t>Коммуникативные навыки, эмпатия и тьюторское сопровождение; Педагогические и наставнические навыки (кулинария, быт, учёба)</t>
        </is>
      </c>
      <c r="I1347" s="27" t="inlineStr">
        <is>
          <t>По формату занятия</t>
        </is>
      </c>
      <c r="J1347" s="26" t="inlineStr">
        <is>
          <t>Всё продолжается...Продолжается работа над коллективной картиной про рыцарей и принцесс, продолжаются занятия в студии, продолжается дружба (сегодня заходили независимо друг от друга Лена Макарова и Тамара Наумова, когда-то преподававшие в студии), продолжается наша студия. И про...</t>
        </is>
      </c>
    </row>
    <row r="1348" ht="30" customHeight="1">
      <c r="A1348" s="28" t="n">
        <v>3182</v>
      </c>
      <c r="B1348" s="29" t="inlineStr">
        <is>
          <t>2018-02-14</t>
        </is>
      </c>
      <c r="C1348" s="30">
        <f>HYPERLINK("https://vk.com/wall-1825701_3182", "Открыть пост")</f>
        <v/>
      </c>
      <c r="D1348" s="31" t="inlineStr">
        <is>
          <t>Спектакли, концерты и музыкально-театральные занятия</t>
        </is>
      </c>
      <c r="E1348" s="31" t="inlineStr">
        <is>
          <t>Спектакли, концерты и музыкально-театральные занятия</t>
        </is>
      </c>
      <c r="F1348" s="31" t="inlineStr">
        <is>
          <t>Подопечные фонда «Дети Марии» (общая группа детей и подростков)</t>
        </is>
      </c>
      <c r="G1348" s="31" t="inlineStr">
        <is>
          <t>Студия фонда / выездная площадка</t>
        </is>
      </c>
      <c r="H1348" s="31" t="inlineStr">
        <is>
          <t>Артистические, музыкальные и спортивно-игровые навыки</t>
        </is>
      </c>
      <c r="I1348" s="32" t="inlineStr">
        <is>
          <t>По формату занятия</t>
        </is>
      </c>
      <c r="J1348" s="31" t="inlineStr">
        <is>
          <t>Ждём всех завтра, в четверг, в студии на Делегатской в 18:00, будем смотреть мультфильм про зелёного слона, есть пирог, слушать концерт Саши Шишова и Миши Гомелева! Здесь на фото только малая часть трудов наших ребят, мы всю студию обклеили их рисунками!</t>
        </is>
      </c>
    </row>
    <row r="1349" ht="30" customHeight="1">
      <c r="A1349" s="23" t="n">
        <v>3180</v>
      </c>
      <c r="B1349" s="24" t="inlineStr">
        <is>
          <t>2018-02-14</t>
        </is>
      </c>
      <c r="C1349" s="25">
        <f>HYPERLINK("https://vk.com/wall-1825701_3180", "Открыть пост")</f>
        <v/>
      </c>
      <c r="D1349" s="26" t="inlineStr">
        <is>
          <t>Творческие мастер-классы и художественные студии</t>
        </is>
      </c>
      <c r="E1349" s="26" t="inlineStr">
        <is>
          <t>Творческие мастер-классы и художественные студии; Выставки, экскурсии и культурные выходы</t>
        </is>
      </c>
      <c r="F1349" s="26" t="inlineStr">
        <is>
          <t>Подопечные фонда «Дети Марии» (общая группа детей и подростков)</t>
        </is>
      </c>
      <c r="G1349" s="26" t="inlineStr">
        <is>
          <t>Студия фонда / выездная площадка</t>
        </is>
      </c>
      <c r="H1349" s="26" t="inlineStr">
        <is>
          <t>Коммуникативные навыки, эмпатия и тьюторское сопровождение</t>
        </is>
      </c>
      <c r="I1349" s="27" t="inlineStr">
        <is>
          <t>Да (в тексте)</t>
        </is>
      </c>
      <c r="J1349" s="26" t="inlineStr">
        <is>
          <t>В галерее Magic Yard, где наших сотрудников и волонтёров учат разным видам прикладного творчества, после обеда был мастер-класс по монотипии графика Ульяны Сорокиной. Отпечатывали растения на бумаге, продумывали композицию, дорисовывали карандашами. И любовались результатами!</t>
        </is>
      </c>
    </row>
    <row r="1350" ht="30" customHeight="1">
      <c r="A1350" s="28" t="n">
        <v>3179</v>
      </c>
      <c r="B1350" s="29" t="inlineStr">
        <is>
          <t>2018-02-13</t>
        </is>
      </c>
      <c r="C1350" s="30">
        <f>HYPERLINK("https://vk.com/wall-1825701_3179", "Открыть пост")</f>
        <v/>
      </c>
      <c r="D1350" s="31" t="inlineStr">
        <is>
          <t>Спектакли, концерты и музыкально-театральные занятия</t>
        </is>
      </c>
      <c r="E1350" s="31" t="inlineStr">
        <is>
          <t>Спектакли, концерты и музыкально-театральные занятия</t>
        </is>
      </c>
      <c r="F1350" s="31" t="inlineStr">
        <is>
          <t>Подопечные фонда «Дети Марии» (общая группа детей и подростков)</t>
        </is>
      </c>
      <c r="G1350" s="31" t="inlineStr">
        <is>
          <t>Студия фонда / выездная площадка</t>
        </is>
      </c>
      <c r="H1350" s="31" t="inlineStr">
        <is>
          <t>Артистические, музыкальные и спортивно-игровые навыки; Медиа, фото/видеосъёмка и культурная медиация</t>
        </is>
      </c>
      <c r="I1350" s="32" t="inlineStr">
        <is>
          <t>По формату занятия</t>
        </is>
      </c>
      <c r="J1350" s="31" t="inlineStr">
        <is>
          <t>В четверг 15 февраля в 18:00 Александр Шишов приглашает всех в студию на Делегатскую на премьеру мультфильма про Зеленого слона. Работа шла целый год — рисунки для мультфильма создавали ребята из всех интернатов, потом был долгий процесс монтажа и озвучки, и вот... слон родился! ...</t>
        </is>
      </c>
    </row>
    <row r="1351" ht="30" customHeight="1">
      <c r="A1351" s="23" t="n">
        <v>3174</v>
      </c>
      <c r="B1351" s="24" t="inlineStr">
        <is>
          <t>2018-02-13</t>
        </is>
      </c>
      <c r="C1351" s="25">
        <f>HYPERLINK("https://vk.com/wall-1825701_3174", "Открыть пост")</f>
        <v/>
      </c>
      <c r="D1351" s="26" t="inlineStr">
        <is>
          <t>Творческие мастер-классы и художественные студии</t>
        </is>
      </c>
      <c r="E1351" s="26" t="inlineStr">
        <is>
          <t>Творческие мастер-классы и художественные студии; Выставки, экскурсии и культурные выходы</t>
        </is>
      </c>
      <c r="F1351" s="26" t="inlineStr">
        <is>
          <t>Воспитанники ЦССВ, ДДИ и детских домов-интернатов</t>
        </is>
      </c>
      <c r="G1351" s="26" t="inlineStr">
        <is>
          <t>Студия фонда / выездная площадка</t>
        </is>
      </c>
      <c r="H1351" s="26" t="inlineStr">
        <is>
          <t>Коммуникативные навыки, эмпатия и тьюторское сопровождение</t>
        </is>
      </c>
      <c r="I1351" s="27" t="inlineStr">
        <is>
          <t>Да (в тексте)</t>
        </is>
      </c>
      <c r="J1351" s="26" t="inlineStr">
        <is>
          <t>В Черногории учёба наших сотрудников и волонтёров в понедельник продолжилась в городе Которе, в галерее Namfleg, где нас тоже очень душевно принимали. Эмальер Александра Мальцева делилась секретами изготовления украшений в техники перегородчатой эмали, и во время её мастер-класса...</t>
        </is>
      </c>
    </row>
    <row r="1352" ht="30" customHeight="1">
      <c r="A1352" s="28" t="n">
        <v>3170</v>
      </c>
      <c r="B1352" s="29" t="inlineStr">
        <is>
          <t>2018-02-11</t>
        </is>
      </c>
      <c r="C1352" s="30">
        <f>HYPERLINK("https://vk.com/wall-1825701_3170", "Открыть пост")</f>
        <v/>
      </c>
      <c r="D1352" s="31" t="inlineStr">
        <is>
          <t>Творческие мастер-классы и художественные студии</t>
        </is>
      </c>
      <c r="E1352" s="31" t="inlineStr">
        <is>
          <t>Творческие мастер-классы и художественные студии</t>
        </is>
      </c>
      <c r="F1352" s="31" t="inlineStr">
        <is>
          <t>Воспитанники ЦССВ, ДДИ и детских домов-интернатов</t>
        </is>
      </c>
      <c r="G1352" s="31" t="inlineStr">
        <is>
          <t>Студия фонда / выездная площадка</t>
        </is>
      </c>
      <c r="H1352" s="31" t="inlineStr">
        <is>
          <t>Художественно-прикладные и ремесленные навыки; Артистические, музыкальные и спортивно-игровые навыки</t>
        </is>
      </c>
      <c r="I1352" s="32" t="inlineStr">
        <is>
          <t>По формату занятия</t>
        </is>
      </c>
      <c r="J1352" s="31" t="inlineStr">
        <is>
          <t>Вчера в студии ещё и домашние дети занимались. «Замковая картина» продолжается, керамика играет всеми красками радуги, и всё это под песенки. А Ангелина начала рисовать портрет. В качестве образца выбрала Серова.</t>
        </is>
      </c>
    </row>
    <row r="1353" ht="30" customHeight="1">
      <c r="A1353" s="23" t="n">
        <v>3169</v>
      </c>
      <c r="B1353" s="24" t="inlineStr">
        <is>
          <t>2018-02-11</t>
        </is>
      </c>
      <c r="C1353" s="25">
        <f>HYPERLINK("https://vk.com/wall-1825701_3169", "Открыть пост")</f>
        <v/>
      </c>
      <c r="D1353" s="26" t="inlineStr">
        <is>
          <t>Праздники, дни рождения и клубные встречи</t>
        </is>
      </c>
      <c r="E1353" s="26" t="inlineStr">
        <is>
          <t>Праздники, дни рождения и клубные встречи</t>
        </is>
      </c>
      <c r="F1353" s="26" t="inlineStr">
        <is>
          <t>Воспитанники ЦССВ, ДДИ и детских домов-интернатов</t>
        </is>
      </c>
      <c r="G1353" s="26" t="inlineStr">
        <is>
          <t>ЦССВ «Спутник»</t>
        </is>
      </c>
      <c r="H1353" s="26" t="inlineStr">
        <is>
          <t>Организационные, ивент- и ярмарочные навыки</t>
        </is>
      </c>
      <c r="I1353" s="27" t="inlineStr">
        <is>
          <t>Да (в тексте)</t>
        </is>
      </c>
      <c r="J1353" s="26" t="inlineStr">
        <is>
          <t>Дети из ЦССВ «Спутник» вчера пришли в студию со своими планами — сделать с помощью наших художников открытки и предстоящим праздникам — 23 февраля и 8 марта. Трудились все, открытки получились — просто загляденье! Ну и, конечно, чаепитие с бутербродами, сладостями — спасибо волон...</t>
        </is>
      </c>
    </row>
    <row r="1354" ht="30" customHeight="1">
      <c r="A1354" s="28" t="n">
        <v>3168</v>
      </c>
      <c r="B1354" s="29" t="inlineStr">
        <is>
          <t>2018-02-10</t>
        </is>
      </c>
      <c r="C1354" s="30">
        <f>HYPERLINK("https://vk.com/wall-1825701_3168", "Открыть пост")</f>
        <v/>
      </c>
      <c r="D1354" s="31" t="inlineStr">
        <is>
          <t>Творческие мастер-классы и художественные студии</t>
        </is>
      </c>
      <c r="E1354" s="31" t="inlineStr">
        <is>
          <t>Творческие мастер-классы и художественные студии</t>
        </is>
      </c>
      <c r="F1354" s="31" t="inlineStr">
        <is>
          <t>Подопечные фонда «Дети Марии» (общая группа детей и подростков)</t>
        </is>
      </c>
      <c r="G1354" s="31" t="inlineStr">
        <is>
          <t>Студия фонда / выездная площадка</t>
        </is>
      </c>
      <c r="H1354" s="31" t="inlineStr">
        <is>
          <t>Педагогические и наставнические навыки (кулинария, быт, учёба)</t>
        </is>
      </c>
      <c r="I1354" s="32" t="inlineStr">
        <is>
          <t>Да (в тексте)</t>
        </is>
      </c>
      <c r="J1354" s="31" t="inlineStr">
        <is>
          <t>А в Черногории, где проходит учёба наших сотрудников и волонтёров, вечером прошёл ещё один мастер-класс. Ольга Федотова, с которой мы уже познакомились и подружились, сегодня начала учить нас работать с эпоксидной смолой. Разложили в формочки разные мелочи, в том числе и найденны...</t>
        </is>
      </c>
    </row>
    <row r="1355" ht="30" customHeight="1">
      <c r="A1355" s="23" t="n">
        <v>3166</v>
      </c>
      <c r="B1355" s="24" t="inlineStr">
        <is>
          <t>2018-02-10</t>
        </is>
      </c>
      <c r="C1355" s="25">
        <f>HYPERLINK("https://vk.com/wall-1825701_3166", "Открыть пост")</f>
        <v/>
      </c>
      <c r="D1355" s="26" t="inlineStr">
        <is>
          <t>Творческие мастер-классы и художественные студии</t>
        </is>
      </c>
      <c r="E1355" s="26" t="inlineStr">
        <is>
          <t>Творческие мастер-классы и художественные студии; Выставки, экскурсии и культурные выходы</t>
        </is>
      </c>
      <c r="F1355" s="26" t="inlineStr">
        <is>
          <t>Подопечные фонда «Дети Марии» (общая группа детей и подростков)</t>
        </is>
      </c>
      <c r="G1355" s="26" t="inlineStr">
        <is>
          <t>Студия фонда / выездная площадка</t>
        </is>
      </c>
      <c r="H1355" s="26" t="inlineStr">
        <is>
          <t>Художественно-прикладные и ремесленные навыки; Педагогические и наставнические навыки (кулинария, быт, учёба)</t>
        </is>
      </c>
      <c r="I1355" s="27" t="inlineStr">
        <is>
          <t>Да (в тексте)</t>
        </is>
      </c>
      <c r="J1355" s="26" t="inlineStr">
        <is>
          <t>Новости из черногорского города Будва, где в галерее Magic Yard проходит серия мастер-классов для наших преподавателей и волонтёров. Сегодня с утра нас разделили: девочки — направо, мальчики — налево, и начались сразу два совершенно волшебных мастер-класса! Девочек художница Свет...</t>
        </is>
      </c>
    </row>
    <row r="1356" ht="30" customHeight="1">
      <c r="A1356" s="28" t="n">
        <v>3164</v>
      </c>
      <c r="B1356" s="29" t="inlineStr">
        <is>
          <t>2018-02-09</t>
        </is>
      </c>
      <c r="C1356" s="30">
        <f>HYPERLINK("https://vk.com/wall-1825701_3164", "Открыть пост")</f>
        <v/>
      </c>
      <c r="D1356" s="31" t="inlineStr">
        <is>
          <t>Творческие мастер-классы и художественные студии</t>
        </is>
      </c>
      <c r="E1356" s="31" t="inlineStr">
        <is>
          <t>Творческие мастер-классы и художественные студии; Выставки, экскурсии и культурные выходы</t>
        </is>
      </c>
      <c r="F1356" s="31" t="inlineStr">
        <is>
          <t>Подростки и взрослые с ментальными особенностями и ОВЗ (ПНИ / Социальные дома)</t>
        </is>
      </c>
      <c r="G1356" s="31" t="inlineStr">
        <is>
          <t>Студия фонда / выездная площадка</t>
        </is>
      </c>
      <c r="H1356" s="31" t="inlineStr">
        <is>
          <t>Художественно-прикладные и ремесленные навыки</t>
        </is>
      </c>
      <c r="I1356" s="32" t="inlineStr">
        <is>
          <t>Да (в тексте)</t>
        </is>
      </c>
      <c r="J1356" s="31" t="inlineStr">
        <is>
          <t>Несколько сотрудников и волонтёров «Детей Марии» и «Пеликана» приглашены в Черногорию, в город Будву, в галерею Magic Yard для прохождения серии мастер-классов. Начали сегодня с занятия с художницей Ольгой Федотовой, она показала нам множество приёмов работы с полимерной глиной. ...</t>
        </is>
      </c>
    </row>
    <row r="1357" ht="30" customHeight="1">
      <c r="A1357" s="23" t="n">
        <v>3161</v>
      </c>
      <c r="B1357" s="24" t="inlineStr">
        <is>
          <t>2018-02-08</t>
        </is>
      </c>
      <c r="C1357" s="25">
        <f>HYPERLINK("https://vk.com/wall-1825701_3161", "Открыть пост")</f>
        <v/>
      </c>
      <c r="D1357" s="26" t="inlineStr">
        <is>
          <t>Творческие мастер-классы и художественные студии</t>
        </is>
      </c>
      <c r="E1357" s="26" t="inlineStr">
        <is>
          <t>Творческие мастер-классы и художественные студии; Выездные лагеря, дача и сезонные программы</t>
        </is>
      </c>
      <c r="F1357" s="26" t="inlineStr">
        <is>
          <t>Подопечные фонда «Дети Марии» (общая группа детей и подростков)</t>
        </is>
      </c>
      <c r="G1357" s="26" t="inlineStr">
        <is>
          <t>Студия фонда / выездная площадка</t>
        </is>
      </c>
      <c r="H1357" s="26" t="inlineStr">
        <is>
          <t>Художественно-прикладные и ремесленные навыки</t>
        </is>
      </c>
      <c r="I1357" s="27" t="inlineStr">
        <is>
          <t>По формату занятия</t>
        </is>
      </c>
      <c r="J1357" s="26" t="inlineStr">
        <is>
          <t>Дети из Филимонок в загородных мастерских. Керамика — наше главное и любимое. Но ещё для разнообразия рисуем в технике эбру — птичьим пером по воде — мастер-класс провела Юля Клечина.</t>
        </is>
      </c>
    </row>
    <row r="1358" ht="30" customHeight="1">
      <c r="A1358" s="28" t="n">
        <v>3159</v>
      </c>
      <c r="B1358" s="29" t="inlineStr">
        <is>
          <t>2018-02-07</t>
        </is>
      </c>
      <c r="C1358" s="30">
        <f>HYPERLINK("https://vk.com/wall-1825701_3159", "Открыть пост")</f>
        <v/>
      </c>
      <c r="D1358" s="31" t="inlineStr">
        <is>
          <t>Творческие мастер-классы и художественные студии</t>
        </is>
      </c>
      <c r="E1358" s="31" t="inlineStr">
        <is>
          <t>Творческие мастер-классы и художественные студии; Спектакли, концерты и музыкально-театральные занятия</t>
        </is>
      </c>
      <c r="F1358" s="31" t="inlineStr">
        <is>
          <t>Подростки и взрослые с ментальными особенностями и ОВЗ (ПНИ / Социальные дома); Воспитанники ЦССВ, ДДИ и детских домов-интернатов; Выпускники интернатов и детских домов (молодые взрослые)</t>
        </is>
      </c>
      <c r="G1358" s="31" t="inlineStr">
        <is>
          <t>ЦССВ «Юнона»</t>
        </is>
      </c>
      <c r="H1358"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t>
        </is>
      </c>
      <c r="I1358" s="32" t="inlineStr">
        <is>
          <t>По формату занятия</t>
        </is>
      </c>
      <c r="J1358" s="31" t="inlineStr">
        <is>
          <t>Совместное занятие детей из ЦССВ «Юнона» и выпускников того же детского дома, которые теперь живут в ПНИ 20, прошло весело — лепили под песни и барабаны, рисовали под дружескую болтовню.</t>
        </is>
      </c>
    </row>
    <row r="1359" ht="30" customHeight="1">
      <c r="A1359" s="23" t="n">
        <v>3157</v>
      </c>
      <c r="B1359" s="24" t="inlineStr">
        <is>
          <t>2018-02-07</t>
        </is>
      </c>
      <c r="C1359" s="25">
        <f>HYPERLINK("https://vk.com/wall-1825701_3157", "Открыть пост")</f>
        <v/>
      </c>
      <c r="D1359" s="26" t="inlineStr">
        <is>
          <t>Творческие мастер-классы и художественные студии</t>
        </is>
      </c>
      <c r="E1359" s="26" t="inlineStr">
        <is>
          <t>Творческие мастер-классы и художественные студии</t>
        </is>
      </c>
      <c r="F1359" s="26" t="inlineStr">
        <is>
          <t>Подростки и взрослые с ментальными особенностями и ОВЗ (ПНИ / Социальные дома)</t>
        </is>
      </c>
      <c r="G1359" s="26" t="inlineStr">
        <is>
          <t>Студия фонда / выездная площадка</t>
        </is>
      </c>
      <c r="H1359" s="26" t="inlineStr">
        <is>
          <t>Художественно-прикладные и ремесленные навыки; Педагогические и наставнические навыки (кулинария, быт, учёба)</t>
        </is>
      </c>
      <c r="I1359" s="27" t="inlineStr">
        <is>
          <t>По формату занятия</t>
        </is>
      </c>
      <c r="J1359" s="26" t="inlineStr">
        <is>
          <t>У группы из ПНИ 20 занятие сегодня было с орнитологическим уклоном. Птицы местные, птицы тропические. Рисовали снегирей, слепили распрекрасных туканов. Преподаватель керамики Николай не нахвалится тем, какие способные приезжают ребята!</t>
        </is>
      </c>
    </row>
    <row r="1360" ht="30" customHeight="1">
      <c r="A1360" s="28" t="n">
        <v>3155</v>
      </c>
      <c r="B1360" s="29" t="inlineStr">
        <is>
          <t>2018-02-06</t>
        </is>
      </c>
      <c r="C1360" s="30">
        <f>HYPERLINK("https://vk.com/wall-1825701_3155", "Открыть пост")</f>
        <v/>
      </c>
      <c r="D1360" s="31" t="inlineStr">
        <is>
          <t>Кулинарные, образовательные и социально-бытовые занятия</t>
        </is>
      </c>
      <c r="E1360" s="31" t="inlineStr">
        <is>
          <t>Кулинарные, образовательные и социально-бытовые занятия</t>
        </is>
      </c>
      <c r="F1360" s="31" t="inlineStr">
        <is>
          <t>Подростки и взрослые с ментальными особенностями и ОВЗ (ПНИ / Социальные дома)</t>
        </is>
      </c>
      <c r="G1360" s="31" t="inlineStr">
        <is>
          <t>Студия фонда / выездная площадка</t>
        </is>
      </c>
      <c r="H1360" s="31" t="inlineStr">
        <is>
          <t>Коммуникативные навыки, эмпатия и тьюторское сопровождение; Педагогические и наставнические навыки (кулинария, быт, учёба)</t>
        </is>
      </c>
      <c r="I1360" s="32" t="inlineStr">
        <is>
          <t>По формату занятия</t>
        </is>
      </c>
      <c r="J1360" s="31" t="inlineStr">
        <is>
          <t>Сегодня Анна Павловская продолжила с Лёшей Ильиным из ПНИ 20 индивидуальные занятия по кулинарии. Готовили полноценный обед из трёх блюд — овощной суп, рис с овощами, варили сосиски и даже шарлотку на десерт испекли. Лёша сам накрыл на стол, пригласил всех, кто был в студии, разл...</t>
        </is>
      </c>
    </row>
    <row r="1361" ht="30" customHeight="1">
      <c r="A1361" s="23" t="n">
        <v>3151</v>
      </c>
      <c r="B1361" s="24" t="inlineStr">
        <is>
          <t>2018-02-05</t>
        </is>
      </c>
      <c r="C1361" s="25">
        <f>HYPERLINK("https://vk.com/wall-1825701_3151", "Открыть пост")</f>
        <v/>
      </c>
      <c r="D1361" s="26" t="inlineStr">
        <is>
          <t>Выездные лагеря, дача и сезонные программы</t>
        </is>
      </c>
      <c r="E1361" s="26" t="inlineStr">
        <is>
          <t>Выездные лагеря, дача и сезонные программы</t>
        </is>
      </c>
      <c r="F1361" s="26" t="inlineStr">
        <is>
          <t>Воспитанники ЦССВ, ДДИ и детских домов-интернатов</t>
        </is>
      </c>
      <c r="G1361" s="26" t="inlineStr">
        <is>
          <t>ЦССВ «Юнона»</t>
        </is>
      </c>
      <c r="H1361" s="26" t="inlineStr">
        <is>
          <t>Организационные, ивент- и ярмарочные навыки</t>
        </is>
      </c>
      <c r="I1361" s="27" t="inlineStr">
        <is>
          <t>По формату занятия</t>
        </is>
      </c>
      <c r="J1361" s="26" t="inlineStr">
        <is>
          <t>Приезд в загородные мастерские для детей из ЦССВ «Юнона» всегда немного праздник — там волшебно красиво, а сейчас, зимой — просто сказочно. Красота природы вдохновляет на творчество. А после занятия можно и в настолки поиграть.</t>
        </is>
      </c>
    </row>
    <row r="1362" ht="30" customHeight="1">
      <c r="A1362" s="28" t="n">
        <v>3147</v>
      </c>
      <c r="B1362" s="29" t="inlineStr">
        <is>
          <t>2018-02-04</t>
        </is>
      </c>
      <c r="C1362" s="30">
        <f>HYPERLINK("https://vk.com/wall-1825701_3147", "Открыть пост")</f>
        <v/>
      </c>
      <c r="D1362" s="31" t="inlineStr">
        <is>
          <t>Творческие мастер-классы и художественные студии</t>
        </is>
      </c>
      <c r="E1362" s="31" t="inlineStr">
        <is>
          <t>Творческие мастер-классы и художественные студии; Выездные лагеря, дача и сезонные программы</t>
        </is>
      </c>
      <c r="F1362" s="31" t="inlineStr">
        <is>
          <t>Подопечные фонда «Дети Марии» (общая группа детей и подростков)</t>
        </is>
      </c>
      <c r="G1362" s="31" t="inlineStr">
        <is>
          <t>Студия фонда / выездная площадка</t>
        </is>
      </c>
      <c r="H1362" s="31" t="inlineStr">
        <is>
          <t>Художественно-прикладные и ремесленные навыки</t>
        </is>
      </c>
      <c r="I1362" s="32" t="inlineStr">
        <is>
          <t>По формату занятия</t>
        </is>
      </c>
      <c r="J1362" s="31" t="inlineStr">
        <is>
          <t>Всё познаётся в сравнении. Рядом с двухлетним Ромкой дети из Филимонок — совсем взрослые. Не только сами умеют рисовать и лепить, но и малышу покажут и помогут. Занятия в загородных мастерских.</t>
        </is>
      </c>
    </row>
    <row r="1363" ht="30" customHeight="1">
      <c r="A1363" s="23" t="n">
        <v>3142</v>
      </c>
      <c r="B1363" s="24" t="inlineStr">
        <is>
          <t>2018-02-03</t>
        </is>
      </c>
      <c r="C1363" s="25">
        <f>HYPERLINK("https://vk.com/wall-1825701_3142", "Открыть пост")</f>
        <v/>
      </c>
      <c r="D1363" s="26" t="inlineStr">
        <is>
          <t>Творческие мастер-классы и художественные студии</t>
        </is>
      </c>
      <c r="E1363" s="26" t="inlineStr">
        <is>
          <t>Творческие мастер-классы и художественные студии</t>
        </is>
      </c>
      <c r="F1363" s="26" t="inlineStr">
        <is>
          <t>Подростки и взрослые с ментальными особенностями и ОВЗ (ПНИ / Социальные дома)</t>
        </is>
      </c>
      <c r="G1363" s="26" t="inlineStr">
        <is>
          <t>Студия фонда / выездная площадка</t>
        </is>
      </c>
      <c r="H1363" s="26" t="inlineStr">
        <is>
          <t>Коммуникативные навыки, эмпатия и тьюторское сопровождение</t>
        </is>
      </c>
      <c r="I1363" s="27" t="inlineStr">
        <is>
          <t>По формату занятия</t>
        </is>
      </c>
      <c r="J1363" s="26" t="inlineStr">
        <is>
          <t>Пёстрая сегодня собралась компания на занятия в студии на Делегатской. Нюся задумала сказочную картину о замках, принцессах и рыцарях, детали для картины рисуют и маленькие, и большие. Кирилл, Вика и Лена из ПНИ 20 уже вторую субботу приезжают сами. Приезжают раньше всех и сидят ...</t>
        </is>
      </c>
    </row>
    <row r="1364" ht="30" customHeight="1">
      <c r="A1364" s="28" t="n">
        <v>3138</v>
      </c>
      <c r="B1364" s="29" t="inlineStr">
        <is>
          <t>2018-02-02</t>
        </is>
      </c>
      <c r="C1364" s="30">
        <f>HYPERLINK("https://vk.com/wall-1825701_3138", "Открыть пост")</f>
        <v/>
      </c>
      <c r="D1364" s="31" t="inlineStr">
        <is>
          <t>Творческие мастер-классы и художественные студии</t>
        </is>
      </c>
      <c r="E1364" s="31" t="inlineStr">
        <is>
          <t>Творческие мастер-классы и художественные студии</t>
        </is>
      </c>
      <c r="F1364" s="31" t="inlineStr">
        <is>
          <t>Подростки и взрослые с ментальными особенностями и ОВЗ (ПНИ / Социальные дома)</t>
        </is>
      </c>
      <c r="G1364" s="31" t="inlineStr">
        <is>
          <t>Студия фонда / выездная площадка</t>
        </is>
      </c>
      <c r="H1364" s="31" t="inlineStr">
        <is>
          <t>Коммуникативные навыки, эмпатия и тьюторское сопровождение</t>
        </is>
      </c>
      <c r="I1364" s="32" t="inlineStr">
        <is>
          <t>Да (в тексте)</t>
        </is>
      </c>
      <c r="J1364" s="31" t="inlineStr">
        <is>
          <t>На занятиях в студии ребята из ПНИ 16. Каждый занят своим делом — рисуют, лепят, а Миша с волонтёром Анной Павловской готовят салат и вишнёвый пирог. За столом все и объединяются — где ж и поговорить как ни за чаем с пирогом!</t>
        </is>
      </c>
    </row>
    <row r="1365" ht="30" customHeight="1">
      <c r="A1365" s="23" t="n">
        <v>3137</v>
      </c>
      <c r="B1365" s="24" t="inlineStr">
        <is>
          <t>2018-02-02</t>
        </is>
      </c>
      <c r="C1365" s="25">
        <f>HYPERLINK("https://vk.com/wall-1825701_3137", "Открыть пост")</f>
        <v/>
      </c>
      <c r="D1365" s="26" t="inlineStr">
        <is>
          <t>Творческие мастер-классы и художественные студии</t>
        </is>
      </c>
      <c r="E1365" s="26" t="inlineStr">
        <is>
          <t>Творческие мастер-классы и художественные студии</t>
        </is>
      </c>
      <c r="F1365" s="26" t="inlineStr">
        <is>
          <t>Подопечные фонда «Дети Марии» (общая группа детей и подростков)</t>
        </is>
      </c>
      <c r="G1365" s="26" t="inlineStr">
        <is>
          <t>Студия фонда / выездная площадка</t>
        </is>
      </c>
      <c r="H1365" s="26" t="inlineStr">
        <is>
          <t>Художественно-прикладные и ремесленные навыки; Педагогические и наставнические навыки (кулинария, быт, учёба)</t>
        </is>
      </c>
      <c r="I1365" s="27" t="inlineStr">
        <is>
          <t>Да (в тексте)</t>
        </is>
      </c>
      <c r="J1365" s="26" t="inlineStr">
        <is>
          <t>Что происходит в студии на Делегатской, когда дети уже давно уехали? Взрослые творят сами и учат друг друга! Вчера Валентина Миронова показала мастер-класс для наших преподавателей и волонтёров по валянию на шёлковой основе. За один лишь вечер на свет появился сказочной красоты п...</t>
        </is>
      </c>
    </row>
    <row r="1366" ht="30" customHeight="1">
      <c r="A1366" s="28" t="n">
        <v>3125</v>
      </c>
      <c r="B1366" s="29" t="inlineStr">
        <is>
          <t>2018-01-28</t>
        </is>
      </c>
      <c r="C1366" s="30">
        <f>HYPERLINK("https://vk.com/wall-1825701_3125", "Открыть пост")</f>
        <v/>
      </c>
      <c r="D1366" s="31" t="inlineStr">
        <is>
          <t>Творческие мастер-классы и художественные студии</t>
        </is>
      </c>
      <c r="E1366" s="31" t="inlineStr">
        <is>
          <t>Творческие мастер-классы и художественные студии</t>
        </is>
      </c>
      <c r="F1366" s="31" t="inlineStr">
        <is>
          <t>Воспитанники ЦССВ, ДДИ и детских домов-интернатов</t>
        </is>
      </c>
      <c r="G1366" s="31" t="inlineStr">
        <is>
          <t>ЦССВ «Спутник»</t>
        </is>
      </c>
      <c r="H1366" s="31" t="inlineStr">
        <is>
          <t>Педагогические и наставнические навыки (кулинария, быт, учёба)</t>
        </is>
      </c>
      <c r="I1366" s="32" t="inlineStr">
        <is>
          <t>Да (в тексте)</t>
        </is>
      </c>
      <c r="J1366" s="31" t="inlineStr">
        <is>
          <t>Дети из ЦССВ «Спутник» и волонтёр Екатерина готовили лимонные кексы и шоколадно-банановый смузи. Учились разделению труда в команде. Это непросто — каждый хотел делать всё и считал, что сделает лучше. Что не смогли съесть — завернув в салфеточку, понесли с собой — угостить друзей...</t>
        </is>
      </c>
    </row>
    <row r="1367" ht="30" customHeight="1">
      <c r="A1367" s="23" t="n">
        <v>3120</v>
      </c>
      <c r="B1367" s="24" t="inlineStr">
        <is>
          <t>2018-01-27</t>
        </is>
      </c>
      <c r="C1367" s="25">
        <f>HYPERLINK("https://vk.com/wall-1825701_3120", "Открыть пост")</f>
        <v/>
      </c>
      <c r="D1367" s="26" t="inlineStr">
        <is>
          <t>Спектакли, концерты и музыкально-театральные занятия</t>
        </is>
      </c>
      <c r="E1367" s="26" t="inlineStr">
        <is>
          <t>Спектакли, концерты и музыкально-театральные занятия; Ярмарки, фестивали и благотворительные базары; Выставки, экскурсии и культурные выходы; Творческие мастер-классы и художественные студии</t>
        </is>
      </c>
      <c r="F1367" s="26" t="inlineStr">
        <is>
          <t>Воспитанники ЦССВ, ДДИ и детских домов-интернатов</t>
        </is>
      </c>
      <c r="G1367" s="26" t="inlineStr">
        <is>
          <t>ЦССВ «Спутник»</t>
        </is>
      </c>
      <c r="H1367" s="26" t="inlineStr">
        <is>
          <t>Артистические, музыкальные и спортивно-игровые навыки; Мобильность, выездное сопровождение и автоволонтёрство</t>
        </is>
      </c>
      <c r="I1367" s="27" t="inlineStr">
        <is>
          <t>Да (в тексте)</t>
        </is>
      </c>
      <c r="J1367" s="26" t="inlineStr">
        <is>
          <t>В Доме творчества на Миуссах сегодня прошёл фестиваль «Путь к успеху». Жители Тверского смогли больше узнать о том, чем можно заниматься в досуговых клубах района. «Дети Марии» рассказывали о своих программах и программах «Пеликана» и показали небольшую выставку картин. Спасибо з...</t>
        </is>
      </c>
    </row>
    <row r="1368" ht="30" customHeight="1">
      <c r="A1368" s="28" t="n">
        <v>3119</v>
      </c>
      <c r="B1368" s="29" t="inlineStr">
        <is>
          <t>2018-01-27</t>
        </is>
      </c>
      <c r="C1368" s="30">
        <f>HYPERLINK("https://vk.com/wall-1825701_3119", "Открыть пост")</f>
        <v/>
      </c>
      <c r="D1368" s="31" t="inlineStr">
        <is>
          <t>Творческие мастер-классы и художественные студии</t>
        </is>
      </c>
      <c r="E1368" s="31" t="inlineStr">
        <is>
          <t>Творческие мастер-классы и художественные студии</t>
        </is>
      </c>
      <c r="F1368" s="31" t="inlineStr">
        <is>
          <t>Подопечные фонда «Дети Марии» (общая группа детей и подростков)</t>
        </is>
      </c>
      <c r="G1368" s="31" t="inlineStr">
        <is>
          <t>Студия фонда / выездная площадка</t>
        </is>
      </c>
      <c r="H1368" s="31" t="inlineStr">
        <is>
          <t>Коммуникативные навыки, эмпатия и тьюторское сопровождение</t>
        </is>
      </c>
      <c r="I1368" s="32" t="inlineStr">
        <is>
          <t>По формату занятия</t>
        </is>
      </c>
      <c r="J1368" s="31" t="inlineStr">
        <is>
          <t>Фонарь для свечи — красивая деталь интерьера в любой сезон. Хорош и в доме, и в саду — ветер на задует свечу. Стекло фонаря — витраж ручной работы в технике Тиффани — сделан Ирой Скимбаторь на занятиях в студии на Дмитровке. Теперь в нашем интернет-магазине. mariaschildren.ru/ru/...</t>
        </is>
      </c>
    </row>
    <row r="1369" ht="30" customHeight="1">
      <c r="A1369" s="23" t="n">
        <v>3117</v>
      </c>
      <c r="B1369" s="24" t="inlineStr">
        <is>
          <t>2018-01-26</t>
        </is>
      </c>
      <c r="C1369" s="25">
        <f>HYPERLINK("https://vk.com/wall-1825701_3117", "Открыть пост")</f>
        <v/>
      </c>
      <c r="D1369" s="26" t="inlineStr">
        <is>
          <t>Ярмарки, фестивали и благотворительные базары</t>
        </is>
      </c>
      <c r="E1369" s="26" t="inlineStr">
        <is>
          <t>Ярмарки, фестивали и благотворительные базары; Спектакли, концерты и музыкально-театральные занятия</t>
        </is>
      </c>
      <c r="F1369" s="26" t="inlineStr">
        <is>
          <t>Подопечные фонда «Дети Марии» (общая группа детей и подростков)</t>
        </is>
      </c>
      <c r="G1369" s="26" t="inlineStr">
        <is>
          <t>Студия фонда / выездная площадка</t>
        </is>
      </c>
      <c r="H1369" s="26" t="inlineStr">
        <is>
          <t>Артистические, музыкальные и спортивно-игровые навыки</t>
        </is>
      </c>
      <c r="I1369" s="27" t="inlineStr">
        <is>
          <t>По формату занятия</t>
        </is>
      </c>
      <c r="J1369" s="26" t="inlineStr">
        <is>
          <t>Завтра, в субботу во Дворце творчества на Миуссах пройдёт фестиваль «Путь к успеху». Участвуют все досуговые клубы Тверского района, в том числе и «Дети Марии», с презентацией своих возможностей. Будут мастер классы и концерт. Приглашаем желающих. Вход бесплатный. Информация в аф...</t>
        </is>
      </c>
    </row>
    <row r="1370" ht="30" customHeight="1">
      <c r="A1370" s="28" t="n">
        <v>3107</v>
      </c>
      <c r="B1370" s="29" t="inlineStr">
        <is>
          <t>2018-01-22</t>
        </is>
      </c>
      <c r="C1370" s="30">
        <f>HYPERLINK("https://vk.com/wall-1825701_3107", "Открыть пост")</f>
        <v/>
      </c>
      <c r="D1370" s="31" t="inlineStr">
        <is>
          <t>Творческие мастер-классы и художественные студии</t>
        </is>
      </c>
      <c r="E1370" s="31" t="inlineStr">
        <is>
          <t>Творческие мастер-классы и художественные студии; Праздники, дни рождения и клубные встречи</t>
        </is>
      </c>
      <c r="F1370" s="31" t="inlineStr">
        <is>
          <t>Подопечные фонда «Дети Марии» (общая группа детей и подростков)</t>
        </is>
      </c>
      <c r="G1370" s="31" t="inlineStr">
        <is>
          <t>Студия фонда / выездная площадка</t>
        </is>
      </c>
      <c r="H1370" s="31" t="inlineStr">
        <is>
          <t>Художественно-прикладные и ремесленные навыки; Организационные, ивент- и ярмарочные навыки</t>
        </is>
      </c>
      <c r="I1370" s="32" t="inlineStr">
        <is>
          <t>По формату занятия</t>
        </is>
      </c>
      <c r="J1370" s="31" t="inlineStr">
        <is>
          <t>День и Ночь мы рисовали Наши пальчики устали. В конце занятия — непременное чаепитие. Знаете, как называются вафли? — Печенье в клеточку!</t>
        </is>
      </c>
    </row>
    <row r="1371" ht="30" customHeight="1">
      <c r="A1371" s="23" t="n">
        <v>3102</v>
      </c>
      <c r="B1371" s="24" t="inlineStr">
        <is>
          <t>2018-01-21</t>
        </is>
      </c>
      <c r="C1371" s="25">
        <f>HYPERLINK("https://vk.com/wall-1825701_3102", "Открыть пост")</f>
        <v/>
      </c>
      <c r="D1371" s="26" t="inlineStr">
        <is>
          <t>Выездные лагеря, дача и сезонные программы</t>
        </is>
      </c>
      <c r="E1371" s="26" t="inlineStr">
        <is>
          <t>Выездные лагеря, дача и сезонные программы; Кулинарные, образовательные и социально-бытовые занятия; Творческие мастер-классы и художественные студии</t>
        </is>
      </c>
      <c r="F1371" s="26" t="inlineStr">
        <is>
          <t>Воспитанники ЦССВ, ДДИ и детских домов-интернатов</t>
        </is>
      </c>
      <c r="G1371" s="26" t="inlineStr">
        <is>
          <t>ЦССВ «Спутник»</t>
        </is>
      </c>
      <c r="H1371" s="26" t="inlineStr">
        <is>
          <t>Педагогические и наставнические навыки (кулинария, быт, учёба)</t>
        </is>
      </c>
      <c r="I1371" s="27" t="inlineStr">
        <is>
          <t>Да (в тексте)</t>
        </is>
      </c>
      <c r="J1371" s="26" t="inlineStr">
        <is>
          <t>Дети из ЦССВ «Спутник» в загородных мастерских в субботу. Традиционные художественные занятия и кулинарный мастер-класс — с волонтёром Катей готовили ленивые голубцы и творожный пирог. Готовить ребятам нравится — они понимают, что это важное в жизни умение — накормить вкусно и се...</t>
        </is>
      </c>
    </row>
    <row r="1372" ht="30" customHeight="1">
      <c r="A1372" s="28" t="n">
        <v>3100</v>
      </c>
      <c r="B1372" s="29" t="inlineStr">
        <is>
          <t>2018-01-20</t>
        </is>
      </c>
      <c r="C1372" s="30">
        <f>HYPERLINK("https://vk.com/wall-1825701_3100", "Открыть пост")</f>
        <v/>
      </c>
      <c r="D1372" s="31" t="inlineStr">
        <is>
          <t>Праздники, дни рождения и клубные встречи</t>
        </is>
      </c>
      <c r="E1372" s="31" t="inlineStr">
        <is>
          <t>Праздники, дни рождения и клубные встречи; Творческие мастер-классы и художественные студии</t>
        </is>
      </c>
      <c r="F1372" s="31" t="inlineStr">
        <is>
          <t>Подопечные фонда «Дети Марии» (общая группа детей и подростков)</t>
        </is>
      </c>
      <c r="G1372" s="31" t="inlineStr">
        <is>
          <t>Студия фонда / выездная площадка</t>
        </is>
      </c>
      <c r="H1372" s="31" t="inlineStr">
        <is>
          <t>Художественно-прикладные и ремесленные навыки; Организационные, ивент- и ярмарочные навыки</t>
        </is>
      </c>
      <c r="I1372" s="32" t="inlineStr">
        <is>
          <t>По формату занятия</t>
        </is>
      </c>
      <c r="J1372" s="31" t="inlineStr">
        <is>
          <t>Историки утверждают, что ручное вязание придумали мужчины. И женщинам ещё пришлось побороться за спицы и крючки. Вплоть до 18 века в Европе существовали гильдии вязальщиков, членами которых были только мужчины. К нам на занятия приходит Святослав. Он и рисует, и лепит, а недавно ...</t>
        </is>
      </c>
    </row>
    <row r="1373" ht="30" customHeight="1">
      <c r="A1373" s="23" t="n">
        <v>3094</v>
      </c>
      <c r="B1373" s="24" t="inlineStr">
        <is>
          <t>2018-01-18</t>
        </is>
      </c>
      <c r="C1373" s="25">
        <f>HYPERLINK("https://vk.com/wall-1825701_3094", "Открыть пост")</f>
        <v/>
      </c>
      <c r="D1373" s="26" t="inlineStr">
        <is>
          <t>Ярмарки, фестивали и благотворительные базары</t>
        </is>
      </c>
      <c r="E1373" s="26" t="inlineStr">
        <is>
          <t>Ярмарки, фестивали и благотворительные базары</t>
        </is>
      </c>
      <c r="F1373" s="26" t="inlineStr">
        <is>
          <t>Выпускники интернатов и детских домов (молодые взрослые)</t>
        </is>
      </c>
      <c r="G1373" s="26" t="inlineStr">
        <is>
          <t>Студия фонда / выездная площадка</t>
        </is>
      </c>
      <c r="H1373" s="26" t="inlineStr">
        <is>
          <t>Коммуникативные навыки, эмпатия и тьюторское сопровождение; Организационные, ивент- и ярмарочные навыки</t>
        </is>
      </c>
      <c r="I1373" s="27" t="inlineStr">
        <is>
          <t>По формату занятия</t>
        </is>
      </c>
      <c r="J1373" s="26" t="inlineStr">
        <is>
          <t>На благотворительном аукционе Meet For Charity разыгрывается встреча с Юлией Чупиной. Юлия поддерживает работу нашей студии, знает наших детей и выпускников, активно помогает другим благотворительным фондам, она наш щедрый, мудрый добрый друг. Большой руководитель и обворожительн...</t>
        </is>
      </c>
    </row>
    <row r="1374" ht="30" customHeight="1">
      <c r="A1374" s="28" t="n">
        <v>3090</v>
      </c>
      <c r="B1374" s="29" t="inlineStr">
        <is>
          <t>2018-01-17</t>
        </is>
      </c>
      <c r="C1374" s="30">
        <f>HYPERLINK("https://vk.com/wall-1825701_3090", "Открыть пост")</f>
        <v/>
      </c>
      <c r="D1374" s="31" t="inlineStr">
        <is>
          <t>Творческие мастер-классы и художественные студии</t>
        </is>
      </c>
      <c r="E1374" s="31" t="inlineStr">
        <is>
          <t>Творческие мастер-классы и художественные студии</t>
        </is>
      </c>
      <c r="F1374" s="31" t="inlineStr">
        <is>
          <t>Подростки и взрослые с ментальными особенностями и ОВЗ (ПНИ / Социальные дома)</t>
        </is>
      </c>
      <c r="G1374" s="31" t="inlineStr">
        <is>
          <t>Студия фонда / выездная площадка</t>
        </is>
      </c>
      <c r="H1374" s="31" t="inlineStr">
        <is>
          <t>Художественно-прикладные и ремесленные навыки</t>
        </is>
      </c>
      <c r="I1374" s="32" t="inlineStr">
        <is>
          <t>По формату занятия</t>
        </is>
      </c>
      <c r="J1374" s="31" t="inlineStr">
        <is>
          <t>Ребята из ПНИ 20. Лепим собак, и поём тоже про собаку. Такое вот тематическое занятие вышло.</t>
        </is>
      </c>
    </row>
    <row r="1375" ht="30" customHeight="1">
      <c r="A1375" s="23" t="n">
        <v>3086</v>
      </c>
      <c r="B1375" s="24" t="inlineStr">
        <is>
          <t>2018-01-16</t>
        </is>
      </c>
      <c r="C1375" s="25">
        <f>HYPERLINK("https://vk.com/wall-1825701_3086", "Открыть пост")</f>
        <v/>
      </c>
      <c r="D1375" s="26" t="inlineStr">
        <is>
          <t>Праздники, дни рождения и клубные встречи</t>
        </is>
      </c>
      <c r="E1375" s="26" t="inlineStr">
        <is>
          <t>Праздники, дни рождения и клубные встречи; Творческие мастер-классы и художественные студии</t>
        </is>
      </c>
      <c r="F1375" s="26" t="inlineStr">
        <is>
          <t>Подростки и взрослые с ментальными особенностями и ОВЗ (ПНИ / Социальные дома)</t>
        </is>
      </c>
      <c r="G1375" s="26" t="inlineStr">
        <is>
          <t>Студия фонда / выездная площадка</t>
        </is>
      </c>
      <c r="H1375" s="26" t="inlineStr">
        <is>
          <t>Артистические, музыкальные и спортивно-игровые навыки; Организационные, ивент- и ярмарочные навыки</t>
        </is>
      </c>
      <c r="I1375" s="27" t="inlineStr">
        <is>
          <t>По формату занятия</t>
        </is>
      </c>
      <c r="J1375" s="26" t="inlineStr">
        <is>
          <t>«Мы знаем: время растяжимо. Оно зависит о того, Какого рода содержимым Вы наполняете его». Много ли можно успеть за одно занятие в студии? Вот что сделали сегодня ребята из ПНИ 16: рыбок для нового валяного панно, тарелку с совой, автопортрет с лыжами, кусочек гобелена. А за чаеп...</t>
        </is>
      </c>
    </row>
    <row r="1376" ht="30" customHeight="1">
      <c r="A1376" s="28" t="n">
        <v>3084</v>
      </c>
      <c r="B1376" s="29" t="inlineStr">
        <is>
          <t>2018-01-15</t>
        </is>
      </c>
      <c r="C1376" s="30">
        <f>HYPERLINK("https://vk.com/wall-1825701_3084", "Открыть пост")</f>
        <v/>
      </c>
      <c r="D1376" s="31" t="inlineStr">
        <is>
          <t>Выставки, экскурсии и культурные выходы</t>
        </is>
      </c>
      <c r="E1376" s="31" t="inlineStr">
        <is>
          <t>Выставки, экскурсии и культурные выходы; Творческие мастер-классы и художественные студии</t>
        </is>
      </c>
      <c r="F1376" s="31" t="inlineStr">
        <is>
          <t>Подростки и взрослые с ментальными особенностями и ОВЗ (ПНИ / Социальные дома); Воспитанники ЦССВ, ДДИ и детских домов-интернатов; Выпускники интернатов и детских домов (молодые взрослые)</t>
        </is>
      </c>
      <c r="G1376" s="31" t="inlineStr">
        <is>
          <t>ЦССВ «Спутник»</t>
        </is>
      </c>
      <c r="H1376" s="31" t="inlineStr">
        <is>
          <t>Организационные, ивент- и ярмарочные навыки; Мобильность, выездное сопровождение и автоволонтёрство</t>
        </is>
      </c>
      <c r="I1376" s="32" t="inlineStr">
        <is>
          <t>Да (в тексте)</t>
        </is>
      </c>
      <c r="J1376" s="31" t="inlineStr">
        <is>
          <t>Импрессионисты и постимпрессионисты стали темой заключительного занятия в Пушкинском музее. Ребята из 31го интерната и из ЦССВ «Спутник», а также наши выпускники имели прекрасную возможность в несколько заходов познакомиться с экспозицией музея. Программу организовала компания «Л...</t>
        </is>
      </c>
    </row>
    <row r="1377" ht="30" customHeight="1">
      <c r="A1377" s="23" t="n">
        <v>3082</v>
      </c>
      <c r="B1377" s="24" t="inlineStr">
        <is>
          <t>2018-01-15</t>
        </is>
      </c>
      <c r="C1377" s="25">
        <f>HYPERLINK("https://vk.com/wall-1825701_3082", "Открыть пост")</f>
        <v/>
      </c>
      <c r="D1377" s="26" t="inlineStr">
        <is>
          <t>Спектакли, концерты и музыкально-театральные занятия</t>
        </is>
      </c>
      <c r="E1377" s="26" t="inlineStr">
        <is>
          <t>Спектакли, концерты и музыкально-театральные занятия</t>
        </is>
      </c>
      <c r="F1377" s="26" t="inlineStr">
        <is>
          <t>Подопечные фонда «Дети Марии» (общая группа детей и подростков)</t>
        </is>
      </c>
      <c r="G1377" s="26" t="inlineStr">
        <is>
          <t>Студия фонда / выездная площадка</t>
        </is>
      </c>
      <c r="H1377" s="26" t="inlineStr">
        <is>
          <t>Артистические, музыкальные и спортивно-игровые навыки</t>
        </is>
      </c>
      <c r="I1377" s="27" t="inlineStr">
        <is>
          <t>По формату занятия</t>
        </is>
      </c>
      <c r="J1377" s="26" t="inlineStr">
        <is>
          <t>В воскресенье в студии на Делегатской АНО «Дети» (семьи с детьми, перенесшими онкозаболевания). Как всегда, занимались тем, к чему душа лежала, благо, выбор занятий широк — можно творить, а можно играть или песни петь и на барабанах стучать. И чаю попить, поговорить «за жизнь» — ...</t>
        </is>
      </c>
    </row>
    <row r="1378" ht="30" customHeight="1">
      <c r="A1378" s="28" t="n">
        <v>3077</v>
      </c>
      <c r="B1378" s="29" t="inlineStr">
        <is>
          <t>2018-01-13</t>
        </is>
      </c>
      <c r="C1378" s="30">
        <f>HYPERLINK("https://vk.com/wall-1825701_3077", "Открыть пост")</f>
        <v/>
      </c>
      <c r="D1378" s="31" t="inlineStr">
        <is>
          <t>Творческие мастер-классы и художественные студии</t>
        </is>
      </c>
      <c r="E1378" s="31" t="inlineStr">
        <is>
          <t>Творческие мастер-классы и художественные студии; Праздники, дни рождения и клубные встречи</t>
        </is>
      </c>
      <c r="F1378" s="31" t="inlineStr">
        <is>
          <t>Подопечные фонда «Дети Марии» (общая группа детей и подростков)</t>
        </is>
      </c>
      <c r="G1378" s="31" t="inlineStr">
        <is>
          <t>Студия фонда / выездная площадка</t>
        </is>
      </c>
      <c r="H1378"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t>
        </is>
      </c>
      <c r="I1378" s="32" t="inlineStr">
        <is>
          <t>По формату занятия</t>
        </is>
      </c>
      <c r="J1378" s="31" t="inlineStr">
        <is>
          <t>В студии на Делегатской дети из окрестных домов. Начинаем новую большую картину с замками и принцессами — тема очень популярная у юных художниц. Из шерсти сегодня валяли не только дети, но и мамы. В керамической мастерской раскрашивали зверей, слепленных ещё до праздников. И нако...</t>
        </is>
      </c>
    </row>
    <row r="1379" ht="30" customHeight="1">
      <c r="A1379" s="23" t="n">
        <v>3072</v>
      </c>
      <c r="B1379" s="24" t="inlineStr">
        <is>
          <t>2018-01-12</t>
        </is>
      </c>
      <c r="C1379" s="25">
        <f>HYPERLINK("https://vk.com/wall-1825701_3072", "Открыть пост")</f>
        <v/>
      </c>
      <c r="D1379" s="26" t="inlineStr">
        <is>
          <t>Праздники, дни рождения и клубные встречи</t>
        </is>
      </c>
      <c r="E1379" s="26" t="inlineStr">
        <is>
          <t>Праздники, дни рождения и клубные встречи</t>
        </is>
      </c>
      <c r="F1379" s="26" t="inlineStr">
        <is>
          <t>Подопечные фонда «Дети Марии» (общая группа детей и подростков)</t>
        </is>
      </c>
      <c r="G1379" s="26" t="inlineStr">
        <is>
          <t>Студия фонда / выездная площадка</t>
        </is>
      </c>
      <c r="H1379" s="26" t="inlineStr">
        <is>
          <t>Организационные, ивент- и ярмарочные навыки</t>
        </is>
      </c>
      <c r="I1379" s="27" t="inlineStr">
        <is>
          <t>По формату занятия</t>
        </is>
      </c>
      <c r="J1379" s="26" t="inlineStr">
        <is>
          <t>Вот и первый подарок в новом году от ребят из группы Mercy Moscow — художественные материалы для наших ежедневных занятий. Организаторы группы — старшеклассники, у них есть большое желание помогать нуждающимся, но не очень много свободного времени (как у всех старшеклассников — п...</t>
        </is>
      </c>
    </row>
    <row r="1380" ht="30" customHeight="1">
      <c r="A1380" s="28" t="n">
        <v>3070</v>
      </c>
      <c r="B1380" s="29" t="inlineStr">
        <is>
          <t>2018-01-12</t>
        </is>
      </c>
      <c r="C1380" s="30">
        <f>HYPERLINK("https://vk.com/wall-1825701_3070", "Открыть пост")</f>
        <v/>
      </c>
      <c r="D1380" s="31" t="inlineStr">
        <is>
          <t>Праздники, дни рождения и клубные встречи</t>
        </is>
      </c>
      <c r="E1380" s="31" t="inlineStr">
        <is>
          <t>Праздники, дни рождения и клубные встречи; Творческие мастер-классы и художественные студии</t>
        </is>
      </c>
      <c r="F1380" s="31" t="inlineStr">
        <is>
          <t>Подростки и взрослые с ментальными особенностями и ОВЗ (ПНИ / Социальные дома)</t>
        </is>
      </c>
      <c r="G1380" s="31" t="inlineStr">
        <is>
          <t>Студия фонда / выездная площадка</t>
        </is>
      </c>
      <c r="H1380" s="31" t="inlineStr">
        <is>
          <t>Организационные, ивент- и ярмарочные навыки</t>
        </is>
      </c>
      <c r="I1380" s="32" t="inlineStr">
        <is>
          <t>По формату занятия</t>
        </is>
      </c>
      <c r="J1380" s="31" t="inlineStr">
        <is>
          <t>Первый раз после новогодних праздников приехали ребята из ПНИ 16. Соскучились. Радуются любимым творческим занятиям. Пока в мастерских рисуют, летят, валяют, поют — в кухне творят салат оливье с курицей.</t>
        </is>
      </c>
    </row>
    <row r="1381" ht="30" customHeight="1">
      <c r="A1381" s="23" t="n">
        <v>3064</v>
      </c>
      <c r="B1381" s="24" t="inlineStr">
        <is>
          <t>2018-01-11</t>
        </is>
      </c>
      <c r="C1381" s="25">
        <f>HYPERLINK("https://vk.com/wall-1825701_3064", "Открыть пост")</f>
        <v/>
      </c>
      <c r="D1381" s="26" t="inlineStr">
        <is>
          <t>Ярмарки, фестивали и благотворительные базары</t>
        </is>
      </c>
      <c r="E1381" s="26" t="inlineStr">
        <is>
          <t>Ярмарки, фестивали и благотворительные базары</t>
        </is>
      </c>
      <c r="F1381" s="26" t="inlineStr">
        <is>
          <t>Подопечные фонда «Дети Марии» (общая группа детей и подростков)</t>
        </is>
      </c>
      <c r="G1381" s="26" t="inlineStr">
        <is>
          <t>Студия фонда / выездная площадка</t>
        </is>
      </c>
      <c r="H1381" s="26" t="inlineStr">
        <is>
          <t>Организационные, ивент- и ярмарочные навыки</t>
        </is>
      </c>
      <c r="I1381" s="27" t="inlineStr">
        <is>
          <t>По формату занятия</t>
        </is>
      </c>
      <c r="J1381" s="26" t="inlineStr">
        <is>
          <t>Поистине неисчислимо количество способов, которыми Ханнес и его семья помогают «Детям Марии»! Если кто из вас уже знаком с Ханнесом, поделитесь этой бесценной и уникальной возможностью со своими друзьями, сделав репост. Ну а кто ещё не встретил его, мы от души советуем вам это ис...</t>
        </is>
      </c>
    </row>
    <row r="1382" ht="30" customHeight="1">
      <c r="A1382" s="28" t="n">
        <v>3059</v>
      </c>
      <c r="B1382" s="29" t="inlineStr">
        <is>
          <t>2018-01-10</t>
        </is>
      </c>
      <c r="C1382" s="30">
        <f>HYPERLINK("https://vk.com/wall-1825701_3059", "Открыть пост")</f>
        <v/>
      </c>
      <c r="D1382" s="31" t="inlineStr">
        <is>
          <t>Творческие мастер-классы и художественные студии</t>
        </is>
      </c>
      <c r="E1382" s="31" t="inlineStr">
        <is>
          <t>Творческие мастер-классы и художественные студии; Выездные лагеря, дача и сезонные программы</t>
        </is>
      </c>
      <c r="F1382" s="31" t="inlineStr">
        <is>
          <t>Выпускники интернатов и детских домов (молодые взрослые)</t>
        </is>
      </c>
      <c r="G1382" s="31" t="inlineStr">
        <is>
          <t>Студия фонда / выездная площадка</t>
        </is>
      </c>
      <c r="H1382" s="31" t="inlineStr">
        <is>
          <t>Художественно-прикладные и ремесленные навыки</t>
        </is>
      </c>
      <c r="I1382" s="32" t="inlineStr">
        <is>
          <t>По формату занятия</t>
        </is>
      </c>
      <c r="J1382" s="31" t="inlineStr">
        <is>
          <t>В загородных мастерских дети из Филимонок и недавний выпускник Дима сегодня снова встретились и вместе занимались мозаикой, и лепили из глины. Новых всем творческих замыслов в новом году!</t>
        </is>
      </c>
    </row>
    <row r="1383" ht="30" customHeight="1">
      <c r="A1383" s="23" t="n">
        <v>3057</v>
      </c>
      <c r="B1383" s="24" t="inlineStr">
        <is>
          <t>2018-01-09</t>
        </is>
      </c>
      <c r="C1383" s="25">
        <f>HYPERLINK("https://vk.com/wall-1825701_3057", "Открыть пост")</f>
        <v/>
      </c>
      <c r="D1383" s="26" t="inlineStr">
        <is>
          <t>Выставки, экскурсии и культурные выходы</t>
        </is>
      </c>
      <c r="E1383" s="26" t="inlineStr">
        <is>
          <t>Выставки, экскурсии и культурные выходы</t>
        </is>
      </c>
      <c r="F1383" s="26" t="inlineStr">
        <is>
          <t>Подростки и взрослые с ментальными особенностями и ОВЗ (ПНИ / Социальные дома); Воспитанники ЦССВ, ДДИ и детских домов-интернатов; Выпускники интернатов и детских домов (молодые взрослые)</t>
        </is>
      </c>
      <c r="G1383" s="26" t="inlineStr">
        <is>
          <t>Студия фонда / выездная площадка</t>
        </is>
      </c>
      <c r="H1383" s="26" t="inlineStr">
        <is>
          <t>Педагогические и наставнические навыки (кулинария, быт, учёба)</t>
        </is>
      </c>
      <c r="I1383" s="27" t="inlineStr">
        <is>
          <t>По формату занятия</t>
        </is>
      </c>
      <c r="J1383" s="26" t="inlineStr">
        <is>
          <t>Продолжение каникул выпускника Филимонковского детского дома Димы Степанова в гостях у Марии проходит насыщенно и с пользой. Дима побывал в музее Тимирязева и в Третьяковской галерее. Учился готовить яичницу и пельмени. Быть взрослым — это и возможности, и ответсвенность!</t>
        </is>
      </c>
    </row>
    <row r="1384" ht="30" customHeight="1">
      <c r="A1384" s="28" t="n">
        <v>3054</v>
      </c>
      <c r="B1384" s="29" t="inlineStr">
        <is>
          <t>2018-01-04</t>
        </is>
      </c>
      <c r="C1384" s="30">
        <f>HYPERLINK("https://vk.com/wall-1825701_3054", "Открыть пост")</f>
        <v/>
      </c>
      <c r="D1384" s="31" t="inlineStr">
        <is>
          <t>Выставки, экскурсии и культурные выходы</t>
        </is>
      </c>
      <c r="E1384" s="31" t="inlineStr">
        <is>
          <t>Выставки, экскурсии и культурные выходы</t>
        </is>
      </c>
      <c r="F1384" s="31" t="inlineStr">
        <is>
          <t>Подопечные фонда «Дети Марии» (общая группа детей и подростков)</t>
        </is>
      </c>
      <c r="G1384" s="31" t="inlineStr">
        <is>
          <t>Студия фонда / выездная площадка</t>
        </is>
      </c>
      <c r="H1384" s="31" t="inlineStr">
        <is>
          <t>Коммуникативные навыки, эмпатия и тьюторское сопровождение</t>
        </is>
      </c>
      <c r="I1384" s="32" t="inlineStr">
        <is>
          <t>По формату занятия</t>
        </is>
      </c>
      <c r="J1384" s="31" t="inlineStr">
        <is>
          <t>Дети из московской школы «Интеллектуал» сняли этот репортаж о нашей ноябрьской выставке. И он вошёл в международный телемост. Спасибо руководителю студии «Интелвидео» Елене Гудкевич и её ученикам!</t>
        </is>
      </c>
    </row>
    <row r="1385" ht="30" customHeight="1">
      <c r="A1385" s="23" t="n">
        <v>3053</v>
      </c>
      <c r="B1385" s="24" t="inlineStr">
        <is>
          <t>2018-01-04</t>
        </is>
      </c>
      <c r="C1385" s="25">
        <f>HYPERLINK("https://vk.com/wall-1825701_3053", "Открыть пост")</f>
        <v/>
      </c>
      <c r="D1385" s="26" t="inlineStr">
        <is>
          <t>Выездные лагеря, дача и сезонные программы</t>
        </is>
      </c>
      <c r="E1385" s="26" t="inlineStr">
        <is>
          <t>Выездные лагеря, дача и сезонные программы</t>
        </is>
      </c>
      <c r="F1385" s="26" t="inlineStr">
        <is>
          <t>Подростки и взрослые с ментальными особенностями и ОВЗ (ПНИ / Социальные дома); Воспитанники ЦССВ, ДДИ и детских домов-интернатов; Выпускники интернатов и детских домов (молодые взрослые)</t>
        </is>
      </c>
      <c r="G1385" s="26" t="inlineStr">
        <is>
          <t>Студия фонда / выездная площадка</t>
        </is>
      </c>
      <c r="H1385" s="26" t="inlineStr">
        <is>
          <t>Организационные, ивент- и ярмарочные навыки</t>
        </is>
      </c>
      <c r="I1385" s="27" t="inlineStr">
        <is>
          <t>По формату занятия</t>
        </is>
      </c>
      <c r="J1385" s="26" t="inlineStr">
        <is>
          <t>Вот и первое занятие с детьми в новом году — в загородные мастерские в среду приехали ребята из Филимонок. А там уже ждёт встречи с ними недавний выпускник детского дома — Дима Степанов, теперь он живёт в ПНИ, и Мария пригласила его на праздники погостить. Вместе и занимались. Же...</t>
        </is>
      </c>
    </row>
    <row r="1386" ht="30" customHeight="1">
      <c r="A1386" s="28" t="n">
        <v>3042</v>
      </c>
      <c r="B1386" s="29" t="inlineStr">
        <is>
          <t>2017-12-29</t>
        </is>
      </c>
      <c r="C1386" s="30">
        <f>HYPERLINK("https://vk.com/wall-1825701_3042", "Открыть пост")</f>
        <v/>
      </c>
      <c r="D1386" s="31" t="inlineStr">
        <is>
          <t>Спектакли, концерты и музыкально-театральные занятия</t>
        </is>
      </c>
      <c r="E1386" s="31" t="inlineStr">
        <is>
          <t>Спектакли, концерты и музыкально-театральные занятия; Праздники, дни рождения и клубные встречи</t>
        </is>
      </c>
      <c r="F1386" s="31" t="inlineStr">
        <is>
          <t>Выпускники интернатов и детских домов (молодые взрослые)</t>
        </is>
      </c>
      <c r="G1386" s="31" t="inlineStr">
        <is>
          <t>Студия фонда / выездная площадка</t>
        </is>
      </c>
      <c r="H1386" s="31" t="inlineStr">
        <is>
          <t>Артистические, музыкальные и спортивно-игровые навыки; Организационные, ивент- и ярмарочные навыки</t>
        </is>
      </c>
      <c r="I1386" s="32" t="inlineStr">
        <is>
          <t>Да (в тексте)</t>
        </is>
      </c>
      <c r="J1386" s="31" t="inlineStr">
        <is>
          <t>Студии у нас две, так что и новогодних праздника для волонтёров, сотрудников и выпускников тоже два. Вчера поздравляли друг друга в студии на Делегатской. Песни пели, лотерею новогодних предсказаний по студийным картинам разыграли, показали и посмотрели импровизированный спектакл...</t>
        </is>
      </c>
    </row>
    <row r="1387" ht="30" customHeight="1">
      <c r="A1387" s="23" t="n">
        <v>3041</v>
      </c>
      <c r="B1387" s="24" t="inlineStr">
        <is>
          <t>2017-12-29</t>
        </is>
      </c>
      <c r="C1387" s="25">
        <f>HYPERLINK("https://vk.com/wall-1825701_3041", "Открыть пост")</f>
        <v/>
      </c>
      <c r="D1387" s="26" t="inlineStr">
        <is>
          <t>Выездные лагеря, дача и сезонные программы</t>
        </is>
      </c>
      <c r="E1387" s="26" t="inlineStr">
        <is>
          <t>Выездные лагеря, дача и сезонные программы</t>
        </is>
      </c>
      <c r="F1387" s="26" t="inlineStr">
        <is>
          <t>Подопечные фонда «Дети Марии» (общая группа детей и подростков)</t>
        </is>
      </c>
      <c r="G1387" s="26" t="inlineStr">
        <is>
          <t>Студия фонда / выездная площадка</t>
        </is>
      </c>
      <c r="H1387" s="26" t="inlineStr">
        <is>
          <t>Мобильность, выездное сопровождение и автоволонтёрство</t>
        </is>
      </c>
      <c r="I1387" s="27" t="inlineStr">
        <is>
          <t>Да (в тексте)</t>
        </is>
      </c>
      <c r="J1387" s="26" t="inlineStr">
        <is>
          <t>А ведь мысли и советы, которые здесь предлагает Андрей Andrey Morozov , наш волонтёр и папа-лев в летнем лагере «Детей Марии», практически универсальны! Послушаем-ка молодого и уже мудрого чувака, ведь дело говорит) и делает!</t>
        </is>
      </c>
    </row>
    <row r="1388" ht="30" customHeight="1">
      <c r="A1388" s="28" t="n">
        <v>3038</v>
      </c>
      <c r="B1388" s="29" t="inlineStr">
        <is>
          <t>2017-12-27</t>
        </is>
      </c>
      <c r="C1388" s="30">
        <f>HYPERLINK("https://vk.com/wall-1825701_3038", "Открыть пост")</f>
        <v/>
      </c>
      <c r="D1388" s="31" t="inlineStr">
        <is>
          <t>Спектакли, концерты и музыкально-театральные занятия</t>
        </is>
      </c>
      <c r="E1388" s="31" t="inlineStr">
        <is>
          <t>Спектакли, концерты и музыкально-театральные занятия</t>
        </is>
      </c>
      <c r="F1388" s="31" t="inlineStr">
        <is>
          <t>Подростки и взрослые с ментальными особенностями и ОВЗ (ПНИ / Социальные дома); Воспитанники ЦССВ, ДДИ и детских домов-интернатов</t>
        </is>
      </c>
      <c r="G1388" s="31" t="inlineStr">
        <is>
          <t>Студия фонда / выездная площадка</t>
        </is>
      </c>
      <c r="H1388" s="31" t="inlineStr">
        <is>
          <t>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t>
        </is>
      </c>
      <c r="I1388" s="32" t="inlineStr">
        <is>
          <t>По формату занятия</t>
        </is>
      </c>
      <c r="J1388" s="31" t="inlineStr">
        <is>
          <t>Ах, мы сегодня перенеслись в сказку на крыльях Lufthansa! Авиакомпания пригласила в Большой театр на оперу «История Кая и Герды» ребят из Филимонковского детского дома-интерната и АНО «Дети». Для многих это было первое знакомство с оперой и с Большим театром (Новой его сценой). К...</t>
        </is>
      </c>
    </row>
    <row r="1389" ht="30" customHeight="1">
      <c r="A1389" s="23" t="n">
        <v>3015</v>
      </c>
      <c r="B1389" s="24" t="inlineStr">
        <is>
          <t>2017-12-21</t>
        </is>
      </c>
      <c r="C1389" s="25">
        <f>HYPERLINK("https://vk.com/wall-1825701_3015", "Открыть пост")</f>
        <v/>
      </c>
      <c r="D1389" s="26" t="inlineStr">
        <is>
          <t>Ярмарки, фестивали и благотворительные базары</t>
        </is>
      </c>
      <c r="E1389" s="26" t="inlineStr">
        <is>
          <t>Ярмарки, фестивали и благотворительные базары</t>
        </is>
      </c>
      <c r="F1389" s="26" t="inlineStr">
        <is>
          <t>Подопечные фонда «Дети Марии» (общая группа детей и подростков)</t>
        </is>
      </c>
      <c r="G1389" s="26" t="inlineStr">
        <is>
          <t>Студия фонда / выездная площадка</t>
        </is>
      </c>
      <c r="H1389" s="26" t="inlineStr">
        <is>
          <t>Организационные, ивент- и ярмарочные навыки</t>
        </is>
      </c>
      <c r="I1389" s="27" t="inlineStr">
        <is>
          <t>По формату занятия</t>
        </is>
      </c>
      <c r="J1389" s="26" t="inlineStr">
        <is>
          <t>И снова сегодня у нас две благотворительных ярмарки. В офисе Билайна, на ярмарке, организованной благотворительным собранием «Все вместе», нам пожертвовали 35200 рублей, а в компании Парексель — 53750 рублей. Не устаём благодарить добрых людей!</t>
        </is>
      </c>
    </row>
    <row r="1390" ht="30" customHeight="1">
      <c r="A1390" s="28" t="n">
        <v>3013</v>
      </c>
      <c r="B1390" s="29" t="inlineStr">
        <is>
          <t>2017-12-20</t>
        </is>
      </c>
      <c r="C1390" s="30">
        <f>HYPERLINK("https://vk.com/wall-1825701_3013", "Открыть пост")</f>
        <v/>
      </c>
      <c r="D1390" s="31" t="inlineStr">
        <is>
          <t>Ярмарки, фестивали и благотворительные базары</t>
        </is>
      </c>
      <c r="E1390" s="31" t="inlineStr">
        <is>
          <t>Ярмарки, фестивали и благотворительные базары</t>
        </is>
      </c>
      <c r="F1390" s="31" t="inlineStr">
        <is>
          <t>Подопечные фонда «Дети Марии» (общая группа детей и подростков)</t>
        </is>
      </c>
      <c r="G1390" s="31" t="inlineStr">
        <is>
          <t>Студия фонда / выездная площадка</t>
        </is>
      </c>
      <c r="H1390" s="31" t="inlineStr">
        <is>
          <t>Организационные, ивент- и ярмарочные навыки</t>
        </is>
      </c>
      <c r="I1390" s="32" t="inlineStr">
        <is>
          <t>По формату занятия</t>
        </is>
      </c>
      <c r="J1390" s="31" t="inlineStr">
        <is>
          <t>На ярмарке в Ростелеком наш сбор — 16800 рублей. Спасибо всем неравнодушным сотрудникам!</t>
        </is>
      </c>
    </row>
    <row r="1391" ht="30" customHeight="1">
      <c r="A1391" s="23" t="n">
        <v>3012</v>
      </c>
      <c r="B1391" s="24" t="inlineStr">
        <is>
          <t>2017-12-20</t>
        </is>
      </c>
      <c r="C1391" s="25">
        <f>HYPERLINK("https://vk.com/wall-1825701_3012", "Открыть пост")</f>
        <v/>
      </c>
      <c r="D1391" s="26" t="inlineStr">
        <is>
          <t>Ярмарки, фестивали и благотворительные базары</t>
        </is>
      </c>
      <c r="E1391" s="26" t="inlineStr">
        <is>
          <t>Ярмарки, фестивали и благотворительные базары</t>
        </is>
      </c>
      <c r="F1391" s="26" t="inlineStr">
        <is>
          <t>Подопечные фонда «Дети Марии» (общая группа детей и подростков)</t>
        </is>
      </c>
      <c r="G1391" s="26" t="inlineStr">
        <is>
          <t>Студия фонда / выездная площадка</t>
        </is>
      </c>
      <c r="H1391" s="26" t="inlineStr">
        <is>
          <t>Организационные, ивент- и ярмарочные навыки</t>
        </is>
      </c>
      <c r="I1391" s="27" t="inlineStr">
        <is>
          <t>По формату занятия</t>
        </is>
      </c>
      <c r="J1391" s="26" t="inlineStr">
        <is>
          <t>Купите лук, зелёный лук, Петрушку и морковку! Купите нашу девочку, Шалунью и плутовку! Не нужен нам зелёный лук, Петрушка и морковка! Нужна нам только девочка, Шалунья и плутовка! Мы на ярмарке в любимом Росинтере у добрых наших друзей. Собрали 33 300 рублей для девочек и мальчик...</t>
        </is>
      </c>
    </row>
    <row r="1392" ht="30" customHeight="1">
      <c r="A1392" s="28" t="n">
        <v>3010</v>
      </c>
      <c r="B1392" s="29" t="inlineStr">
        <is>
          <t>2017-12-19</t>
        </is>
      </c>
      <c r="C1392" s="30">
        <f>HYPERLINK("https://vk.com/wall-1825701_3010", "Открыть пост")</f>
        <v/>
      </c>
      <c r="D1392" s="31" t="inlineStr">
        <is>
          <t>Ярмарки, фестивали и благотворительные базары</t>
        </is>
      </c>
      <c r="E1392" s="31" t="inlineStr">
        <is>
          <t>Ярмарки, фестивали и благотворительные базары</t>
        </is>
      </c>
      <c r="F1392" s="31" t="inlineStr">
        <is>
          <t>Подопечные фонда «Дети Марии» (общая группа детей и подростков)</t>
        </is>
      </c>
      <c r="G1392" s="31" t="inlineStr">
        <is>
          <t>Студия фонда / выездная площадка</t>
        </is>
      </c>
      <c r="H1392" s="31" t="inlineStr">
        <is>
          <t>Организационные, ивент- и ярмарочные навыки</t>
        </is>
      </c>
      <c r="I1392" s="32" t="inlineStr">
        <is>
          <t>По формату занятия</t>
        </is>
      </c>
      <c r="J1392" s="31" t="inlineStr">
        <is>
          <t>Сегодня снова было целых две благотворительных ярмарки. В БЦ «Дукат Плейс ll» мы собрали 45500 рублей!, а в офисе «Сбербанка» на Кутузовском, 32 — 92000 рублей!!! Спасибо, уважаемые сотрудники и организаторы, за отзывчивость и щедрость!</t>
        </is>
      </c>
    </row>
    <row r="1393" ht="30" customHeight="1">
      <c r="A1393" s="23" t="n">
        <v>3009</v>
      </c>
      <c r="B1393" s="24" t="inlineStr">
        <is>
          <t>2017-12-19</t>
        </is>
      </c>
      <c r="C1393" s="25">
        <f>HYPERLINK("https://vk.com/wall-1825701_3009", "Открыть пост")</f>
        <v/>
      </c>
      <c r="D1393" s="26" t="inlineStr">
        <is>
          <t>Ярмарки, фестивали и благотворительные базары</t>
        </is>
      </c>
      <c r="E1393" s="26" t="inlineStr">
        <is>
          <t>Ярмарки, фестивали и благотворительные базары</t>
        </is>
      </c>
      <c r="F1393" s="26" t="inlineStr">
        <is>
          <t>Подопечные фонда «Дети Марии» (общая группа детей и подростков)</t>
        </is>
      </c>
      <c r="G1393" s="26" t="inlineStr">
        <is>
          <t>Студия фонда / выездная площадка</t>
        </is>
      </c>
      <c r="H1393" s="26" t="inlineStr">
        <is>
          <t>Организационные, ивент- и ярмарочные навыки; Медиа, фото/видеосъёмка и культурная медиация</t>
        </is>
      </c>
      <c r="I1393" s="27" t="inlineStr">
        <is>
          <t>По формату занятия</t>
        </is>
      </c>
      <c r="J1393" s="26" t="inlineStr">
        <is>
          <t>Вчера мы участвовали в благотворительной ярмарке в ЕВРАЗ http://www.evraz.com/ru/about/, международной металлургической и горнодобывающей компании. Там очень рано начинают работать, потому что на трёх континентах они добывают для людей руду и уголь, производят рельсы и много чего...</t>
        </is>
      </c>
    </row>
    <row r="1394" ht="30" customHeight="1">
      <c r="A1394" s="28" t="n">
        <v>3008</v>
      </c>
      <c r="B1394" s="29" t="inlineStr">
        <is>
          <t>2017-12-19</t>
        </is>
      </c>
      <c r="C1394" s="30">
        <f>HYPERLINK("https://vk.com/wall-1825701_3008", "Открыть пост")</f>
        <v/>
      </c>
      <c r="D1394" s="31" t="inlineStr">
        <is>
          <t>Спектакли, концерты и музыкально-театральные занятия</t>
        </is>
      </c>
      <c r="E1394" s="31" t="inlineStr">
        <is>
          <t>Спектакли, концерты и музыкально-театральные занятия</t>
        </is>
      </c>
      <c r="F1394" s="31" t="inlineStr">
        <is>
          <t>Подопечные фонда «Дети Марии» (общая группа детей и подростков)</t>
        </is>
      </c>
      <c r="G1394" s="31" t="inlineStr">
        <is>
          <t>Студия фонда / выездная площадка</t>
        </is>
      </c>
      <c r="H1394" s="31" t="inlineStr">
        <is>
          <t>Художественно-прикладные и ремесленные навыки; Артистические, музыкальные и спортивно-игровые навыки; Педагогические и наставнические навыки (кулинария, быт, учёба)</t>
        </is>
      </c>
      <c r="I1394" s="32" t="inlineStr">
        <is>
          <t>По формату занятия</t>
        </is>
      </c>
      <c r="J1394" s="31" t="inlineStr">
        <is>
          <t>По приглашению Олега Германовича Смирнова, руководителя гос. квартета им. Глинки, АНО «Дети» (семьи с детьми, проводящими реабилитацию после онкогематологических заболеваний) в воскресенье побывали на сказочное концете в Доме учителя. «От всего сердца благодарим за прекрасный кон...</t>
        </is>
      </c>
    </row>
    <row r="1395" ht="30" customHeight="1">
      <c r="A1395" s="23" t="n">
        <v>3007</v>
      </c>
      <c r="B1395" s="24" t="inlineStr">
        <is>
          <t>2017-12-19</t>
        </is>
      </c>
      <c r="C1395" s="25">
        <f>HYPERLINK("https://vk.com/wall-1825701_3007", "Открыть пост")</f>
        <v/>
      </c>
      <c r="D1395" s="26" t="inlineStr">
        <is>
          <t>Ярмарки, фестивали и благотворительные базары</t>
        </is>
      </c>
      <c r="E1395" s="26" t="inlineStr">
        <is>
          <t>Ярмарки, фестивали и благотворительные базары</t>
        </is>
      </c>
      <c r="F1395" s="26" t="inlineStr">
        <is>
          <t>Подростки и взрослые с ментальными особенностями и ОВЗ (ПНИ / Социальные дома)</t>
        </is>
      </c>
      <c r="G1395" s="26" t="inlineStr">
        <is>
          <t>Студия фонда / выездная площадка</t>
        </is>
      </c>
      <c r="H1395" s="26" t="inlineStr">
        <is>
          <t>Артистические, музыкальные и спортивно-игровые навыки; Организационные, ивент- и ярмарочные навыки</t>
        </is>
      </c>
      <c r="I1395" s="27" t="inlineStr">
        <is>
          <t>По формату занятия</t>
        </is>
      </c>
      <c r="J1395" s="26" t="inlineStr">
        <is>
          <t>Ребята из ПНИ 16 с педагогом Ирой Гуриевой готовят ёлочные игрушки из фетра к новогодним ярмаркам. Если в среду 19 декабря с 12 до 15 вы заглянете в БЦ «Дукат Плейс» на ул. Гашека, 6, то сможете купить их и другие наши сувениры.</t>
        </is>
      </c>
    </row>
    <row r="1396" ht="30" customHeight="1">
      <c r="A1396" s="28" t="n">
        <v>3002</v>
      </c>
      <c r="B1396" s="29" t="inlineStr">
        <is>
          <t>2017-12-17</t>
        </is>
      </c>
      <c r="C1396" s="30">
        <f>HYPERLINK("https://vk.com/wall-1825701_3002", "Открыть пост")</f>
        <v/>
      </c>
      <c r="D1396" s="31" t="inlineStr">
        <is>
          <t>Творческие мастер-классы и художественные студии</t>
        </is>
      </c>
      <c r="E1396" s="31" t="inlineStr">
        <is>
          <t>Творческие мастер-классы и художественные студии; Выездные лагеря, дача и сезонные программы</t>
        </is>
      </c>
      <c r="F1396" s="31" t="inlineStr">
        <is>
          <t>Воспитанники ЦССВ, ДДИ и детских домов-интернатов</t>
        </is>
      </c>
      <c r="G1396" s="31" t="inlineStr">
        <is>
          <t>ЦССВ «Спутник»</t>
        </is>
      </c>
      <c r="H1396" s="31" t="inlineStr">
        <is>
          <t>Художественно-прикладные и ремесленные навыки</t>
        </is>
      </c>
      <c r="I1396" s="32" t="inlineStr">
        <is>
          <t>По формату занятия</t>
        </is>
      </c>
      <c r="J1396" s="31" t="inlineStr">
        <is>
          <t>В загородные мастерские вчера приезжали дети из ЦССВ «Спутник». В самый разгар работы отключили электричество, так что часть занятия прошла в романтическом свете свечей. Зато, когда свет дали, Машель Татиева показала ребятам небольшое световое шоу, дети и сами участвовали. Так чт...</t>
        </is>
      </c>
    </row>
    <row r="1397" ht="30" customHeight="1">
      <c r="A1397" s="23" t="n">
        <v>2998</v>
      </c>
      <c r="B1397" s="24" t="inlineStr">
        <is>
          <t>2017-12-15</t>
        </is>
      </c>
      <c r="C1397" s="25">
        <f>HYPERLINK("https://vk.com/wall-1825701_2998", "Открыть пост")</f>
        <v/>
      </c>
      <c r="D1397" s="26" t="inlineStr">
        <is>
          <t>Ярмарки, фестивали и благотворительные базары</t>
        </is>
      </c>
      <c r="E1397" s="26" t="inlineStr">
        <is>
          <t>Ярмарки, фестивали и благотворительные базары</t>
        </is>
      </c>
      <c r="F1397" s="26" t="inlineStr">
        <is>
          <t>Подопечные фонда «Дети Марии» (общая группа детей и подростков)</t>
        </is>
      </c>
      <c r="G1397" s="26" t="inlineStr">
        <is>
          <t>Студия фонда / выездная площадка</t>
        </is>
      </c>
      <c r="H1397" s="26" t="inlineStr">
        <is>
          <t>Организационные, ивент- и ярмарочные навыки</t>
        </is>
      </c>
      <c r="I1397" s="27" t="inlineStr">
        <is>
          <t>По формату занятия</t>
        </is>
      </c>
      <c r="J1397" s="26" t="inlineStr">
        <is>
          <t>Сегодня мы участвовали сразу в двух ярмарках — в офисах компаний «Мегафон» и «Русал». Суммарный сбор за день — 52400 рублей. Огромное спасибо руководству компаний и отзывчивым, активным сотрудникам!</t>
        </is>
      </c>
    </row>
    <row r="1398" ht="30" customHeight="1">
      <c r="A1398" s="28" t="n">
        <v>2997</v>
      </c>
      <c r="B1398" s="29" t="inlineStr">
        <is>
          <t>2017-12-15</t>
        </is>
      </c>
      <c r="C1398" s="30">
        <f>HYPERLINK("https://vk.com/wall-1825701_2997", "Открыть пост")</f>
        <v/>
      </c>
      <c r="D1398" s="31" t="inlineStr">
        <is>
          <t>Праздники, дни рождения и клубные встречи</t>
        </is>
      </c>
      <c r="E1398" s="31" t="inlineStr">
        <is>
          <t>Праздники, дни рождения и клубные встречи</t>
        </is>
      </c>
      <c r="F1398" s="31" t="inlineStr">
        <is>
          <t>Подростки и взрослые с ментальными особенностями и ОВЗ (ПНИ / Социальные дома)</t>
        </is>
      </c>
      <c r="G1398" s="31" t="inlineStr">
        <is>
          <t>Студия фонда / выездная площадка</t>
        </is>
      </c>
      <c r="H1398" s="31" t="inlineStr">
        <is>
          <t>Артистические, музыкальные и спортивно-игровые навыки; Организационные, ивент- и ярмарочные навыки</t>
        </is>
      </c>
      <c r="I1398" s="32" t="inlineStr">
        <is>
          <t>Да (в тексте)</t>
        </is>
      </c>
      <c r="J1398" s="31" t="inlineStr">
        <is>
          <t>К ребятам из ПНИ 16 сегодня пришли Дед Мороз и Снегурочка, как раз к чаепитию в конце занятия успели. Взрослые радовались, как дети — стихи читали, песни пели, Даша ещё и с днём рождения получила поздравления от Деда Мороза. Праздник удался! Большое спасибо всем помощникам-волонт...</t>
        </is>
      </c>
    </row>
    <row r="1399" ht="30" customHeight="1">
      <c r="A1399" s="23" t="n">
        <v>2992</v>
      </c>
      <c r="B1399" s="24" t="inlineStr">
        <is>
          <t>2017-12-14</t>
        </is>
      </c>
      <c r="C1399" s="25">
        <f>HYPERLINK("https://vk.com/wall-1825701_2992", "Открыть пост")</f>
        <v/>
      </c>
      <c r="D1399" s="26" t="inlineStr">
        <is>
          <t>Выставки, экскурсии и культурные выходы</t>
        </is>
      </c>
      <c r="E1399" s="26" t="inlineStr">
        <is>
          <t>Выставки, экскурсии и культурные выходы</t>
        </is>
      </c>
      <c r="F1399" s="26" t="inlineStr">
        <is>
          <t>Подопечные фонда «Дети Марии» (общая группа детей и подростков)</t>
        </is>
      </c>
      <c r="G1399" s="26" t="inlineStr">
        <is>
          <t>Студия фонда / выездная площадка</t>
        </is>
      </c>
      <c r="H1399" s="26" t="inlineStr">
        <is>
          <t>Коммуникативные навыки, эмпатия и тьюторское сопровождение; Педагогические и наставнические навыки (кулинария, быт, учёба); Мобильность, выездное сопровождение и автоволонтёрство</t>
        </is>
      </c>
      <c r="I1399" s="27" t="inlineStr">
        <is>
          <t>Да (в тексте)</t>
        </is>
      </c>
      <c r="J1399" s="26" t="inlineStr">
        <is>
          <t>Ребята, которые живут в детских и взрослых интернатах, как правило, всё делают коллективно — вместе едят, вместе перемещаются по городу, вместе участвуют в разных мероприятиях, у них почти нет индивидуального пространства, индивидуального внимания. Мы на свои занятия тоже привычн...</t>
        </is>
      </c>
    </row>
    <row r="1400" ht="30" customHeight="1">
      <c r="A1400" s="28" t="n">
        <v>2990</v>
      </c>
      <c r="B1400" s="29" t="inlineStr">
        <is>
          <t>2017-12-13</t>
        </is>
      </c>
      <c r="C1400" s="30">
        <f>HYPERLINK("https://vk.com/wall-1825701_2990", "Открыть пост")</f>
        <v/>
      </c>
      <c r="D1400" s="31" t="inlineStr">
        <is>
          <t>Ярмарки, фестивали и благотворительные базары</t>
        </is>
      </c>
      <c r="E1400" s="31" t="inlineStr">
        <is>
          <t>Ярмарки, фестивали и благотворительные базары</t>
        </is>
      </c>
      <c r="F1400" s="31" t="inlineStr">
        <is>
          <t>Подопечные фонда «Дети Марии» (общая группа детей и подростков)</t>
        </is>
      </c>
      <c r="G1400" s="31" t="inlineStr">
        <is>
          <t>Студия фонда / выездная площадка</t>
        </is>
      </c>
      <c r="H1400" s="31" t="inlineStr">
        <is>
          <t>Организационные, ивент- и ярмарочные навыки</t>
        </is>
      </c>
      <c r="I1400" s="32" t="inlineStr">
        <is>
          <t>По формату занятия</t>
        </is>
      </c>
      <c r="J1400" s="31" t="inlineStr">
        <is>
          <t>Вчера и сегодня мы участвовали в благотворительных ярмарках по приглашению компании PepsiCo. Наш сбор 49350 рублей. От души благодарим всех сотрудников компании за щедрость и неравнодушие!</t>
        </is>
      </c>
    </row>
    <row r="1401" ht="30" customHeight="1">
      <c r="A1401" s="23" t="n">
        <v>2989</v>
      </c>
      <c r="B1401" s="24" t="inlineStr">
        <is>
          <t>2017-12-12</t>
        </is>
      </c>
      <c r="C1401" s="25">
        <f>HYPERLINK("https://vk.com/wall-1825701_2989", "Открыть пост")</f>
        <v/>
      </c>
      <c r="D1401" s="26" t="inlineStr">
        <is>
          <t>Праздники, дни рождения и клубные встречи</t>
        </is>
      </c>
      <c r="E1401" s="26" t="inlineStr">
        <is>
          <t>Праздники, дни рождения и клубные встречи</t>
        </is>
      </c>
      <c r="F1401" s="26" t="inlineStr">
        <is>
          <t>Подростки и взрослые с ментальными особенностями и ОВЗ (ПНИ / Социальные дома)</t>
        </is>
      </c>
      <c r="G1401" s="26" t="inlineStr">
        <is>
          <t>Студия фонда / выездная площадка</t>
        </is>
      </c>
      <c r="H1401" s="26" t="inlineStr">
        <is>
          <t>Организационные, ивент- и ярмарочные навыки</t>
        </is>
      </c>
      <c r="I1401" s="27" t="inlineStr">
        <is>
          <t>По формату занятия</t>
        </is>
      </c>
      <c r="J1401" s="26" t="inlineStr">
        <is>
          <t>Сделал дело — гуляй смело! Сегодня ребята из ПНИ 16 не только сотворили на занятии много красоты в красках и звуках, но и отпраздновали сразу два дня рождения — Тимура Мишаева и Сергея Трунова (полюбуйтесь, какой Серёжа нарядный!). И к нам уже заглянул Дед Мороз (или Санта Клаус?...</t>
        </is>
      </c>
    </row>
    <row r="1402" ht="30" customHeight="1">
      <c r="A1402" s="28" t="n">
        <v>2988</v>
      </c>
      <c r="B1402" s="29" t="inlineStr">
        <is>
          <t>2017-12-12</t>
        </is>
      </c>
      <c r="C1402" s="30">
        <f>HYPERLINK("https://vk.com/wall-1825701_2988", "Открыть пост")</f>
        <v/>
      </c>
      <c r="D1402" s="31" t="inlineStr">
        <is>
          <t>Творческие мастер-классы и художественные студии</t>
        </is>
      </c>
      <c r="E1402" s="31" t="inlineStr">
        <is>
          <t>Творческие мастер-классы и художественные студии</t>
        </is>
      </c>
      <c r="F1402" s="31" t="inlineStr">
        <is>
          <t>Подростки и взрослые с ментальными особенностями и ОВЗ (ПНИ / Социальные дома)</t>
        </is>
      </c>
      <c r="G1402" s="31" t="inlineStr">
        <is>
          <t>Студия фонда / выездная площадка</t>
        </is>
      </c>
      <c r="H1402" s="31" t="inlineStr">
        <is>
          <t>Художественно-прикладные и ремесленные навыки</t>
        </is>
      </c>
      <c r="I1402" s="32" t="inlineStr">
        <is>
          <t>Да (в тексте)</t>
        </is>
      </c>
      <c r="J1402" s="31" t="inlineStr">
        <is>
          <t>Нам кажется очень важным, чтобы у людей был выбор. Дети и взрослые из интернатов часто лишены всякого выбора, и, значит, особенно нуждаются в такой возможности. На занятиях в студии они всегда сами выбирают, чем заниматься, мы только стараемся предложить разноообразные и интересн...</t>
        </is>
      </c>
    </row>
    <row r="1403" ht="30" customHeight="1">
      <c r="A1403" s="23" t="n">
        <v>2983</v>
      </c>
      <c r="B1403" s="24" t="inlineStr">
        <is>
          <t>2017-12-11</t>
        </is>
      </c>
      <c r="C1403" s="25">
        <f>HYPERLINK("https://vk.com/wall-1825701_2983", "Открыть пост")</f>
        <v/>
      </c>
      <c r="D1403" s="26" t="inlineStr">
        <is>
          <t>Ярмарки, фестивали и благотворительные базары</t>
        </is>
      </c>
      <c r="E1403" s="26" t="inlineStr">
        <is>
          <t>Ярмарки, фестивали и благотворительные базары</t>
        </is>
      </c>
      <c r="F1403" s="26" t="inlineStr">
        <is>
          <t>Подопечные фонда «Дети Марии» (общая группа детей и подростков)</t>
        </is>
      </c>
      <c r="G1403" s="26" t="inlineStr">
        <is>
          <t>Студия фонда / выездная площадка</t>
        </is>
      </c>
      <c r="H1403" s="26" t="inlineStr">
        <is>
          <t>Педагогические и наставнические навыки (кулинария, быт, учёба); Организационные, ивент- и ярмарочные навыки; Медиа, фото/видеосъёмка и культурная медиация</t>
        </is>
      </c>
      <c r="I1403" s="27" t="inlineStr">
        <is>
          <t>По формату занятия</t>
        </is>
      </c>
      <c r="J1403" s="26" t="inlineStr">
        <is>
          <t>Вчера в Гостином дворе прошла самая большая предновогодняя благотворительная ярмарка «Душевный Bazar». Наш сбор 95300 рублей! Спасибо всем гостям за пожертвования и интерес к творчеству наших ребят. Огромное спасибо всем, кто помог на монтаже-демонтаже и самой ярмарке. Отдельное ...</t>
        </is>
      </c>
    </row>
    <row r="1404" ht="30" customHeight="1">
      <c r="A1404" s="28" t="n">
        <v>2979</v>
      </c>
      <c r="B1404" s="29" t="inlineStr">
        <is>
          <t>2017-12-10</t>
        </is>
      </c>
      <c r="C1404" s="30">
        <f>HYPERLINK("https://vk.com/wall-1825701_2979", "Открыть пост")</f>
        <v/>
      </c>
      <c r="D1404" s="31" t="inlineStr">
        <is>
          <t>Ярмарки, фестивали и благотворительные базары</t>
        </is>
      </c>
      <c r="E1404" s="31" t="inlineStr">
        <is>
          <t>Ярмарки, фестивали и благотворительные базары; Творческие мастер-классы и художественные студии</t>
        </is>
      </c>
      <c r="F1404" s="31" t="inlineStr">
        <is>
          <t>Подопечные фонда «Дети Марии» (общая группа детей и подростков)</t>
        </is>
      </c>
      <c r="G1404" s="31" t="inlineStr">
        <is>
          <t>Студия фонда / выездная площадка</t>
        </is>
      </c>
      <c r="H1404" s="31" t="inlineStr">
        <is>
          <t>Организационные, ивент- и ярмарочные навыки</t>
        </is>
      </c>
      <c r="I1404" s="32" t="inlineStr">
        <is>
          <t>По формату занятия</t>
        </is>
      </c>
      <c r="J1404" s="31" t="inlineStr">
        <is>
          <t>Прямо сейчас на «Душевном Bazar'e» наши Маша, Миша и Лёша проводят мастер-класс по жонглированию около нашего стенда № 24</t>
        </is>
      </c>
    </row>
    <row r="1405" ht="30" customHeight="1">
      <c r="A1405" s="23" t="n">
        <v>2973</v>
      </c>
      <c r="B1405" s="24" t="inlineStr">
        <is>
          <t>2017-12-09</t>
        </is>
      </c>
      <c r="C1405" s="25">
        <f>HYPERLINK("https://vk.com/wall-1825701_2973", "Открыть пост")</f>
        <v/>
      </c>
      <c r="D1405" s="26" t="inlineStr">
        <is>
          <t>Ярмарки, фестивали и благотворительные базары</t>
        </is>
      </c>
      <c r="E1405" s="26" t="inlineStr">
        <is>
          <t>Ярмарки, фестивали и благотворительные базары; Кулинарные, образовательные и социально-бытовые занятия</t>
        </is>
      </c>
      <c r="F1405" s="26" t="inlineStr">
        <is>
          <t>Подопечные фонда «Дети Марии» (общая группа детей и подростков)</t>
        </is>
      </c>
      <c r="G1405" s="26" t="inlineStr">
        <is>
          <t>Студия фонда / выездная площадка</t>
        </is>
      </c>
      <c r="H1405" s="26" t="inlineStr">
        <is>
          <t>Артистические, музыкальные и спортивно-игровые навыки; Организационные, ивент- и ярмарочные навыки; Медиа, фото/видеосъёмка и культурная медиация</t>
        </is>
      </c>
      <c r="I1405" s="27" t="inlineStr">
        <is>
          <t>По формату занятия</t>
        </is>
      </c>
      <c r="J1405" s="26" t="inlineStr">
        <is>
          <t>Мы успели к «Душевному Bazar'у» напечатать новое издание настольной игры «Мемори» с картинами наших ребят. (Первый тираж давно закончился, а люди спрашивают). Спасибо Насте Фриевой за дизайн, а всем ребятам за картины! Спасибо типографии http://servispoligrafii.ru/ за оперативную...</t>
        </is>
      </c>
    </row>
    <row r="1406" ht="30" customHeight="1">
      <c r="A1406" s="28" t="n">
        <v>2969</v>
      </c>
      <c r="B1406" s="29" t="inlineStr">
        <is>
          <t>2017-12-08</t>
        </is>
      </c>
      <c r="C1406" s="30">
        <f>HYPERLINK("https://vk.com/wall-1825701_2969", "Открыть пост")</f>
        <v/>
      </c>
      <c r="D1406" s="31" t="inlineStr">
        <is>
          <t>Ярмарки, фестивали и благотворительные базары</t>
        </is>
      </c>
      <c r="E1406" s="31" t="inlineStr">
        <is>
          <t>Ярмарки, фестивали и благотворительные базары</t>
        </is>
      </c>
      <c r="F1406" s="31" t="inlineStr">
        <is>
          <t>Подопечные фонда «Дети Марии» (общая группа детей и подростков)</t>
        </is>
      </c>
      <c r="G1406" s="31" t="inlineStr">
        <is>
          <t>Студия фонда / выездная площадка</t>
        </is>
      </c>
      <c r="H1406" s="31" t="inlineStr">
        <is>
          <t>Педагогические и наставнические навыки (кулинария, быт, учёба)</t>
        </is>
      </c>
      <c r="I1406" s="32" t="inlineStr">
        <is>
          <t>По формату занятия</t>
        </is>
      </c>
      <c r="J1406" s="31" t="inlineStr">
        <is>
          <t>Вот такой домик-светильник из фетра сделали на занятиях ребята с преподавателем Ирой Гуриевой. Домиком можно полюбоваться и купить в воскресенье на «Душевном Bazar'e». Откроем секрет — у нас там не просто домик будет, а целый сказочный городок. Гостиный двор, 10 декабря, 11.00 - ...</t>
        </is>
      </c>
    </row>
    <row r="1407" ht="30" customHeight="1">
      <c r="A1407" s="23" t="n">
        <v>2951</v>
      </c>
      <c r="B1407" s="24" t="inlineStr">
        <is>
          <t>2017-12-05</t>
        </is>
      </c>
      <c r="C1407" s="25">
        <f>HYPERLINK("https://vk.com/wall-1825701_2951", "Открыть пост")</f>
        <v/>
      </c>
      <c r="D1407" s="26" t="inlineStr">
        <is>
          <t>Выездные лагеря, дача и сезонные программы</t>
        </is>
      </c>
      <c r="E1407" s="26" t="inlineStr">
        <is>
          <t>Выездные лагеря, дача и сезонные программы; Творческие мастер-классы и художественные студии</t>
        </is>
      </c>
      <c r="F1407" s="26" t="inlineStr">
        <is>
          <t>Подопечные фонда «Дети Марии» (общая группа детей и подростков)</t>
        </is>
      </c>
      <c r="G1407" s="26" t="inlineStr">
        <is>
          <t>Студия фонда / выездная площадка</t>
        </is>
      </c>
      <c r="H1407" s="26" t="inlineStr">
        <is>
          <t>Артистические, музыкальные и спортивно-игровые навыки; Мобильность, выездное сопровождение и автоволонтёрство</t>
        </is>
      </c>
      <c r="I1407" s="27" t="inlineStr">
        <is>
          <t>По формату занятия</t>
        </is>
      </c>
      <c r="J1407" s="26" t="inlineStr">
        <is>
          <t>Бабочка и домик из стекла в технике Тиффани — игрушки на ёлку или для украшения интерьера. Особенно эффектно фигурки из цветного стекла смотрятся на окне. http://mariaschildren.ru/ru/store/games-and-toys Сделаны детьми в нашем летнем лагере на мастер-классах Ирины Скимбаторь и Ма...</t>
        </is>
      </c>
    </row>
    <row r="1408" ht="30" customHeight="1">
      <c r="A1408" s="28" t="n">
        <v>2949</v>
      </c>
      <c r="B1408" s="29" t="inlineStr">
        <is>
          <t>2017-12-04</t>
        </is>
      </c>
      <c r="C1408" s="30">
        <f>HYPERLINK("https://vk.com/wall-1825701_2949", "Открыть пост")</f>
        <v/>
      </c>
      <c r="D1408" s="31" t="inlineStr">
        <is>
          <t>Выставки, экскурсии и культурные выходы</t>
        </is>
      </c>
      <c r="E1408" s="31" t="inlineStr">
        <is>
          <t>Выставки, экскурсии и культурные выходы</t>
        </is>
      </c>
      <c r="F1408" s="31" t="inlineStr">
        <is>
          <t>Подростки и взрослые с ментальными особенностями и ОВЗ (ПНИ / Социальные дома)</t>
        </is>
      </c>
      <c r="G1408" s="31" t="inlineStr">
        <is>
          <t>Студия фонда / выездная площадка</t>
        </is>
      </c>
      <c r="H1408" s="31" t="inlineStr">
        <is>
          <t>Артистические, музыкальные и спортивно-игровые навыки; Организационные, ивент- и ярмарочные навыки; Мобильность, выездное сопровождение и автоволонтёрство</t>
        </is>
      </c>
      <c r="I1408" s="32" t="inlineStr">
        <is>
          <t>По формату занятия</t>
        </is>
      </c>
      <c r="J1408" s="31" t="inlineStr">
        <is>
          <t>В выходные ребята из ПНИ 16 побывали на ВВЦ, где проходит выставка экспонатов Политехнического музея «Россия делает сама». Так много интересного узнали, увидели, даже пощупали! Видели космическую станцию, луноход, скафандры. Узнали, как возникает молния и потрогали электромагнитн...</t>
        </is>
      </c>
    </row>
    <row r="1409" ht="30" customHeight="1">
      <c r="A1409" s="23" t="n">
        <v>2943</v>
      </c>
      <c r="B1409" s="24" t="inlineStr">
        <is>
          <t>2017-12-01</t>
        </is>
      </c>
      <c r="C1409" s="25">
        <f>HYPERLINK("https://vk.com/wall-1825701_2943", "Открыть пост")</f>
        <v/>
      </c>
      <c r="D1409" s="26" t="inlineStr">
        <is>
          <t>Творческие мастер-классы и художественные студии</t>
        </is>
      </c>
      <c r="E1409" s="26" t="inlineStr">
        <is>
          <t>Творческие мастер-классы и художественные студии</t>
        </is>
      </c>
      <c r="F1409" s="26" t="inlineStr">
        <is>
          <t>Подростки и взрослые с ментальными особенностями и ОВЗ (ПНИ / Социальные дома)</t>
        </is>
      </c>
      <c r="G1409" s="26" t="inlineStr">
        <is>
          <t>Студия фонда / выездная площадка</t>
        </is>
      </c>
      <c r="H1409" s="26" t="inlineStr">
        <is>
          <t>Художественно-прикладные и ремесленные навыки</t>
        </is>
      </c>
      <c r="I1409" s="27" t="inlineStr">
        <is>
          <t>По формату занятия</t>
        </is>
      </c>
      <c r="J1409" s="26" t="inlineStr">
        <is>
          <t>В первый день зимы занятия у ребят из ПНИ 16 тоже зимние, с ожиданием Нового Года. В рисовальной мастерской рисуют снежинки, а хозяйственный Лёша вяжет шарф — как без него зимой! Девчонки учатся печь печенье. Ваня раньше только лепил, как и его незрячий брат Андрей, а недавно отк...</t>
        </is>
      </c>
    </row>
    <row r="1410" ht="30" customHeight="1">
      <c r="A1410" s="28" t="n">
        <v>2942</v>
      </c>
      <c r="B1410" s="29" t="inlineStr">
        <is>
          <t>2017-12-01</t>
        </is>
      </c>
      <c r="C1410" s="30">
        <f>HYPERLINK("https://vk.com/wall-1825701_2942", "Открыть пост")</f>
        <v/>
      </c>
      <c r="D1410" s="31" t="inlineStr">
        <is>
          <t>Ярмарки, фестивали и благотворительные базары</t>
        </is>
      </c>
      <c r="E1410" s="31" t="inlineStr">
        <is>
          <t>Ярмарки, фестивали и благотворительные базары</t>
        </is>
      </c>
      <c r="F1410" s="31" t="inlineStr">
        <is>
          <t>Подопечные фонда «Дети Марии» (общая группа детей и подростков)</t>
        </is>
      </c>
      <c r="G1410" s="31" t="inlineStr">
        <is>
          <t>Студия фонда / выездная площадка</t>
        </is>
      </c>
      <c r="H1410" s="31" t="inlineStr">
        <is>
          <t>Организационные, ивент- и ярмарочные навыки</t>
        </is>
      </c>
      <c r="I1410" s="32" t="inlineStr">
        <is>
          <t>По формату занятия</t>
        </is>
      </c>
      <c r="J1410" s="31" t="inlineStr">
        <is>
          <t>Приглашаем всех в воскресенье на ярмарку в Центр лечебной педагогики — ЦЛП — слушать джаз, покупать новогодние подарки. "Дети Марии" тоже участвуют!</t>
        </is>
      </c>
    </row>
    <row r="1411" ht="30" customHeight="1">
      <c r="A1411" s="23" t="n">
        <v>2938</v>
      </c>
      <c r="B1411" s="24" t="inlineStr">
        <is>
          <t>2017-11-30</t>
        </is>
      </c>
      <c r="C1411" s="25">
        <f>HYPERLINK("https://vk.com/wall-1825701_2938", "Открыть пост")</f>
        <v/>
      </c>
      <c r="D1411" s="26" t="inlineStr">
        <is>
          <t>Ярмарки, фестивали и благотворительные базары</t>
        </is>
      </c>
      <c r="E1411" s="26" t="inlineStr">
        <is>
          <t>Ярмарки, фестивали и благотворительные базары</t>
        </is>
      </c>
      <c r="F1411" s="26" t="inlineStr">
        <is>
          <t>Подопечные фонда «Дети Марии» (общая группа детей и подростков)</t>
        </is>
      </c>
      <c r="G1411" s="26" t="inlineStr">
        <is>
          <t>Студия фонда / выездная площадка</t>
        </is>
      </c>
      <c r="H1411" s="26" t="inlineStr">
        <is>
          <t>Организационные, ивент- и ярмарочные навыки</t>
        </is>
      </c>
      <c r="I1411" s="27" t="inlineStr">
        <is>
          <t>По формату занятия</t>
        </is>
      </c>
      <c r="J1411" s="26" t="inlineStr">
        <is>
          <t>«Душевный Bazar» начинает обратный отсчёт. Сегодня все участники собрались для последнего обсуждения технических вопросов. Рады за гостей самой большой благотворительной ярмарки страны — так много интересного, красивого, весёлого, вкусного и полезного их ждёт в один день — 10 дек...</t>
        </is>
      </c>
    </row>
    <row r="1412" ht="30" customHeight="1">
      <c r="A1412" s="28" t="n">
        <v>2936</v>
      </c>
      <c r="B1412" s="29" t="inlineStr">
        <is>
          <t>2017-11-30</t>
        </is>
      </c>
      <c r="C1412" s="30">
        <f>HYPERLINK("https://vk.com/wall-1825701_2936", "Открыть пост")</f>
        <v/>
      </c>
      <c r="D1412" s="31" t="inlineStr">
        <is>
          <t>Выездные лагеря, дача и сезонные программы</t>
        </is>
      </c>
      <c r="E1412" s="31" t="inlineStr">
        <is>
          <t>Выездные лагеря, дача и сезонные программы</t>
        </is>
      </c>
      <c r="F1412" s="31" t="inlineStr">
        <is>
          <t>Воспитанники ЦССВ, ДДИ и детских домов-интернатов</t>
        </is>
      </c>
      <c r="G1412" s="31" t="inlineStr">
        <is>
          <t>Студия фонда / выездная площадка</t>
        </is>
      </c>
      <c r="H1412" s="31" t="inlineStr">
        <is>
          <t>Коммуникативные навыки, эмпатия и тьюторское сопровождение</t>
        </is>
      </c>
      <c r="I1412" s="32" t="inlineStr">
        <is>
          <t>По формату занятия</t>
        </is>
      </c>
      <c r="J1412" s="31" t="inlineStr">
        <is>
          <t>Дети наши вырастают, это и радостно, и грустно, потому что из детских домов их переводят во взрослые интернаты. Вчера в последний раз приезжал на занятия в загородные мастерские с детьми из Филимонок Димка Степанов. Мы не прощаемся, постараемся держать связь и продолжать поддержи...</t>
        </is>
      </c>
    </row>
    <row r="1413" ht="30" customHeight="1">
      <c r="A1413" s="23" t="n">
        <v>2931</v>
      </c>
      <c r="B1413" s="24" t="inlineStr">
        <is>
          <t>2017-11-29</t>
        </is>
      </c>
      <c r="C1413" s="25">
        <f>HYPERLINK("https://vk.com/wall-1825701_2931", "Открыть пост")</f>
        <v/>
      </c>
      <c r="D1413" s="26" t="inlineStr">
        <is>
          <t>Творческие мастер-классы и художественные студии</t>
        </is>
      </c>
      <c r="E1413" s="26" t="inlineStr">
        <is>
          <t>Творческие мастер-классы и художественные студии</t>
        </is>
      </c>
      <c r="F1413" s="26" t="inlineStr">
        <is>
          <t>Подростки и взрослые с ментальными особенностями и ОВЗ (ПНИ / Социальные дома)</t>
        </is>
      </c>
      <c r="G1413" s="26" t="inlineStr">
        <is>
          <t>Студия фонда / выездная площадка</t>
        </is>
      </c>
      <c r="H1413" s="26" t="inlineStr">
        <is>
          <t>Художественно-прикладные и ремесленные навыки</t>
        </is>
      </c>
      <c r="I1413" s="27" t="inlineStr">
        <is>
          <t>Да (в тексте)</t>
        </is>
      </c>
      <c r="J1413" s="26" t="inlineStr">
        <is>
          <t>Лепить, валять, рисовать, петь — всё это ребята из ПНИ 16 делают с радостью и искренним увлечением. Занятия в нашей студии — очень значимая часть их жизни. А потом обед с куриными котлетками, рисом и салатом из редиса с огурцами, а к чаю — тушёные яблоки с корицей и домашние кекс...</t>
        </is>
      </c>
    </row>
    <row r="1414" ht="30" customHeight="1">
      <c r="A1414" s="28" t="n">
        <v>2927</v>
      </c>
      <c r="B1414" s="29" t="inlineStr">
        <is>
          <t>2017-11-28</t>
        </is>
      </c>
      <c r="C1414" s="30">
        <f>HYPERLINK("https://vk.com/wall-1825701_2927", "Открыть пост")</f>
        <v/>
      </c>
      <c r="D1414" s="31" t="inlineStr">
        <is>
          <t>Выездные лагеря, дача и сезонные программы</t>
        </is>
      </c>
      <c r="E1414" s="31" t="inlineStr">
        <is>
          <t>Выездные лагеря, дача и сезонные программы; Творческие мастер-классы и художественные студии</t>
        </is>
      </c>
      <c r="F1414" s="31" t="inlineStr">
        <is>
          <t>Дети и семьи (в т.ч. приёмные семьи и программа в Беслане)</t>
        </is>
      </c>
      <c r="G1414" s="31" t="inlineStr">
        <is>
          <t>Беслан</t>
        </is>
      </c>
      <c r="H1414" s="31" t="inlineStr">
        <is>
          <t>Мобильность, выездное сопровождение и автоволонтёрство; Медиа, фото/видеосъёмка и культурная медиация</t>
        </is>
      </c>
      <c r="I1414" s="32" t="inlineStr">
        <is>
          <t>Да (в тексте)</t>
        </is>
      </c>
      <c r="J1414" s="31" t="inlineStr">
        <is>
          <t>В #щедрыйвторник хотим сказать спасибо душевно щедрым людям — нашим замечательным волонтёрам. Тем, для кого участвовать в судьбах детей и взрослых из интернатов — потребность, радость и необходимая часть жизни. Эти люди разных возрастов и профессий отдают ребятам не просто своё с...</t>
        </is>
      </c>
    </row>
    <row r="1415" ht="30" customHeight="1">
      <c r="A1415" s="23" t="n">
        <v>2926</v>
      </c>
      <c r="B1415" s="24" t="inlineStr">
        <is>
          <t>2017-11-28</t>
        </is>
      </c>
      <c r="C1415" s="25">
        <f>HYPERLINK("https://vk.com/wall-1825701_2926", "Открыть пост")</f>
        <v/>
      </c>
      <c r="D1415" s="26" t="inlineStr">
        <is>
          <t>Спектакли, концерты и музыкально-театральные занятия</t>
        </is>
      </c>
      <c r="E1415" s="26" t="inlineStr">
        <is>
          <t>Спектакли, концерты и музыкально-театральные занятия</t>
        </is>
      </c>
      <c r="F1415" s="26" t="inlineStr">
        <is>
          <t>Подростки и взрослые с ментальными особенностями и ОВЗ (ПНИ / Социальные дома)</t>
        </is>
      </c>
      <c r="G1415" s="26" t="inlineStr">
        <is>
          <t>Студия фонда / выездная площадка</t>
        </is>
      </c>
      <c r="H1415" s="26" t="inlineStr">
        <is>
          <t>Артистические, музыкальные и спортивно-игровые навыки; Организационные, ивент- и ярмарочные навыки</t>
        </is>
      </c>
      <c r="I1415" s="27" t="inlineStr">
        <is>
          <t>По формату занятия</t>
        </is>
      </c>
      <c r="J1415" s="26" t="inlineStr">
        <is>
          <t>Вчера ребята из ПНИ 11 побывали на концерте певицы Зары, им очень понравилось. Спасибо Заре и компании Disney за приглашение и праздник, за признание уникальности и талантов ребят. http://www.intermedia.ru/news/317397</t>
        </is>
      </c>
    </row>
    <row r="1416" ht="30" customHeight="1">
      <c r="A1416" s="28" t="n">
        <v>2919</v>
      </c>
      <c r="B1416" s="29" t="inlineStr">
        <is>
          <t>2017-11-27</t>
        </is>
      </c>
      <c r="C1416" s="30">
        <f>HYPERLINK("https://vk.com/wall-1825701_2919", "Открыть пост")</f>
        <v/>
      </c>
      <c r="D1416" s="31" t="inlineStr">
        <is>
          <t>Творческие мастер-классы и художественные студии</t>
        </is>
      </c>
      <c r="E1416" s="31" t="inlineStr">
        <is>
          <t>Творческие мастер-классы и художественные студии; Выставки, экскурсии и культурные выходы</t>
        </is>
      </c>
      <c r="F1416" s="31" t="inlineStr">
        <is>
          <t>Подростки и взрослые с ментальными особенностями и ОВЗ (ПНИ / Социальные дома); Воспитанники ЦССВ, ДДИ и детских домов-интернатов; Выпускники интернатов и детских домов (молодые взрослые)</t>
        </is>
      </c>
      <c r="G1416" s="31" t="inlineStr">
        <is>
          <t>интерната №31, ЦССВ «Спутник»</t>
        </is>
      </c>
      <c r="H1416" s="31" t="inlineStr">
        <is>
          <t>Художественно-прикладные и ремесленные навыки; Организационные, ивент- и ярмарочные навыки; Мобильность, выездное сопровождение и автоволонтёрство; Медиа, фото/видеосъёмка и культурная медиация</t>
        </is>
      </c>
      <c r="I1416" s="32" t="inlineStr">
        <is>
          <t>Да (в тексте)</t>
        </is>
      </c>
      <c r="J1416" s="31" t="inlineStr">
        <is>
          <t>Как же мы шикарно провели сегодняшний день в Пушкинском музее! В понедельник музей открылся для наших ребят из школы-интерната №31 для детей с нарушениями опорно-двигательного аппарата и из ЦССВ «Спутник». К этим 30 ребятам присоединились ещё несколько наших выпускников как участ...</t>
        </is>
      </c>
    </row>
    <row r="1417" ht="30" customHeight="1">
      <c r="A1417" s="23" t="n">
        <v>2911</v>
      </c>
      <c r="B1417" s="24" t="inlineStr">
        <is>
          <t>2017-11-25</t>
        </is>
      </c>
      <c r="C1417" s="25">
        <f>HYPERLINK("https://vk.com/wall-1825701_2911", "Открыть пост")</f>
        <v/>
      </c>
      <c r="D1417" s="26" t="inlineStr">
        <is>
          <t>Творческие мастер-классы и художественные студии</t>
        </is>
      </c>
      <c r="E1417" s="26" t="inlineStr">
        <is>
          <t>Творческие мастер-классы и художественные студии; Праздники, дни рождения и клубные встречи</t>
        </is>
      </c>
      <c r="F1417" s="26" t="inlineStr">
        <is>
          <t>Воспитанники ЦССВ, ДДИ и детских домов-интернатов</t>
        </is>
      </c>
      <c r="G1417" s="26" t="inlineStr">
        <is>
          <t>ЦССВ «Спутник»</t>
        </is>
      </c>
      <c r="H1417" s="26" t="inlineStr">
        <is>
          <t>Художественно-прикладные и ремесленные навыки; 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t>
        </is>
      </c>
      <c r="I1417" s="27" t="inlineStr">
        <is>
          <t>Да (в тексте)</t>
        </is>
      </c>
      <c r="J1417" s="26" t="inlineStr">
        <is>
          <t>Обычное субботнее занятие — дети из ЦССВ «Спутник» в студии на Делегатской. Саша любит готовить и помогать. Помогал преподавателю Марии Ивановне почистить щетки для валяния, а потом — накрыть стол к чаю. В керамической лепили кошек, Максим узнал весь процесс валяния объемной фигу...</t>
        </is>
      </c>
    </row>
    <row r="1418" ht="30" customHeight="1">
      <c r="A1418" s="28" t="n">
        <v>2908</v>
      </c>
      <c r="B1418" s="29" t="inlineStr">
        <is>
          <t>2017-11-24</t>
        </is>
      </c>
      <c r="C1418" s="30">
        <f>HYPERLINK("https://vk.com/wall-1825701_2908", "Открыть пост")</f>
        <v/>
      </c>
      <c r="D1418" s="31" t="inlineStr">
        <is>
          <t>Ярмарки, фестивали и благотворительные базары</t>
        </is>
      </c>
      <c r="E1418" s="31" t="inlineStr">
        <is>
          <t>Ярмарки, фестивали и благотворительные базары</t>
        </is>
      </c>
      <c r="F1418" s="31" t="inlineStr">
        <is>
          <t>Подопечные фонда «Дети Марии» (общая группа детей и подростков)</t>
        </is>
      </c>
      <c r="G1418" s="31" t="inlineStr">
        <is>
          <t>Студия фонда / выездная площадка</t>
        </is>
      </c>
      <c r="H1418" s="31" t="inlineStr">
        <is>
          <t>Организационные, ивент- и ярмарочные навыки</t>
        </is>
      </c>
      <c r="I1418" s="32" t="inlineStr">
        <is>
          <t>По формату занятия</t>
        </is>
      </c>
      <c r="J1418" s="31" t="inlineStr">
        <is>
          <t>Сегодня пятница, но в компании Teva Pharmaceutical Industries Ltd уже прошла благотворительная ярмарка, посвящённая грядущему дню #щедрыйвторник Сбор «Детей Марии» — 20350 рублей. Спасибо большое щедрым сотрудникам Teva!</t>
        </is>
      </c>
    </row>
    <row r="1419" ht="30" customHeight="1">
      <c r="A1419" s="23" t="n">
        <v>2904</v>
      </c>
      <c r="B1419" s="24" t="inlineStr">
        <is>
          <t>2017-11-22</t>
        </is>
      </c>
      <c r="C1419" s="25">
        <f>HYPERLINK("https://vk.com/wall-1825701_2904", "Открыть пост")</f>
        <v/>
      </c>
      <c r="D1419" s="26" t="inlineStr">
        <is>
          <t>Творческие мастер-классы и художественные студии</t>
        </is>
      </c>
      <c r="E1419" s="26" t="inlineStr">
        <is>
          <t>Творческие мастер-классы и художественные студии</t>
        </is>
      </c>
      <c r="F1419" s="26" t="inlineStr">
        <is>
          <t>Подростки и взрослые с ментальными особенностями и ОВЗ (ПНИ / Социальные дома)</t>
        </is>
      </c>
      <c r="G1419" s="26" t="inlineStr">
        <is>
          <t>интерната №20</t>
        </is>
      </c>
      <c r="H1419" s="26" t="inlineStr">
        <is>
          <t>Художественно-прикладные и ремесленные навыки</t>
        </is>
      </c>
      <c r="I1419" s="27" t="inlineStr">
        <is>
          <t>Да (в тексте)</t>
        </is>
      </c>
      <c r="J1419" s="26" t="inlineStr">
        <is>
          <t>У нас новая группа, сегодня приехали ребята из психоневрологического интерната №20. Будут приезжать по средам утром. В этот интернат перевели нескольких наших ребят из детских интернатов, ну и мы за ними туда. Сейчас уже вовсю лепим, ткём, рисуем и поём. И ждём волонтёров! Присое...</t>
        </is>
      </c>
    </row>
    <row r="1420" ht="30" customHeight="1">
      <c r="A1420" s="28" t="n">
        <v>2899</v>
      </c>
      <c r="B1420" s="29" t="inlineStr">
        <is>
          <t>2017-11-21</t>
        </is>
      </c>
      <c r="C1420" s="30">
        <f>HYPERLINK("https://vk.com/wall-1825701_2899", "Открыть пост")</f>
        <v/>
      </c>
      <c r="D1420" s="31" t="inlineStr">
        <is>
          <t>Ярмарки, фестивали и благотворительные базары</t>
        </is>
      </c>
      <c r="E1420" s="31" t="inlineStr">
        <is>
          <t>Ярмарки, фестивали и благотворительные базары</t>
        </is>
      </c>
      <c r="F1420" s="31" t="inlineStr">
        <is>
          <t>Подопечные фонда «Дети Марии» (общая группа детей и подростков)</t>
        </is>
      </c>
      <c r="G1420" s="31" t="inlineStr">
        <is>
          <t>Студия фонда / выездная площадка</t>
        </is>
      </c>
      <c r="H1420" s="31" t="inlineStr">
        <is>
          <t>Коммуникативные навыки, эмпатия и тьюторское сопровождение; Педагогические и наставнические навыки (кулинария, быт, учёба); Организационные, ивент- и ярмарочные навыки</t>
        </is>
      </c>
      <c r="I1420" s="32" t="inlineStr">
        <is>
          <t>Да (в тексте)</t>
        </is>
      </c>
      <c r="J1420" s="31" t="inlineStr">
        <is>
          <t>С Англо-Американской школой нас связывают многие годы дружбы. Родители некоторых учеников активно помогали студии, пока их дети учились, а ученики становились нашими волонтёрами. Мы приезжали в школу с рассказами о студии, дети из интернатов бывали там на разных мероприятиях и об...</t>
        </is>
      </c>
    </row>
    <row r="1421" ht="30" customHeight="1">
      <c r="A1421" s="23" t="n">
        <v>2897</v>
      </c>
      <c r="B1421" s="24" t="inlineStr">
        <is>
          <t>2017-11-20</t>
        </is>
      </c>
      <c r="C1421" s="25">
        <f>HYPERLINK("https://vk.com/wall-1825701_2897", "Открыть пост")</f>
        <v/>
      </c>
      <c r="D1421" s="26" t="inlineStr">
        <is>
          <t>Выставки, экскурсии и культурные выходы</t>
        </is>
      </c>
      <c r="E1421" s="26" t="inlineStr">
        <is>
          <t>Выставки, экскурсии и культурные выходы</t>
        </is>
      </c>
      <c r="F1421" s="26" t="inlineStr">
        <is>
          <t>Подопечные фонда «Дети Марии» (общая группа детей и подростков)</t>
        </is>
      </c>
      <c r="G1421" s="26" t="inlineStr">
        <is>
          <t>Студия фонда / выездная площадка</t>
        </is>
      </c>
      <c r="H1421" s="26" t="inlineStr">
        <is>
          <t>Коммуникативные навыки, эмпатия и тьюторское сопровождение</t>
        </is>
      </c>
      <c r="I1421" s="27" t="inlineStr">
        <is>
          <t>По формату занятия</t>
        </is>
      </c>
      <c r="J1421" s="26" t="inlineStr">
        <is>
          <t>Закончилась выставка в ЦДХ, и многие прекрасные работы теперь появятся на нашем интернет-магазине. Найти их просто — по поиску задайте слово НОВИНКА. Представляем керамические картины — две «Стрекозы», Миши Алтуфьева и Кати Анашкиной — похожие, но разные. При покупке обеих сразу ...</t>
        </is>
      </c>
    </row>
    <row r="1422" ht="30" customHeight="1">
      <c r="A1422" s="28" t="n">
        <v>2896</v>
      </c>
      <c r="B1422" s="29" t="inlineStr">
        <is>
          <t>2017-11-20</t>
        </is>
      </c>
      <c r="C1422" s="30">
        <f>HYPERLINK("https://vk.com/wall-1825701_2896", "Открыть пост")</f>
        <v/>
      </c>
      <c r="D1422" s="31" t="inlineStr">
        <is>
          <t>Творческие мастер-классы и художественные студии</t>
        </is>
      </c>
      <c r="E1422" s="31" t="inlineStr">
        <is>
          <t>Творческие мастер-классы и художественные студии</t>
        </is>
      </c>
      <c r="F1422" s="31" t="inlineStr">
        <is>
          <t>Подопечные фонда «Дети Марии» (общая группа детей и подростков)</t>
        </is>
      </c>
      <c r="G1422" s="31" t="inlineStr">
        <is>
          <t>Студия фонда / выездная площадка</t>
        </is>
      </c>
      <c r="H1422" s="31" t="inlineStr">
        <is>
          <t>Коммуникативные навыки, эмпатия и тьюторское сопровождение</t>
        </is>
      </c>
      <c r="I1422" s="32" t="inlineStr">
        <is>
          <t>По формату занятия</t>
        </is>
      </c>
      <c r="J1422" s="31" t="inlineStr">
        <is>
          <t>Сегодня — Всемирный день ребёнка, установленный ООН. В этот день в 1959 году была принята «Декларация прав ребёнка», а в 1989 году — «Конвенция прав ребёнка». В этих документах в числе других есть право на развитие личности, талантов, умственных и физических способностей ребёнка ...</t>
        </is>
      </c>
    </row>
    <row r="1423" ht="30" customHeight="1">
      <c r="A1423" s="23" t="n">
        <v>2893</v>
      </c>
      <c r="B1423" s="24" t="inlineStr">
        <is>
          <t>2017-11-19</t>
        </is>
      </c>
      <c r="C1423" s="25">
        <f>HYPERLINK("https://vk.com/wall-1825701_2893", "Открыть пост")</f>
        <v/>
      </c>
      <c r="D1423" s="26" t="inlineStr">
        <is>
          <t>Кулинарные, образовательные и социально-бытовые занятия</t>
        </is>
      </c>
      <c r="E1423" s="26" t="inlineStr">
        <is>
          <t>Кулинарные, образовательные и социально-бытовые занятия; Творческие мастер-классы и художественные студии; Праздники, дни рождения и клубные встречи</t>
        </is>
      </c>
      <c r="F1423" s="26" t="inlineStr">
        <is>
          <t>Воспитанники ЦССВ, ДДИ и детских домов-интернатов</t>
        </is>
      </c>
      <c r="G1423" s="26" t="inlineStr">
        <is>
          <t>ЦССВ «Спутник»</t>
        </is>
      </c>
      <c r="H1423" s="26" t="inlineStr">
        <is>
          <t>Художественно-прикладные и ремесленные навыки; Педагогические и наставнические навыки (кулинария, быт, учёба); Организационные, ивент- и ярмарочные навыки</t>
        </is>
      </c>
      <c r="I1423" s="27" t="inlineStr">
        <is>
          <t>Да (в тексте)</t>
        </is>
      </c>
      <c r="J1423" s="26" t="inlineStr">
        <is>
          <t>В субботу у детей из ЦССВ «Спутник» главная забота была сделать новогодние открытки для бабушек и дедушек из домов престарелых — ребята участвуют в акции Благотоврительного фонда «Старость в радость». Пока с преподавателем Нюсей и волонтёром Марией рисовали открытки, другой волон...</t>
        </is>
      </c>
    </row>
    <row r="1424" ht="30" customHeight="1">
      <c r="A1424" s="28" t="n">
        <v>2892</v>
      </c>
      <c r="B1424" s="29" t="inlineStr">
        <is>
          <t>2017-11-19</t>
        </is>
      </c>
      <c r="C1424" s="30">
        <f>HYPERLINK("https://vk.com/wall-1825701_2892", "Открыть пост")</f>
        <v/>
      </c>
      <c r="D1424" s="31" t="inlineStr">
        <is>
          <t>Выставки, экскурсии и культурные выходы</t>
        </is>
      </c>
      <c r="E1424" s="31" t="inlineStr">
        <is>
          <t>Выставки, экскурсии и культурные выходы</t>
        </is>
      </c>
      <c r="F1424" s="31" t="inlineStr">
        <is>
          <t>Подростки и взрослые с ментальными особенностями и ОВЗ (ПНИ / Социальные дома)</t>
        </is>
      </c>
      <c r="G1424" s="31" t="inlineStr">
        <is>
          <t>Студия фонда / выездная площадка</t>
        </is>
      </c>
      <c r="H1424" s="31" t="inlineStr">
        <is>
          <t>Коммуникативные навыки, эмпатия и тьюторское сопровождение</t>
        </is>
      </c>
      <c r="I1424" s="32" t="inlineStr">
        <is>
          <t>По формату занятия</t>
        </is>
      </c>
      <c r="J1424" s="31" t="inlineStr">
        <is>
          <t>Сегодня последний день работы нашей выставки в ЦДХ. На фото Саша Абрамов из ПНИ 11 у своей картины «Кот в одуванчиках». А на втором фото — сумка с принтом по мотивам Сашиной картины. Оригинал картины уже продан. Сумку (эту и другие) можно купить на выставке. ЦДХ работает до 20:00...</t>
        </is>
      </c>
    </row>
    <row r="1425" ht="30" customHeight="1">
      <c r="A1425" s="23" t="n">
        <v>2887</v>
      </c>
      <c r="B1425" s="24" t="inlineStr">
        <is>
          <t>2017-11-17</t>
        </is>
      </c>
      <c r="C1425" s="25">
        <f>HYPERLINK("https://vk.com/wall-1825701_2887", "Открыть пост")</f>
        <v/>
      </c>
      <c r="D1425" s="26" t="inlineStr">
        <is>
          <t>Выставки, экскурсии и культурные выходы</t>
        </is>
      </c>
      <c r="E1425" s="26" t="inlineStr">
        <is>
          <t>Выставки, экскурсии и культурные выходы</t>
        </is>
      </c>
      <c r="F1425" s="26" t="inlineStr">
        <is>
          <t>Подопечные фонда «Дети Марии» (общая группа детей и подростков)</t>
        </is>
      </c>
      <c r="G1425" s="26" t="inlineStr">
        <is>
          <t>Студия фонда / выездная площадка</t>
        </is>
      </c>
      <c r="H1425" s="26" t="inlineStr">
        <is>
          <t>Коммуникативные навыки, эмпатия и тьюторское сопровождение</t>
        </is>
      </c>
      <c r="I1425" s="27" t="inlineStr">
        <is>
          <t>По формату занятия</t>
        </is>
      </c>
      <c r="J1425" s="26" t="inlineStr">
        <is>
          <t>Новые сумки можно купить на выставке, а можно в интернет-магазине http://mariaschildren.ru/ru/store/textile</t>
        </is>
      </c>
    </row>
    <row r="1426" ht="30" customHeight="1">
      <c r="A1426" s="28" t="n">
        <v>2884</v>
      </c>
      <c r="B1426" s="29" t="inlineStr">
        <is>
          <t>2017-11-17</t>
        </is>
      </c>
      <c r="C1426" s="30">
        <f>HYPERLINK("https://vk.com/wall-1825701_2884", "Открыть пост")</f>
        <v/>
      </c>
      <c r="D1426" s="31" t="inlineStr">
        <is>
          <t>Ярмарки, фестивали и благотворительные базары</t>
        </is>
      </c>
      <c r="E1426" s="31" t="inlineStr">
        <is>
          <t>Ярмарки, фестивали и благотворительные базары</t>
        </is>
      </c>
      <c r="F1426" s="31" t="inlineStr">
        <is>
          <t>Подопечные фонда «Дети Марии» (общая группа детей и подростков)</t>
        </is>
      </c>
      <c r="G1426" s="31" t="inlineStr">
        <is>
          <t>Студия фонда / выездная площадка</t>
        </is>
      </c>
      <c r="H1426" s="31" t="inlineStr">
        <is>
          <t>Организационные, ивент- и ярмарочные навыки</t>
        </is>
      </c>
      <c r="I1426" s="32" t="inlineStr">
        <is>
          <t>По формату занятия</t>
        </is>
      </c>
      <c r="J1426" s="31" t="inlineStr">
        <is>
          <t>Появился каталог сувениров Душевного Bazar'a. На ярмарке 10 декабря в Гостином дворе выбор будет, конечно, намного больше, но можно посмотреть уже сейчас, чтобы разыгрался аппетит.</t>
        </is>
      </c>
    </row>
    <row r="1427" ht="30" customHeight="1">
      <c r="A1427" s="23" t="n">
        <v>2882</v>
      </c>
      <c r="B1427" s="24" t="inlineStr">
        <is>
          <t>2017-11-17</t>
        </is>
      </c>
      <c r="C1427" s="25">
        <f>HYPERLINK("https://vk.com/wall-1825701_2882", "Открыть пост")</f>
        <v/>
      </c>
      <c r="D1427" s="26" t="inlineStr">
        <is>
          <t>Выездные лагеря, дача и сезонные программы</t>
        </is>
      </c>
      <c r="E1427" s="26" t="inlineStr">
        <is>
          <t>Выездные лагеря, дача и сезонные программы; Спортивные и активные мероприятия</t>
        </is>
      </c>
      <c r="F1427" s="26" t="inlineStr">
        <is>
          <t>Подростки и взрослые с ментальными особенностями и ОВЗ (ПНИ / Социальные дома); Воспитанники ЦССВ, ДДИ и детских домов-интернатов</t>
        </is>
      </c>
      <c r="G1427" s="26" t="inlineStr">
        <is>
          <t>Студия фонда / выездная площадка</t>
        </is>
      </c>
      <c r="H1427" s="26" t="inlineStr">
        <is>
          <t>Артистические, музыкальные и спортивно-игровые навыки; Мобильность, выездное сопровождение и автоволонтёрство</t>
        </is>
      </c>
      <c r="I1427" s="27" t="inlineStr">
        <is>
          <t>По формату занятия</t>
        </is>
      </c>
      <c r="J1427" s="26" t="inlineStr">
        <is>
          <t>Продолжаем подробный рассказа про наш благотворительный бал 9 ноября. Перед гостями бала — нашими жертвователями — выступили те, для кого мы собираем пожертвования и проводим программы — наши дети. Дети из Филимонковского детского дома специально для этого вечера подготовили танц...</t>
        </is>
      </c>
    </row>
    <row r="1428" ht="30" customHeight="1">
      <c r="A1428" s="28" t="n">
        <v>2880</v>
      </c>
      <c r="B1428" s="29" t="inlineStr">
        <is>
          <t>2017-11-16</t>
        </is>
      </c>
      <c r="C1428" s="30">
        <f>HYPERLINK("https://vk.com/wall-1825701_2880", "Открыть пост")</f>
        <v/>
      </c>
      <c r="D1428" s="31" t="inlineStr">
        <is>
          <t>Ярмарки, фестивали и благотворительные базары</t>
        </is>
      </c>
      <c r="E1428" s="31" t="inlineStr">
        <is>
          <t>Ярмарки, фестивали и благотворительные базары</t>
        </is>
      </c>
      <c r="F1428" s="31" t="inlineStr">
        <is>
          <t>Подопечные фонда «Дети Марии» (общая группа детей и подростков)</t>
        </is>
      </c>
      <c r="G1428" s="31" t="inlineStr">
        <is>
          <t>Студия фонда / выездная площадка</t>
        </is>
      </c>
      <c r="H1428" s="31" t="inlineStr">
        <is>
          <t>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 Медиа, фото/видеосъёмка и культурная медиация</t>
        </is>
      </c>
      <c r="I1428" s="32" t="inlineStr">
        <is>
          <t>По формату занятия</t>
        </is>
      </c>
      <c r="J1428" s="31" t="inlineStr">
        <is>
          <t>Хотим рассказать немного о потрясающем оформлении нашего благотворительного бала 9 ноября. Темой бала мы выбрали сказку «Волшебник Изумрудного города», и декораторы сотворили настоящее чудо! Залы были украшены живыми плющами, которые «прорастали» в воздушные шары, на столах под с...</t>
        </is>
      </c>
    </row>
    <row r="1429" ht="30" customHeight="1">
      <c r="A1429" s="23" t="n">
        <v>2877</v>
      </c>
      <c r="B1429" s="24" t="inlineStr">
        <is>
          <t>2017-11-15</t>
        </is>
      </c>
      <c r="C1429" s="25">
        <f>HYPERLINK("https://vk.com/wall-1825701_2877", "Открыть пост")</f>
        <v/>
      </c>
      <c r="D1429" s="26" t="inlineStr">
        <is>
          <t>Ярмарки, фестивали и благотворительные базары</t>
        </is>
      </c>
      <c r="E1429" s="26" t="inlineStr">
        <is>
          <t>Ярмарки, фестивали и благотворительные базары</t>
        </is>
      </c>
      <c r="F1429" s="26" t="inlineStr">
        <is>
          <t>Дети и семьи (в т.ч. приёмные семьи и программа в Беслане)</t>
        </is>
      </c>
      <c r="G1429" s="26" t="inlineStr">
        <is>
          <t>Беслан</t>
        </is>
      </c>
      <c r="H1429" s="26" t="inlineStr">
        <is>
          <t>Артистические, музыкальные и спортивно-игровые навыки; Организационные, ивент- и ярмарочные навыки; Мобильность, выездное сопровождение и автоволонтёрство</t>
        </is>
      </c>
      <c r="I1429" s="27" t="inlineStr">
        <is>
          <t>По формату занятия</t>
        </is>
      </c>
      <c r="J1429" s="26" t="inlineStr">
        <is>
          <t>Продолжаем делиться фото с нашего благотворительного бала 9 ноября, очень уж они красивые. Большая часть средств была пожертвована гостями в ходе соревнования в альтруизме во время благотворительного аукциона работ, созданных в студии. А один из лотов – мозаичное панно с клоунам ...</t>
        </is>
      </c>
    </row>
    <row r="1430" ht="30" customHeight="1">
      <c r="A1430" s="28" t="n">
        <v>2873</v>
      </c>
      <c r="B1430" s="29" t="inlineStr">
        <is>
          <t>2017-11-14</t>
        </is>
      </c>
      <c r="C1430" s="30">
        <f>HYPERLINK("https://vk.com/wall-1825701_2873", "Открыть пост")</f>
        <v/>
      </c>
      <c r="D1430" s="31" t="inlineStr">
        <is>
          <t>Ярмарки, фестивали и благотворительные базары</t>
        </is>
      </c>
      <c r="E1430" s="31" t="inlineStr">
        <is>
          <t>Ярмарки, фестивали и благотворительные базары</t>
        </is>
      </c>
      <c r="F1430" s="31" t="inlineStr">
        <is>
          <t>Подростки и взрослые с ментальными особенностями и ОВЗ (ПНИ / Социальные дома)</t>
        </is>
      </c>
      <c r="G1430" s="31" t="inlineStr">
        <is>
          <t>Студия фонда / выездная площадка</t>
        </is>
      </c>
      <c r="H1430" s="31" t="inlineStr">
        <is>
          <t>Организационные, ивент- и ярмарочные навыки</t>
        </is>
      </c>
      <c r="I1430" s="32" t="inlineStr">
        <is>
          <t>По формату занятия</t>
        </is>
      </c>
      <c r="J1430" s="31" t="inlineStr">
        <is>
          <t>Шары, расписанные вручную, а значит, неповторимые и эксклюзивные, от Серёжи Комова из ПНИ 16 на самой большой новогодней благотворительной ярмарке — Душевном Bazar'e 10 декабря в Гостином дворе — ждать осталось недолго.</t>
        </is>
      </c>
    </row>
    <row r="1431" ht="30" customHeight="1">
      <c r="A1431" s="23" t="n">
        <v>2872</v>
      </c>
      <c r="B1431" s="24" t="inlineStr">
        <is>
          <t>2017-11-13</t>
        </is>
      </c>
      <c r="C1431" s="25">
        <f>HYPERLINK("https://vk.com/wall-1825701_2872", "Открыть пост")</f>
        <v/>
      </c>
      <c r="D1431" s="26" t="inlineStr">
        <is>
          <t>Выставки, экскурсии и культурные выходы</t>
        </is>
      </c>
      <c r="E1431" s="26" t="inlineStr">
        <is>
          <t>Выставки, экскурсии и культурные выходы</t>
        </is>
      </c>
      <c r="F1431" s="26" t="inlineStr">
        <is>
          <t>Подростки и взрослые с ментальными особенностями и ОВЗ (ПНИ / Социальные дома)</t>
        </is>
      </c>
      <c r="G1431" s="26" t="inlineStr">
        <is>
          <t>Студия фонда / выездная площадка</t>
        </is>
      </c>
      <c r="H1431" s="26" t="inlineStr">
        <is>
          <t>Коммуникативные навыки, эмпатия и тьюторское сопровождение</t>
        </is>
      </c>
      <c r="I1431" s="27" t="inlineStr">
        <is>
          <t>Да (в тексте)</t>
        </is>
      </c>
      <c r="J1431" s="26" t="inlineStr">
        <is>
          <t>В Центральном доме художника, где идёт наша выставка, сегодня выходной, так что ребята из ПНИ 11 занимались в студии. Начинаем новые гобелены — дело неспешное, как раз успеем к выставке 2018. Вниманию волонтёров: завтрашние группы — взрослые из ПНИ 16 и дети из 1го интерната зани...</t>
        </is>
      </c>
    </row>
    <row r="1432" ht="30" customHeight="1">
      <c r="A1432" s="28" t="n">
        <v>2870</v>
      </c>
      <c r="B1432" s="29" t="inlineStr">
        <is>
          <t>2017-11-13</t>
        </is>
      </c>
      <c r="C1432" s="30">
        <f>HYPERLINK("https://vk.com/wall-1825701_2870", "Открыть пост")</f>
        <v/>
      </c>
      <c r="D1432" s="31" t="inlineStr">
        <is>
          <t>Выставки, экскурсии и культурные выходы</t>
        </is>
      </c>
      <c r="E1432" s="31" t="inlineStr">
        <is>
          <t>Выставки, экскурсии и культурные выходы</t>
        </is>
      </c>
      <c r="F1432" s="31" t="inlineStr">
        <is>
          <t>Подопечные фонда «Дети Марии» (общая группа детей и подростков)</t>
        </is>
      </c>
      <c r="G1432" s="31" t="inlineStr">
        <is>
          <t>Студия фонда / выездная площадка</t>
        </is>
      </c>
      <c r="H1432" s="31" t="inlineStr">
        <is>
          <t>Коммуникативные навыки, эмпатия и тьюторское сопровождение</t>
        </is>
      </c>
      <c r="I1432" s="32" t="inlineStr">
        <is>
          <t>По формату занятия</t>
        </is>
      </c>
      <c r="J1432" s="31" t="inlineStr">
        <is>
          <t>В воскресенье в ЦДХ, прямо в зале с нашей выставкой занимались семьи с детьми, перенесшими онкогематологические заболевания, подопечные АНО «Дети». Посмотрели и нашу выставку, и другие, вдохновились и вон какие шедевры нарисовали! А сегодня в ЦДХ выходной. Приходите завтра!</t>
        </is>
      </c>
    </row>
    <row r="1433" ht="30" customHeight="1">
      <c r="A1433" s="23" t="n">
        <v>2866</v>
      </c>
      <c r="B1433" s="24" t="inlineStr">
        <is>
          <t>2017-11-12</t>
        </is>
      </c>
      <c r="C1433" s="25">
        <f>HYPERLINK("https://vk.com/wall-1825701_2866", "Открыть пост")</f>
        <v/>
      </c>
      <c r="D1433" s="26" t="inlineStr">
        <is>
          <t>Спектакли, концерты и музыкально-театральные занятия</t>
        </is>
      </c>
      <c r="E1433" s="26" t="inlineStr">
        <is>
          <t>Спектакли, концерты и музыкально-театральные занятия</t>
        </is>
      </c>
      <c r="F1433" s="26" t="inlineStr">
        <is>
          <t>Воспитанники ЦССВ, ДДИ и детских домов-интернатов</t>
        </is>
      </c>
      <c r="G1433" s="26" t="inlineStr">
        <is>
          <t>Студия фонда / выездная площадка</t>
        </is>
      </c>
      <c r="H1433" s="26" t="inlineStr">
        <is>
          <t>Артистические, музыкальные и спортивно-игровые навыки; Педагогические и наставнические навыки (кулинария, быт, учёба); Мобильность, выездное сопровождение и автоволонтёрство</t>
        </is>
      </c>
      <c r="I1433" s="27" t="inlineStr">
        <is>
          <t>Да (в тексте)</t>
        </is>
      </c>
      <c r="J1433" s="26" t="inlineStr">
        <is>
          <t>Репортаж нашего волонтёра Олега Фогеля о поездке с клоунами в Сергиево-Посадский детский дом для слепоглухих детей: «Вчера клоуны ездили в Сергиев Посад — в интернат для слепоглухих. Это любимый мой интернат — уникальные дети, уникальные воспитатели, уникальные методики обучения....</t>
        </is>
      </c>
    </row>
    <row r="1434" ht="30" customHeight="1">
      <c r="A1434" s="28" t="n">
        <v>2865</v>
      </c>
      <c r="B1434" s="29" t="inlineStr">
        <is>
          <t>2017-11-12</t>
        </is>
      </c>
      <c r="C1434" s="30">
        <f>HYPERLINK("https://vk.com/wall-1825701_2865", "Открыть пост")</f>
        <v/>
      </c>
      <c r="D1434" s="31" t="inlineStr">
        <is>
          <t>Выставки, экскурсии и культурные выходы</t>
        </is>
      </c>
      <c r="E1434" s="31" t="inlineStr">
        <is>
          <t>Выставки, экскурсии и культурные выходы</t>
        </is>
      </c>
      <c r="F1434" s="31" t="inlineStr">
        <is>
          <t>Подопечные фонда «Дети Марии» (общая группа детей и подростков)</t>
        </is>
      </c>
      <c r="G1434" s="31" t="inlineStr">
        <is>
          <t>Студия фонда / выездная площадка</t>
        </is>
      </c>
      <c r="H1434" s="31" t="inlineStr">
        <is>
          <t>Коммуникативные навыки, эмпатия и тьюторское сопровождение</t>
        </is>
      </c>
      <c r="I1434" s="32" t="inlineStr">
        <is>
          <t>По формату занятия</t>
        </is>
      </c>
      <c r="J1434" s="31" t="inlineStr">
        <is>
          <t>Наша выставка продолжается. Особо понравившиеся работы вы можете купить. А ещё на выставке продаются сувениры с картинами наших ребят — открытки, календари, магниты, сумки, пазлы и кубики-трансформеры.</t>
        </is>
      </c>
    </row>
    <row r="1435" ht="30" customHeight="1">
      <c r="A1435" s="23" t="n">
        <v>2860</v>
      </c>
      <c r="B1435" s="24" t="inlineStr">
        <is>
          <t>2017-11-10</t>
        </is>
      </c>
      <c r="C1435" s="25">
        <f>HYPERLINK("https://vk.com/wall-1825701_2860", "Открыть пост")</f>
        <v/>
      </c>
      <c r="D1435" s="26" t="inlineStr">
        <is>
          <t>Выставки, экскурсии и культурные выходы</t>
        </is>
      </c>
      <c r="E1435" s="26" t="inlineStr">
        <is>
          <t>Выставки, экскурсии и культурные выходы; Творческие мастер-классы и художественные студии</t>
        </is>
      </c>
      <c r="F1435" s="26" t="inlineStr">
        <is>
          <t>Подростки и взрослые с ментальными особенностями и ОВЗ (ПНИ / Социальные дома)</t>
        </is>
      </c>
      <c r="G1435" s="26" t="inlineStr">
        <is>
          <t>Студия фонда / выездная площадка</t>
        </is>
      </c>
      <c r="H1435" s="26" t="inlineStr">
        <is>
          <t>Художественно-прикладные и ремесленные навыки</t>
        </is>
      </c>
      <c r="I1435" s="27" t="inlineStr">
        <is>
          <t>По формату занятия</t>
        </is>
      </c>
      <c r="J1435" s="26" t="inlineStr">
        <is>
          <t>Наша выставка в ЦДХ продолжается до 19 ноября, в зале №19, приглашаем! Из ПНИ 16 к нам приезжает много ребят, так что сегодня на выставке побывали те, кто на ней ещё не был. Осмотрели всю экспозицию, порадовались, найдя свои картины, рисовали новогодние открытки прямо в зале выст...</t>
        </is>
      </c>
    </row>
    <row r="1436" ht="30" customHeight="1">
      <c r="A1436" s="28" t="n">
        <v>2859</v>
      </c>
      <c r="B1436" s="29" t="inlineStr">
        <is>
          <t>2017-11-10</t>
        </is>
      </c>
      <c r="C1436" s="30">
        <f>HYPERLINK("https://vk.com/wall-1825701_2859", "Открыть пост")</f>
        <v/>
      </c>
      <c r="D1436" s="31" t="inlineStr">
        <is>
          <t>Выставки, экскурсии и культурные выходы</t>
        </is>
      </c>
      <c r="E1436" s="31" t="inlineStr">
        <is>
          <t>Выставки, экскурсии и культурные выходы</t>
        </is>
      </c>
      <c r="F1436" s="31" t="inlineStr">
        <is>
          <t>Подростки и взрослые с ментальными особенностями и ОВЗ (ПНИ / Социальные дома)</t>
        </is>
      </c>
      <c r="G1436" s="31" t="inlineStr">
        <is>
          <t>Студия фонда / выездная площадка</t>
        </is>
      </c>
      <c r="H1436" s="31" t="inlineStr">
        <is>
          <t>Мобильность, выездное сопровождение и автоволонтёрство</t>
        </is>
      </c>
      <c r="I1436" s="32" t="inlineStr">
        <is>
          <t>По формату занятия</t>
        </is>
      </c>
      <c r="J1436" s="31" t="inlineStr">
        <is>
          <t>Ещё два дня незрячих Андрей Савельев из ПНИ 16 вместе с нашим соцпедагогом Аллой Тягуновой будет набираться сил в пансионате для слепых в Малино. Он увезёт с собой незабываемые впечатления, тёплые воспоминания о новых друзьях, модную стрижку и подарки для ребят из ПНИ 16. Андрей ...</t>
        </is>
      </c>
    </row>
    <row r="1437" ht="30" customHeight="1">
      <c r="A1437" s="23" t="n">
        <v>2856</v>
      </c>
      <c r="B1437" s="24" t="inlineStr">
        <is>
          <t>2017-11-07</t>
        </is>
      </c>
      <c r="C1437" s="25">
        <f>HYPERLINK("https://vk.com/wall-1825701_2856", "Открыть пост")</f>
        <v/>
      </c>
      <c r="D1437" s="26" t="inlineStr">
        <is>
          <t>Спектакли, концерты и музыкально-театральные занятия</t>
        </is>
      </c>
      <c r="E1437" s="26" t="inlineStr">
        <is>
          <t>Спектакли, концерты и музыкально-театральные занятия; Творческие мастер-классы и художественные студии</t>
        </is>
      </c>
      <c r="F1437" s="26" t="inlineStr">
        <is>
          <t>Воспитанники ЦССВ, ДДИ и детских домов-интернатов</t>
        </is>
      </c>
      <c r="G1437" s="26" t="inlineStr">
        <is>
          <t>ЦССВ «Спутник»</t>
        </is>
      </c>
      <c r="H1437" s="26" t="inlineStr">
        <is>
          <t>Художественно-прикладные и ремесленные навыки; Артистические, музыкальные и спортивно-игровые навыки; Организационные, ивент- и ярмарочные навыки</t>
        </is>
      </c>
      <c r="I1437" s="27" t="inlineStr">
        <is>
          <t>По формату занятия</t>
        </is>
      </c>
      <c r="J1437" s="26" t="inlineStr">
        <is>
          <t>Фото с сегодняшнего праздника в ЦДХ: авторы с гордостью позируют для фото у своих работ; Пэтч удивляется тому, как выросли дети; те, что ещё не выросли тоже клоуничают; незрячий Андрей Савельев ощупывает керамику, а картины просит ему описать; Лёша Ждамиров ведёт концерт; к фурше...</t>
        </is>
      </c>
    </row>
    <row r="1438" ht="30" customHeight="1">
      <c r="A1438" s="28" t="n">
        <v>2855</v>
      </c>
      <c r="B1438" s="29" t="inlineStr">
        <is>
          <t>2017-11-06</t>
        </is>
      </c>
      <c r="C1438" s="30">
        <f>HYPERLINK("https://vk.com/wall-1825701_2855", "Открыть пост")</f>
        <v/>
      </c>
      <c r="D1438" s="31" t="inlineStr">
        <is>
          <t>Выставки, экскурсии и культурные выходы</t>
        </is>
      </c>
      <c r="E1438" s="31" t="inlineStr">
        <is>
          <t>Выставки, экскурсии и культурные выходы</t>
        </is>
      </c>
      <c r="F1438" s="31" t="inlineStr">
        <is>
          <t>Подопечные фонда «Дети Марии» (общая группа детей и подростков)</t>
        </is>
      </c>
      <c r="G1438" s="31" t="inlineStr">
        <is>
          <t>Студия фонда / выездная площадка</t>
        </is>
      </c>
      <c r="H1438" s="31" t="inlineStr">
        <is>
          <t>Артистические, музыкальные и спортивно-игровые навыки; Организационные, ивент- и ярмарочные навыки</t>
        </is>
      </c>
      <c r="I1438" s="32" t="inlineStr">
        <is>
          <t>Да (в тексте)</t>
        </is>
      </c>
      <c r="J1438" s="31" t="inlineStr">
        <is>
          <t>Завтра у нас на выставке в ЦДХ праздник с участием всех детей и клоунов, волонтёров и друзей. Начало в 16:00.</t>
        </is>
      </c>
    </row>
    <row r="1439" ht="30" customHeight="1">
      <c r="A1439" s="23" t="n">
        <v>2854</v>
      </c>
      <c r="B1439" s="24" t="inlineStr">
        <is>
          <t>2017-11-05</t>
        </is>
      </c>
      <c r="C1439" s="25">
        <f>HYPERLINK("https://vk.com/wall-1825701_2854", "Открыть пост")</f>
        <v/>
      </c>
      <c r="D1439" s="26" t="inlineStr">
        <is>
          <t>Ярмарки, фестивали и благотворительные базары</t>
        </is>
      </c>
      <c r="E1439" s="26" t="inlineStr">
        <is>
          <t>Ярмарки, фестивали и благотворительные базары; Выставки, экскурсии и культурные выходы</t>
        </is>
      </c>
      <c r="F1439" s="26" t="inlineStr">
        <is>
          <t>Подопечные фонда «Дети Марии» (общая группа детей и подростков)</t>
        </is>
      </c>
      <c r="G1439" s="26" t="inlineStr">
        <is>
          <t>Студия фонда / выездная площадка</t>
        </is>
      </c>
      <c r="H1439" s="26" t="inlineStr">
        <is>
          <t>Коммуникативные навыки, эмпатия и тьюторское сопровождение; Артистические, музыкальные и спортивно-игровые навыки; Организационные, ивент- и ярмарочные навыки</t>
        </is>
      </c>
      <c r="I1439" s="27" t="inlineStr">
        <is>
          <t>По формату занятия</t>
        </is>
      </c>
      <c r="J1439" s="26" t="inlineStr">
        <is>
          <t>Ежегодный благотворительный бал «Художественного центра «Дети Марии» и фонда «Пеликан» состоится 9 ноября! Это уже седьмой наш бал, благодаря которому собирается значительная часть нашего бюджета. Осталось немного мест для участия в этом вечере. В программе — выставка работ, ужин...</t>
        </is>
      </c>
    </row>
    <row r="1440" ht="30" customHeight="1">
      <c r="A1440" s="28" t="n">
        <v>2852</v>
      </c>
      <c r="B1440" s="29" t="inlineStr">
        <is>
          <t>2017-11-05</t>
        </is>
      </c>
      <c r="C1440" s="30">
        <f>HYPERLINK("https://vk.com/wall-1825701_2852", "Открыть пост")</f>
        <v/>
      </c>
      <c r="D1440" s="31" t="inlineStr">
        <is>
          <t>Выставки, экскурсии и культурные выходы</t>
        </is>
      </c>
      <c r="E1440" s="31" t="inlineStr">
        <is>
          <t>Выставки, экскурсии и культурные выходы; Праздники, дни рождения и клубные встречи</t>
        </is>
      </c>
      <c r="F1440" s="31" t="inlineStr">
        <is>
          <t>Подростки и взрослые с ментальными особенностями и ОВЗ (ПНИ / Социальные дома)</t>
        </is>
      </c>
      <c r="G1440" s="31" t="inlineStr">
        <is>
          <t>Студия фонда / выездная площадка</t>
        </is>
      </c>
      <c r="H1440" s="31" t="inlineStr">
        <is>
          <t>Артистические, музыкальные и спортивно-игровые навыки; Мобильность, выездное сопровождение и автоволонтёрство</t>
        </is>
      </c>
      <c r="I1440" s="32" t="inlineStr">
        <is>
          <t>По формату занятия</t>
        </is>
      </c>
      <c r="J1440" s="31" t="inlineStr">
        <is>
          <t>Хотим рассказать вам, как Андрей Савельев из ПНИ 16 проводит свой «отпуск» в пансионате для слепых в Малино. Каждый день ему делают лечебный массаж, потом полчаса в соляной пещере и кислородный коктейль. Вместе с нашим соцпедагогом Аллой Тягуновой Андрей гуляет, играет в теннис, ...</t>
        </is>
      </c>
    </row>
    <row r="1441" ht="30" customHeight="1">
      <c r="A1441" s="23" t="n">
        <v>2849</v>
      </c>
      <c r="B1441" s="24" t="inlineStr">
        <is>
          <t>2017-11-05</t>
        </is>
      </c>
      <c r="C1441" s="25">
        <f>HYPERLINK("https://vk.com/wall-1825701_2849", "Открыть пост")</f>
        <v/>
      </c>
      <c r="D1441" s="26" t="inlineStr">
        <is>
          <t>Творческие мастер-классы и художественные студии</t>
        </is>
      </c>
      <c r="E1441" s="26" t="inlineStr">
        <is>
          <t>Творческие мастер-классы и художественные студии</t>
        </is>
      </c>
      <c r="F1441" s="26" t="inlineStr">
        <is>
          <t>Подростки и взрослые с ментальными особенностями и ОВЗ (ПНИ / Социальные дома)</t>
        </is>
      </c>
      <c r="G1441" s="26" t="inlineStr">
        <is>
          <t>Студия фонда / выездная площадка</t>
        </is>
      </c>
      <c r="H1441" s="26" t="inlineStr">
        <is>
          <t>Коммуникативные навыки, эмпатия и тьюторское сопровождение</t>
        </is>
      </c>
      <c r="I1441" s="27" t="inlineStr">
        <is>
          <t>Да (в тексте)</t>
        </is>
      </c>
      <c r="J1441" s="26" t="inlineStr">
        <is>
          <t>Наш волонтёр Ира поделилась своим пониманием того, что дают занятия в студии: «Ребята, особенно из ПНИ, получают возможность выезжать и чувствовать себя нормальными людьми, как бы в кругу семьи даже. То есть у них появляется уверенность в том, что кто-то где-то их любит и ждёт, и...</t>
        </is>
      </c>
    </row>
    <row r="1442" ht="30" customHeight="1">
      <c r="A1442" s="28" t="n">
        <v>2848</v>
      </c>
      <c r="B1442" s="29" t="inlineStr">
        <is>
          <t>2017-11-05</t>
        </is>
      </c>
      <c r="C1442" s="30">
        <f>HYPERLINK("https://vk.com/wall-1825701_2848", "Открыть пост")</f>
        <v/>
      </c>
      <c r="D1442" s="31" t="inlineStr">
        <is>
          <t>Творческие мастер-классы и художественные студии</t>
        </is>
      </c>
      <c r="E1442" s="31" t="inlineStr">
        <is>
          <t>Творческие мастер-классы и художественные студии; Выездные лагеря, дача и сезонные программы</t>
        </is>
      </c>
      <c r="F1442" s="31" t="inlineStr">
        <is>
          <t>Воспитанники ЦССВ, ДДИ и детских домов-интернатов</t>
        </is>
      </c>
      <c r="G1442" s="31" t="inlineStr">
        <is>
          <t>ЦССВ «Спутник»</t>
        </is>
      </c>
      <c r="H1442" s="31" t="inlineStr">
        <is>
          <t>Художественно-прикладные и ремесленные навыки</t>
        </is>
      </c>
      <c r="I1442" s="32" t="inlineStr">
        <is>
          <t>По формату занятия</t>
        </is>
      </c>
      <c r="J1442" s="31" t="inlineStr">
        <is>
          <t>Как долго длится день в детстве! И чем ты младше, тем это заметнее. Пока те, что постарше, занимались керамикой и мозаикой, Максим успел порисовать, погулять, поиграть на пианино, снова порисовать... Дети из ЦССВ «Спутник» в загородных мастерских.</t>
        </is>
      </c>
    </row>
    <row r="1443" ht="30" customHeight="1">
      <c r="A1443" s="23" t="n">
        <v>2847</v>
      </c>
      <c r="B1443" s="24" t="inlineStr">
        <is>
          <t>2017-11-04</t>
        </is>
      </c>
      <c r="C1443" s="25">
        <f>HYPERLINK("https://vk.com/wall-1825701_2847", "Открыть пост")</f>
        <v/>
      </c>
      <c r="D1443" s="26" t="inlineStr">
        <is>
          <t>Творческие мастер-классы и художественные студии</t>
        </is>
      </c>
      <c r="E1443" s="26" t="inlineStr">
        <is>
          <t>Творческие мастер-классы и художественные студии</t>
        </is>
      </c>
      <c r="F1443" s="26" t="inlineStr">
        <is>
          <t>Подопечные фонда «Дети Марии» (общая группа детей и подростков)</t>
        </is>
      </c>
      <c r="G1443" s="26" t="inlineStr">
        <is>
          <t>Студия фонда / выездная площадка</t>
        </is>
      </c>
      <c r="H1443" s="26" t="inlineStr">
        <is>
          <t>Артистические, музыкальные и спортивно-игровые навыки</t>
        </is>
      </c>
      <c r="I1443" s="27" t="inlineStr">
        <is>
          <t>Да (в тексте)</t>
        </is>
      </c>
      <c r="J1443" s="26" t="inlineStr">
        <is>
          <t>Пришли сегодня соседские дети на занятия в студию, что само по себе уже приятно, а тут их ждёт сюрприз, даже два. Наш любимый друг, волонтёр, клоун из Канады Гийом уже прилетел на клоунскую неделю в Москву и сразу поспешил к детям, да не один, а со своей подругой Лори, тоже из Ка...</t>
        </is>
      </c>
    </row>
    <row r="1444" ht="30" customHeight="1">
      <c r="A1444" s="28" t="n">
        <v>2839</v>
      </c>
      <c r="B1444" s="29" t="inlineStr">
        <is>
          <t>2017-11-01</t>
        </is>
      </c>
      <c r="C1444" s="30">
        <f>HYPERLINK("https://vk.com/wall-1825701_2839", "Открыть пост")</f>
        <v/>
      </c>
      <c r="D1444" s="31" t="inlineStr">
        <is>
          <t>Творческие мастер-классы и художественные студии</t>
        </is>
      </c>
      <c r="E1444" s="31" t="inlineStr">
        <is>
          <t>Творческие мастер-классы и художественные студии</t>
        </is>
      </c>
      <c r="F1444" s="31" t="inlineStr">
        <is>
          <t>Воспитанники ЦССВ, ДДИ и детских домов-интернатов</t>
        </is>
      </c>
      <c r="G1444" s="31" t="inlineStr">
        <is>
          <t>ЦССВ «Юнона»</t>
        </is>
      </c>
      <c r="H1444" s="31" t="inlineStr">
        <is>
          <t>Художественно-прикладные и ремесленные навыки; Артистические, музыкальные и спортивно-игровые навыки</t>
        </is>
      </c>
      <c r="I1444" s="32" t="inlineStr">
        <is>
          <t>Да (в тексте)</t>
        </is>
      </c>
      <c r="J1444" s="31" t="inlineStr">
        <is>
          <t>Сегодня в студии к детям из ЦССВ «Юнона» присоединились ребята, которых из этого детского дома перевели уже во взрослый интернат. Очень хорошо встретились они, соскучились, старшие мальчики помогли приготовить пирог для младших детей. Наш новый волонтёр Кира попробовала с ребятам...</t>
        </is>
      </c>
    </row>
    <row r="1445" ht="30" customHeight="1">
      <c r="A1445" s="23" t="n">
        <v>2831</v>
      </c>
      <c r="B1445" s="24" t="inlineStr">
        <is>
          <t>2017-10-31</t>
        </is>
      </c>
      <c r="C1445" s="25">
        <f>HYPERLINK("https://vk.com/wall-1825701_2831", "Открыть пост")</f>
        <v/>
      </c>
      <c r="D1445" s="26" t="inlineStr">
        <is>
          <t>Творческие мастер-классы и художественные студии</t>
        </is>
      </c>
      <c r="E1445" s="26" t="inlineStr">
        <is>
          <t>Творческие мастер-классы и художественные студии</t>
        </is>
      </c>
      <c r="F1445" s="26" t="inlineStr">
        <is>
          <t>Подростки и взрослые с ментальными особенностями и ОВЗ (ПНИ / Социальные дома)</t>
        </is>
      </c>
      <c r="G1445" s="26" t="inlineStr">
        <is>
          <t>Студия фонда / выездная площадка</t>
        </is>
      </c>
      <c r="H1445"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t>
        </is>
      </c>
      <c r="I1445" s="27" t="inlineStr">
        <is>
          <t>По формату занятия</t>
        </is>
      </c>
      <c r="J1445" s="26" t="inlineStr">
        <is>
          <t>«Только песня остаётся с человеком, Песня — верный друг твой навсегда»... С этим утверждением согласен Игорь из ПНИ 11, музыка и песни очень его поддерживают и наполняют жизнь. Других ребят радуют занятия керамикой. А вы что любите делать, чтобы почувствовать себя счастливее?</t>
        </is>
      </c>
    </row>
    <row r="1446" ht="30" customHeight="1">
      <c r="A1446" s="28" t="n">
        <v>2827</v>
      </c>
      <c r="B1446" s="29" t="inlineStr">
        <is>
          <t>2017-10-29</t>
        </is>
      </c>
      <c r="C1446" s="30">
        <f>HYPERLINK("https://vk.com/wall-1825701_2827", "Открыть пост")</f>
        <v/>
      </c>
      <c r="D1446" s="31" t="inlineStr">
        <is>
          <t>Творческие мастер-классы и художественные студии</t>
        </is>
      </c>
      <c r="E1446" s="31" t="inlineStr">
        <is>
          <t>Творческие мастер-классы и художественные студии; Выездные лагеря, дача и сезонные программы</t>
        </is>
      </c>
      <c r="F1446" s="31" t="inlineStr">
        <is>
          <t>Воспитанники ЦССВ, ДДИ и детских домов-интернатов</t>
        </is>
      </c>
      <c r="G1446" s="31" t="inlineStr">
        <is>
          <t>ЦССВ «Спутник»</t>
        </is>
      </c>
      <c r="H1446" s="31" t="inlineStr">
        <is>
          <t>Художественно-прикладные и ремесленные навыки</t>
        </is>
      </c>
      <c r="I1446" s="32" t="inlineStr">
        <is>
          <t>По формату занятия</t>
        </is>
      </c>
      <c r="J1446" s="31" t="inlineStr">
        <is>
          <t>Девчонки все решили лепить. Увлеклись так, что и на фото не отвлекаются. Мальчики предпочли занятия мозаикой, тоже погружены в процесс. Дети из ЦССВ «Спутник» в загородных мастерских.</t>
        </is>
      </c>
    </row>
    <row r="1447" ht="30" customHeight="1">
      <c r="A1447" s="23" t="n">
        <v>2821</v>
      </c>
      <c r="B1447" s="24" t="inlineStr">
        <is>
          <t>2017-10-28</t>
        </is>
      </c>
      <c r="C1447" s="25">
        <f>HYPERLINK("https://vk.com/wall-1825701_2821", "Открыть пост")</f>
        <v/>
      </c>
      <c r="D1447" s="26" t="inlineStr">
        <is>
          <t>Кулинарные, образовательные и социально-бытовые занятия</t>
        </is>
      </c>
      <c r="E1447" s="26" t="inlineStr">
        <is>
          <t>Кулинарные, образовательные и социально-бытовые занятия; Творческие мастер-классы и художественные студии</t>
        </is>
      </c>
      <c r="F1447" s="26" t="inlineStr">
        <is>
          <t>Подростки и взрослые с ментальными особенностями и ОВЗ (ПНИ / Социальные дома)</t>
        </is>
      </c>
      <c r="G1447" s="26" t="inlineStr">
        <is>
          <t>Студия фонда / выездная площадка</t>
        </is>
      </c>
      <c r="H1447" s="26" t="inlineStr">
        <is>
          <t>Художественно-прикладные и ремесленные навыки; Педагогические и наставнические навыки (кулинария, быт, учёба)</t>
        </is>
      </c>
      <c r="I1447" s="27" t="inlineStr">
        <is>
          <t>Да (в тексте)</t>
        </is>
      </c>
      <c r="J1447" s="26" t="inlineStr">
        <is>
          <t>Сеанс кулинарной магии с последующим угощением и тех, кто готовил, и тех, кто в это время рисовал-лепил-валял-музицировал. Кулинарными волшебницами были волонтёры Анна и Ирина, учились у них ребята из ПНИ 16. А на столе у нас — тыквенный суп-пюре и сырный пирог. Так приятно, когд...</t>
        </is>
      </c>
    </row>
    <row r="1448" ht="30" customHeight="1">
      <c r="A1448" s="28" t="n">
        <v>2804</v>
      </c>
      <c r="B1448" s="29" t="inlineStr">
        <is>
          <t>2017-10-23</t>
        </is>
      </c>
      <c r="C1448" s="30">
        <f>HYPERLINK("https://vk.com/wall-1825701_2804", "Открыть пост")</f>
        <v/>
      </c>
      <c r="D1448" s="31" t="inlineStr">
        <is>
          <t>Праздники, дни рождения и клубные встречи</t>
        </is>
      </c>
      <c r="E1448" s="31" t="inlineStr">
        <is>
          <t>Праздники, дни рождения и клубные встречи</t>
        </is>
      </c>
      <c r="F1448" s="31" t="inlineStr">
        <is>
          <t>Подростки и взрослые с ментальными особенностями и ОВЗ (ПНИ / Социальные дома)</t>
        </is>
      </c>
      <c r="G1448" s="31" t="inlineStr">
        <is>
          <t>Студия фонда / выездная площадка</t>
        </is>
      </c>
      <c r="H1448" s="31" t="inlineStr">
        <is>
          <t>Организационные, ивент- и ярмарочные навыки; Медиа, фото/видеосъёмка и культурная медиация</t>
        </is>
      </c>
      <c r="I1448" s="32" t="inlineStr">
        <is>
          <t>По формату занятия</t>
        </is>
      </c>
      <c r="J1448" s="31" t="inlineStr">
        <is>
          <t>Когда приезжают ребята из ПНИ 11, в студии всегда очень людно, сегодня, кажется было человек 20, но все как-то сразу находят себе дело. Они и взрослые, и одновременно, дети — очень рады, когда их работы хвалят и фотографируют. Старшим у них Лёня, он следит, чтобы все вовремя зако...</t>
        </is>
      </c>
    </row>
    <row r="1449" ht="30" customHeight="1">
      <c r="A1449" s="23" t="n">
        <v>2802</v>
      </c>
      <c r="B1449" s="24" t="inlineStr">
        <is>
          <t>2017-10-22</t>
        </is>
      </c>
      <c r="C1449" s="25">
        <f>HYPERLINK("https://vk.com/wall-1825701_2802", "Открыть пост")</f>
        <v/>
      </c>
      <c r="D1449" s="26" t="inlineStr">
        <is>
          <t>Творческие мастер-классы и художественные студии</t>
        </is>
      </c>
      <c r="E1449" s="26" t="inlineStr">
        <is>
          <t>Творческие мастер-классы и художественные студии; Выездные лагеря, дача и сезонные программы</t>
        </is>
      </c>
      <c r="F1449" s="26" t="inlineStr">
        <is>
          <t>Воспитанники ЦССВ, ДДИ и детских домов-интернатов</t>
        </is>
      </c>
      <c r="G1449" s="26" t="inlineStr">
        <is>
          <t>ЦССВ «Спутник»</t>
        </is>
      </c>
      <c r="H1449" s="26" t="inlineStr">
        <is>
          <t>Художественно-прикладные и ремесленные навыки; Артистические, музыкальные и спортивно-игровые навыки; Мобильность, выездное сопровождение и автоволонтёрство</t>
        </is>
      </c>
      <c r="I1449" s="27" t="inlineStr">
        <is>
          <t>По формату занятия</t>
        </is>
      </c>
      <c r="J1449" s="26" t="inlineStr">
        <is>
          <t>По воскресеньям в студии две группы — из ЦССВ «Спутник» и из АНО «Дети», сегодня они пересеклись и даже частично перемешались, так что незнакомые прежде Галя и Оля пели дуэтом. За лепкой и рисованием мы обычно говорим о разном, сегодня морская картина навеяла воспоминания о летне...</t>
        </is>
      </c>
    </row>
    <row r="1450" ht="30" customHeight="1">
      <c r="A1450" s="28" t="n">
        <v>2801</v>
      </c>
      <c r="B1450" s="29" t="inlineStr">
        <is>
          <t>2017-10-22</t>
        </is>
      </c>
      <c r="C1450" s="30">
        <f>HYPERLINK("https://vk.com/wall-1825701_2801", "Открыть пост")</f>
        <v/>
      </c>
      <c r="D1450" s="31" t="inlineStr">
        <is>
          <t>Выставки, экскурсии и культурные выходы</t>
        </is>
      </c>
      <c r="E1450" s="31" t="inlineStr">
        <is>
          <t>Выставки, экскурсии и культурные выходы; Творческие мастер-классы и художественные студии</t>
        </is>
      </c>
      <c r="F1450" s="31" t="inlineStr">
        <is>
          <t>Подопечные фонда «Дети Марии» (общая группа детей и подростков)</t>
        </is>
      </c>
      <c r="G1450" s="31" t="inlineStr">
        <is>
          <t>Студия фонда / выездная площадка</t>
        </is>
      </c>
      <c r="H1450" s="31"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t>
        </is>
      </c>
      <c r="I1450" s="32" t="inlineStr">
        <is>
          <t>По формату занятия</t>
        </is>
      </c>
      <c r="J1450" s="31" t="inlineStr">
        <is>
          <t>На занятии с детьми из окрестных домов вовсю готовимся к выставке — завершаем морскую коллективную картину. Марк с папой у нас впервые, оказалось, рисовать невиданных рыб — это самое то для первого раза! Тема Изумрудного города продолжается, рисуем персонажей — Элли, Льва, Страши...</t>
        </is>
      </c>
    </row>
    <row r="1451" ht="30" customHeight="1">
      <c r="A1451" s="23" t="n">
        <v>2783</v>
      </c>
      <c r="B1451" s="24" t="inlineStr">
        <is>
          <t>2017-10-17</t>
        </is>
      </c>
      <c r="C1451" s="25">
        <f>HYPERLINK("https://vk.com/wall-1825701_2783", "Открыть пост")</f>
        <v/>
      </c>
      <c r="D1451" s="26" t="inlineStr">
        <is>
          <t>Творческие мастер-классы и художественные студии</t>
        </is>
      </c>
      <c r="E1451" s="26" t="inlineStr">
        <is>
          <t>Творческие мастер-классы и художественные студии</t>
        </is>
      </c>
      <c r="F1451" s="26" t="inlineStr">
        <is>
          <t>Подростки и взрослые с ментальными особенностями и ОВЗ (ПНИ / Социальные дома)</t>
        </is>
      </c>
      <c r="G1451" s="26" t="inlineStr">
        <is>
          <t>Студия фонда / выездная площадка</t>
        </is>
      </c>
      <c r="H1451" s="26" t="inlineStr">
        <is>
          <t>Художественно-прикладные и ремесленные навыки; Педагогические и наставнические навыки (кулинария, быт, учёба)</t>
        </is>
      </c>
      <c r="I1451" s="27" t="inlineStr">
        <is>
          <t>По формату занятия</t>
        </is>
      </c>
      <c r="J1451" s="26" t="inlineStr">
        <is>
          <t>Керамика — технологичное искусство, много тонкостей узнают ребята на занятиях. Сейчас изделия высохли, приступаем к росписи ангобами. Девушки из ПНИ 11 и Серёжа Комов. Преподаватель Анна Андреева.</t>
        </is>
      </c>
    </row>
    <row r="1452" ht="30" customHeight="1">
      <c r="A1452" s="28" t="n">
        <v>2779</v>
      </c>
      <c r="B1452" s="29" t="inlineStr">
        <is>
          <t>2017-10-16</t>
        </is>
      </c>
      <c r="C1452" s="30">
        <f>HYPERLINK("https://vk.com/wall-1825701_2779", "Открыть пост")</f>
        <v/>
      </c>
      <c r="D1452" s="31" t="inlineStr">
        <is>
          <t>Творческие мастер-классы и художественные студии</t>
        </is>
      </c>
      <c r="E1452" s="31" t="inlineStr">
        <is>
          <t>Творческие мастер-классы и художественные студии</t>
        </is>
      </c>
      <c r="F1452" s="31" t="inlineStr">
        <is>
          <t>Подопечные фонда «Дети Марии» (общая группа детей и подростков)</t>
        </is>
      </c>
      <c r="G1452" s="31" t="inlineStr">
        <is>
          <t>Студия фонда / выездная площадка</t>
        </is>
      </c>
      <c r="H1452" s="31" t="inlineStr">
        <is>
          <t>Коммуникативные навыки, эмпатия и тьюторское сопровождение</t>
        </is>
      </c>
      <c r="I1452" s="32" t="inlineStr">
        <is>
          <t>По формату занятия</t>
        </is>
      </c>
      <c r="J1452" s="31" t="inlineStr">
        <is>
          <t>Дети, победившие онкологические заболевания, приходят к нам на творческие занятия по воскресеньям вместе с родителями, братьями и сёстрами. Вчера мальчик Серафим подарил всем детям и взрослым вот такие значки со своим рисунком. Мы очень рады за Серафима и других детей-победителей...</t>
        </is>
      </c>
    </row>
    <row r="1453" ht="30" customHeight="1">
      <c r="A1453" s="23" t="n">
        <v>2777</v>
      </c>
      <c r="B1453" s="24" t="inlineStr">
        <is>
          <t>2017-10-15</t>
        </is>
      </c>
      <c r="C1453" s="25">
        <f>HYPERLINK("https://vk.com/wall-1825701_2777", "Открыть пост")</f>
        <v/>
      </c>
      <c r="D1453" s="26" t="inlineStr">
        <is>
          <t>Кулинарные, образовательные и социально-бытовые занятия</t>
        </is>
      </c>
      <c r="E1453" s="26" t="inlineStr">
        <is>
          <t>Кулинарные, образовательные и социально-бытовые занятия</t>
        </is>
      </c>
      <c r="F1453" s="26" t="inlineStr">
        <is>
          <t>Воспитанники ЦССВ, ДДИ и детских домов-интернатов; Выпускники интернатов и детских домов (молодые взрослые)</t>
        </is>
      </c>
      <c r="G1453" s="26" t="inlineStr">
        <is>
          <t>ЦССВ «Спутник»</t>
        </is>
      </c>
      <c r="H1453" s="26" t="inlineStr">
        <is>
          <t>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t>
        </is>
      </c>
      <c r="I1453" s="27" t="inlineStr">
        <is>
          <t>По формату занятия</t>
        </is>
      </c>
      <c r="J1453" s="26" t="inlineStr">
        <is>
          <t>Сегодня прошёл уже пятый День детей в Яндексе. Это традиционный осенний праздник в память об Илье Сегаловиче, в который Яндекс приглашает в гости наших ребят. Сотрудники Яндекса приготовили для детей из ЦССВ «Спутник» и выпускников квест по информационной безопасности. Что такое ...</t>
        </is>
      </c>
    </row>
    <row r="1454" ht="30" customHeight="1">
      <c r="A1454" s="28" t="n">
        <v>2773</v>
      </c>
      <c r="B1454" s="29" t="inlineStr">
        <is>
          <t>2017-10-13</t>
        </is>
      </c>
      <c r="C1454" s="30">
        <f>HYPERLINK("https://vk.com/wall-1825701_2773", "Открыть пост")</f>
        <v/>
      </c>
      <c r="D1454" s="31" t="inlineStr">
        <is>
          <t>Творческие мастер-классы и художественные студии</t>
        </is>
      </c>
      <c r="E1454" s="31" t="inlineStr">
        <is>
          <t>Творческие мастер-классы и художественные студии</t>
        </is>
      </c>
      <c r="F1454" s="31" t="inlineStr">
        <is>
          <t>Подопечные фонда «Дети Марии» (общая группа детей и подростков)</t>
        </is>
      </c>
      <c r="G1454" s="31" t="inlineStr">
        <is>
          <t>Студия фонда / выездная площадка</t>
        </is>
      </c>
      <c r="H1454" s="31" t="inlineStr">
        <is>
          <t>Художественно-прикладные и ремесленные навыки</t>
        </is>
      </c>
      <c r="I1454" s="32" t="inlineStr">
        <is>
          <t>Да (в тексте)</t>
        </is>
      </c>
      <c r="J1454" s="31" t="inlineStr">
        <is>
          <t>Мы продолжаем роспись стены в Научном центре здоровья детей РАМН. Пейзаж в скандинавском стиле — северное море, лодки, чайки, черепичные крыши. Может, на одной из них живёт Карлсон? Приглашаем волонтёров-художников к участию в программе росписи стен.</t>
        </is>
      </c>
    </row>
    <row r="1455" ht="30" customHeight="1">
      <c r="A1455" s="23" t="n">
        <v>2763</v>
      </c>
      <c r="B1455" s="24" t="inlineStr">
        <is>
          <t>2017-10-09</t>
        </is>
      </c>
      <c r="C1455" s="25">
        <f>HYPERLINK("https://vk.com/wall-1825701_2763", "Открыть пост")</f>
        <v/>
      </c>
      <c r="D1455" s="26" t="inlineStr">
        <is>
          <t>Творческие мастер-классы и художественные студии</t>
        </is>
      </c>
      <c r="E1455" s="26" t="inlineStr">
        <is>
          <t>Творческие мастер-классы и художественные студии</t>
        </is>
      </c>
      <c r="F1455" s="26" t="inlineStr">
        <is>
          <t>Подопечные фонда «Дети Марии» (общая группа детей и подростков)</t>
        </is>
      </c>
      <c r="G1455" s="26" t="inlineStr">
        <is>
          <t>Студия фонда / выездная площадка</t>
        </is>
      </c>
      <c r="H1455" s="26" t="inlineStr">
        <is>
          <t>Художественно-прикладные и ремесленные навыки</t>
        </is>
      </c>
      <c r="I1455" s="27" t="inlineStr">
        <is>
          <t>По формату занятия</t>
        </is>
      </c>
      <c r="J1455" s="26" t="inlineStr">
        <is>
          <t>Сегодня Алла Харютина привезла к нам знакомиться новых деток и их семьи. Семейно участвовать в занятиях — это «фишка» АНО «Дети». Не только совместная борьба с болезнью, но и совместное творчество, другие приятные события объединяют родителей, братьев, сестёр. Дети приехали довол...</t>
        </is>
      </c>
    </row>
    <row r="1456" ht="30" customHeight="1">
      <c r="A1456" s="28" t="n">
        <v>2762</v>
      </c>
      <c r="B1456" s="29" t="inlineStr">
        <is>
          <t>2017-10-08</t>
        </is>
      </c>
      <c r="C1456" s="30">
        <f>HYPERLINK("https://vk.com/wall-1825701_2762", "Открыть пост")</f>
        <v/>
      </c>
      <c r="D1456" s="31" t="inlineStr">
        <is>
          <t>Выставки, экскурсии и культурные выходы</t>
        </is>
      </c>
      <c r="E1456" s="31" t="inlineStr">
        <is>
          <t>Выставки, экскурсии и культурные выходы</t>
        </is>
      </c>
      <c r="F1456" s="31" t="inlineStr">
        <is>
          <t>Подопечные фонда «Дети Марии» (общая группа детей и подростков)</t>
        </is>
      </c>
      <c r="G1456" s="31" t="inlineStr">
        <is>
          <t>Студия фонда / выездная площадка</t>
        </is>
      </c>
      <c r="H1456" s="31" t="inlineStr">
        <is>
          <t>Коммуникативные навыки, эмпатия и тьюторское сопровождение</t>
        </is>
      </c>
      <c r="I1456" s="32" t="inlineStr">
        <is>
          <t>По формату занятия</t>
        </is>
      </c>
      <c r="J1456" s="31" t="inlineStr">
        <is>
          <t>Наша выставка в ЦДХ всё ближе. Следите на новостями тут:</t>
        </is>
      </c>
    </row>
    <row r="1457" ht="30" customHeight="1">
      <c r="A1457" s="23" t="n">
        <v>2759</v>
      </c>
      <c r="B1457" s="24" t="inlineStr">
        <is>
          <t>2017-10-06</t>
        </is>
      </c>
      <c r="C1457" s="25">
        <f>HYPERLINK("https://vk.com/wall-1825701_2759", "Открыть пост")</f>
        <v/>
      </c>
      <c r="D1457" s="26" t="inlineStr">
        <is>
          <t>Творческие мастер-классы и художественные студии</t>
        </is>
      </c>
      <c r="E1457" s="26" t="inlineStr">
        <is>
          <t>Творческие мастер-классы и художественные студии; Выставки, экскурсии и культурные выходы</t>
        </is>
      </c>
      <c r="F1457" s="26" t="inlineStr">
        <is>
          <t>Подростки и взрослые с ментальными особенностями и ОВЗ (ПНИ / Социальные дома)</t>
        </is>
      </c>
      <c r="G1457" s="26" t="inlineStr">
        <is>
          <t>Студия фонда / выездная площадка</t>
        </is>
      </c>
      <c r="H1457" s="26" t="inlineStr">
        <is>
          <t>Художественно-прикладные и ремесленные навыки</t>
        </is>
      </c>
      <c r="I1457" s="27" t="inlineStr">
        <is>
          <t>По формату занятия</t>
        </is>
      </c>
      <c r="J1457" s="26" t="inlineStr">
        <is>
          <t>Техника коллажа требует большой усидчивости и аккуратности, но результат того стоит. Ребята из ПНИ 16 — наши самые взрослые подопечные — освоили и коллажи тоже. Работы можно будет увидеть на нашей выставке в ЦДХ в ноябре.</t>
        </is>
      </c>
    </row>
    <row r="1458" ht="30" customHeight="1">
      <c r="A1458" s="28" t="n">
        <v>2756</v>
      </c>
      <c r="B1458" s="29" t="inlineStr">
        <is>
          <t>2017-10-05</t>
        </is>
      </c>
      <c r="C1458" s="30">
        <f>HYPERLINK("https://vk.com/wall-1825701_2756", "Открыть пост")</f>
        <v/>
      </c>
      <c r="D1458" s="31" t="inlineStr">
        <is>
          <t>Выездные лагеря, дача и сезонные программы</t>
        </is>
      </c>
      <c r="E1458" s="31" t="inlineStr">
        <is>
          <t>Выездные лагеря, дача и сезонные программы; Творческие мастер-классы и художественные студии</t>
        </is>
      </c>
      <c r="F1458" s="31" t="inlineStr">
        <is>
          <t>Воспитанники ЦССВ, ДДИ и детских домов-интернатов</t>
        </is>
      </c>
      <c r="G1458" s="31" t="inlineStr">
        <is>
          <t>ЦССВ «Юнона»</t>
        </is>
      </c>
      <c r="H1458" s="31" t="inlineStr">
        <is>
          <t>Художественно-прикладные и ремесленные навыки; Мобильность, выездное сопровождение и автоволонтёрство</t>
        </is>
      </c>
      <c r="I1458" s="32" t="inlineStr">
        <is>
          <t>Да (в тексте)</t>
        </is>
      </c>
      <c r="J1458" s="31" t="inlineStr">
        <is>
          <t>Солнце летнего лагеря согревает нас и осенью. Дети из ЦССВ «Юнона», приезжая на занятия, с особым восторгом встречают взрослых, с которыми летом жили в одной «семейке». Танюшка необыкновенно обрадовалась встрече с волонтёром Ирой Гуриевой — они ведь вместе были в Семье Жирафов. И...</t>
        </is>
      </c>
    </row>
    <row r="1459" ht="30" customHeight="1">
      <c r="A1459" s="23" t="n">
        <v>2754</v>
      </c>
      <c r="B1459" s="24" t="inlineStr">
        <is>
          <t>2017-10-03</t>
        </is>
      </c>
      <c r="C1459" s="25">
        <f>HYPERLINK("https://vk.com/wall-1825701_2754", "Открыть пост")</f>
        <v/>
      </c>
      <c r="D1459" s="26" t="inlineStr">
        <is>
          <t>Выставки, экскурсии и культурные выходы</t>
        </is>
      </c>
      <c r="E1459" s="26" t="inlineStr">
        <is>
          <t>Выставки, экскурсии и культурные выходы</t>
        </is>
      </c>
      <c r="F1459" s="26" t="inlineStr">
        <is>
          <t>Подростки и взрослые с ментальными особенностями и ОВЗ (ПНИ / Социальные дома)</t>
        </is>
      </c>
      <c r="G1459" s="26" t="inlineStr">
        <is>
          <t>Студия фонда / выездная площадка</t>
        </is>
      </c>
      <c r="H1459" s="26" t="inlineStr">
        <is>
          <t>Педагогические и наставнические навыки (кулинария, быт, учёба)</t>
        </is>
      </c>
      <c r="I1459" s="27" t="inlineStr">
        <is>
          <t>По формату занятия</t>
        </is>
      </c>
      <c r="J1459" s="26" t="inlineStr">
        <is>
          <t>Уже через месяц откроется выставка творческих работ наших подопечных в Центральном Доме художника на Крымском валу. Ребята из ПНИ 16 ждут этого с нетерпением, и заканчивая каждую работу, спрашивают преподавателей: «А моя картина будет в ЦДХ?» Ведь увидеть свою работу на выставке ...</t>
        </is>
      </c>
    </row>
    <row r="1460" ht="30" customHeight="1">
      <c r="A1460" s="28" t="n">
        <v>2741</v>
      </c>
      <c r="B1460" s="29" t="inlineStr">
        <is>
          <t>2017-10-02</t>
        </is>
      </c>
      <c r="C1460" s="30">
        <f>HYPERLINK("https://vk.com/wall-1825701_2741", "Открыть пост")</f>
        <v/>
      </c>
      <c r="D1460" s="31" t="inlineStr">
        <is>
          <t>Творческие мастер-классы и художественные студии</t>
        </is>
      </c>
      <c r="E1460" s="31" t="inlineStr">
        <is>
          <t>Творческие мастер-классы и художественные студии</t>
        </is>
      </c>
      <c r="F1460" s="31" t="inlineStr">
        <is>
          <t>Подопечные фонда «Дети Марии» (общая группа детей и подростков)</t>
        </is>
      </c>
      <c r="G1460" s="31" t="inlineStr">
        <is>
          <t>Студия фонда / выездная площадка</t>
        </is>
      </c>
      <c r="H1460" s="31" t="inlineStr">
        <is>
          <t>Художественно-прикладные и ремесленные навыки; Коммуникативные навыки, эмпатия и тьюторское сопровождение</t>
        </is>
      </c>
      <c r="I1460" s="32" t="inlineStr">
        <is>
          <t>По формату занятия</t>
        </is>
      </c>
      <c r="J1460" s="31" t="inlineStr">
        <is>
          <t>АНО «Дети» http://anodeti.ru/ помогает в адаптации и социальной интеграции детям, перенесшим онкологические заболевания, и их семьям. Творческие занятия в кругу родных и друзей — отличное лекарство, в этом АНО «Дети» согласны с нами. По воскресеньям они приходят к нам заниматься ...</t>
        </is>
      </c>
    </row>
    <row r="1461" ht="30" customHeight="1">
      <c r="A1461" s="23" t="n">
        <v>2739</v>
      </c>
      <c r="B1461" s="24" t="inlineStr">
        <is>
          <t>2017-10-01</t>
        </is>
      </c>
      <c r="C1461" s="25">
        <f>HYPERLINK("https://vk.com/wall-1825701_2739", "Открыть пост")</f>
        <v/>
      </c>
      <c r="D1461" s="26" t="inlineStr">
        <is>
          <t>Творческие мастер-классы и художественные студии</t>
        </is>
      </c>
      <c r="E1461" s="26" t="inlineStr">
        <is>
          <t>Творческие мастер-классы и художественные студии</t>
        </is>
      </c>
      <c r="F1461" s="26" t="inlineStr">
        <is>
          <t>Подопечные фонда «Дети Марии» (общая группа детей и подростков)</t>
        </is>
      </c>
      <c r="G1461" s="26" t="inlineStr">
        <is>
          <t>Студия фонда / выездная площадка</t>
        </is>
      </c>
      <c r="H1461" s="26" t="inlineStr">
        <is>
          <t>Художественно-прикладные и ремесленные навыки; Педагогические и наставнические навыки (кулинария, быт, учёба)</t>
        </is>
      </c>
      <c r="I1461" s="27" t="inlineStr">
        <is>
          <t>По формату занятия</t>
        </is>
      </c>
      <c r="J1461" s="26" t="inlineStr">
        <is>
          <t>Сегодня День пожилых людей. По приглашению Управы Тверского района наша преподавательница рукоделия Марья Ивановна проводила в ЦСО «Тверской» мастер-класс по валянию, на один день перестроившись с обучения детей на обучение бабушек. Ведь бабушки — это просто взрослые девочки, они...</t>
        </is>
      </c>
    </row>
    <row r="1462" ht="30" customHeight="1">
      <c r="A1462" s="28" t="n">
        <v>2737</v>
      </c>
      <c r="B1462" s="29" t="inlineStr">
        <is>
          <t>2017-10-01</t>
        </is>
      </c>
      <c r="C1462" s="30">
        <f>HYPERLINK("https://vk.com/wall-1825701_2737", "Открыть пост")</f>
        <v/>
      </c>
      <c r="D1462" s="31" t="inlineStr">
        <is>
          <t>Творческие мастер-классы и художественные студии</t>
        </is>
      </c>
      <c r="E1462" s="31" t="inlineStr">
        <is>
          <t>Творческие мастер-классы и художественные студии</t>
        </is>
      </c>
      <c r="F1462" s="31" t="inlineStr">
        <is>
          <t>Подопечные фонда «Дети Марии» (общая группа детей и подростков)</t>
        </is>
      </c>
      <c r="G1462" s="31" t="inlineStr">
        <is>
          <t>Студия фонда / выездная площадка</t>
        </is>
      </c>
      <c r="H1462" s="31" t="inlineStr">
        <is>
          <t>Художественно-прикладные и ремесленные навыки</t>
        </is>
      </c>
      <c r="I1462" s="32" t="inlineStr">
        <is>
          <t>По формату занятия</t>
        </is>
      </c>
      <c r="J1462" s="31" t="inlineStr">
        <is>
          <t>По субботам с 16:30 в студию на Делегатской улице, дом 14/2 приходят дети жителей района, в основном старшие дошкольники, младшие и средние школьники. Если вашим детям интересны художественные занятия: рисование, лепка из глины, валяние, ткачество, выпиливание лобзиком, — вы може...</t>
        </is>
      </c>
    </row>
    <row r="1463" ht="30" customHeight="1">
      <c r="A1463" s="23" t="n">
        <v>2732</v>
      </c>
      <c r="B1463" s="24" t="inlineStr">
        <is>
          <t>2017-09-27</t>
        </is>
      </c>
      <c r="C1463" s="25">
        <f>HYPERLINK("https://vk.com/wall-1825701_2732", "Открыть пост")</f>
        <v/>
      </c>
      <c r="D1463" s="26" t="inlineStr">
        <is>
          <t>Выездные лагеря, дача и сезонные программы</t>
        </is>
      </c>
      <c r="E1463" s="26" t="inlineStr">
        <is>
          <t>Выездные лагеря, дача и сезонные программы; Кулинарные, образовательные и социально-бытовые занятия</t>
        </is>
      </c>
      <c r="F1463" s="26" t="inlineStr">
        <is>
          <t>Подростки и взрослые с ментальными особенностями и ОВЗ (ПНИ / Социальные дома); Воспитанники ЦССВ, ДДИ и детских домов-интернатов; Выпускники интернатов и детских домов (молодые взрослые)</t>
        </is>
      </c>
      <c r="G1463" s="26" t="inlineStr">
        <is>
          <t>ЦССВ «Юнона»</t>
        </is>
      </c>
      <c r="H1463" s="26" t="inlineStr">
        <is>
          <t>Педагогические и наставнические навыки (кулинария, быт, учёба); Мобильность, выездное сопровождение и автоволонтёрство</t>
        </is>
      </c>
      <c r="I1463" s="27" t="inlineStr">
        <is>
          <t>По формату занятия</t>
        </is>
      </c>
      <c r="J1463" s="26" t="inlineStr">
        <is>
          <t>Наконец закончился карантин, и к нам смогли приехать ребята из ЦССВ «Юнона». Порисовали, полепили, суп сварили, пирог испекли, лето и летний лагерь повспоминали, обменялись новостями, кто из старших ребят из «Юноны» теперь в каких психоневрологических интернатах...</t>
        </is>
      </c>
    </row>
    <row r="1464" ht="30" customHeight="1">
      <c r="A1464" s="28" t="n">
        <v>2729</v>
      </c>
      <c r="B1464" s="29" t="inlineStr">
        <is>
          <t>2017-09-27</t>
        </is>
      </c>
      <c r="C1464" s="30">
        <f>HYPERLINK("https://vk.com/wall-1825701_2729", "Открыть пост")</f>
        <v/>
      </c>
      <c r="D1464" s="31" t="inlineStr">
        <is>
          <t>Ярмарки, фестивали и благотворительные базары</t>
        </is>
      </c>
      <c r="E1464" s="31" t="inlineStr">
        <is>
          <t>Ярмарки, фестивали и благотворительные базары</t>
        </is>
      </c>
      <c r="F1464" s="31" t="inlineStr">
        <is>
          <t>Подопечные фонда «Дети Марии» (общая группа детей и подростков)</t>
        </is>
      </c>
      <c r="G1464" s="31" t="inlineStr">
        <is>
          <t>Студия фонда / выездная площадка</t>
        </is>
      </c>
      <c r="H1464" s="31" t="inlineStr">
        <is>
          <t>Коммуникативные навыки, эмпатия и тьюторское сопровождение; Организационные, ивент- и ярмарочные навыки; Мобильность, выездное сопровождение и автоволонтёрство</t>
        </is>
      </c>
      <c r="I1464" s="32" t="inlineStr">
        <is>
          <t>Да (в тексте)</t>
        </is>
      </c>
      <c r="J1464" s="31" t="inlineStr">
        <is>
          <t>https://www.facebook.com/meetforcharity/ Прямо сейчас и сегодня-завтра на аукционе встреч Meet For Charity разыгрывается встреча с нашим очень давним и очень любимым щедрым другом, волонтёром и донором Джастином Лиффландером. Уникальный человек, интереснейшая встреча, деньги в по...</t>
        </is>
      </c>
    </row>
    <row r="1465" ht="30" customHeight="1">
      <c r="A1465" s="23" t="n">
        <v>2724</v>
      </c>
      <c r="B1465" s="24" t="inlineStr">
        <is>
          <t>2017-09-25</t>
        </is>
      </c>
      <c r="C1465" s="25">
        <f>HYPERLINK("https://vk.com/wall-1825701_2724", "Открыть пост")</f>
        <v/>
      </c>
      <c r="D1465" s="26" t="inlineStr">
        <is>
          <t>Выставки, экскурсии и культурные выходы</t>
        </is>
      </c>
      <c r="E1465" s="26" t="inlineStr">
        <is>
          <t>Выставки, экскурсии и культурные выходы</t>
        </is>
      </c>
      <c r="F1465" s="26" t="inlineStr">
        <is>
          <t>Подопечные фонда «Дети Марии» (общая группа детей и подростков)</t>
        </is>
      </c>
      <c r="G1465" s="26" t="inlineStr">
        <is>
          <t>Студия фонда / выездная площадка</t>
        </is>
      </c>
      <c r="H1465" s="26" t="inlineStr">
        <is>
          <t>Артистические, музыкальные и спортивно-игровые навыки</t>
        </is>
      </c>
      <c r="I1465" s="27" t="inlineStr">
        <is>
          <t>По формату занятия</t>
        </is>
      </c>
      <c r="J1465" s="26" t="inlineStr">
        <is>
          <t>В ноябре в ЦДХ ежегодная, 21я выставка творческих работ наших ребят — всё лучшее, что в студии сотворили за год. В отличие от детей, которые всегда радуют нас новыми идеями и неиссякаемым воображением, у нас уже не хватает фантазии придумать название выставки, поэтому принимаем п...</t>
        </is>
      </c>
    </row>
    <row r="1466" ht="30" customHeight="1">
      <c r="A1466" s="28" t="n">
        <v>2723</v>
      </c>
      <c r="B1466" s="29" t="inlineStr">
        <is>
          <t>2017-09-24</t>
        </is>
      </c>
      <c r="C1466" s="30">
        <f>HYPERLINK("https://vk.com/wall-1825701_2723", "Открыть пост")</f>
        <v/>
      </c>
      <c r="D1466" s="31" t="inlineStr">
        <is>
          <t>Творческие мастер-классы и художественные студии</t>
        </is>
      </c>
      <c r="E1466" s="31" t="inlineStr">
        <is>
          <t>Творческие мастер-классы и художественные студии</t>
        </is>
      </c>
      <c r="F1466" s="31" t="inlineStr">
        <is>
          <t>Выпускники интернатов и детских домов (молодые взрослые)</t>
        </is>
      </c>
      <c r="G1466" s="31" t="inlineStr">
        <is>
          <t>Студия фонда / выездная площадка</t>
        </is>
      </c>
      <c r="H1466" s="31" t="inlineStr">
        <is>
          <t>Художественно-прикладные и ремесленные навыки</t>
        </is>
      </c>
      <c r="I1466" s="32" t="inlineStr">
        <is>
          <t>Да (в тексте)</t>
        </is>
      </c>
      <c r="J1466" s="31" t="inlineStr">
        <is>
          <t>«Мы строили, строили и наконец построили! Да здравствуем мы, ура!» Это панно «Волшебник Изумрудного города» валяли с весны ребята из всех интернатов и не из интернатов тоже. Василиса из АНО «Дети» http://anodeti.ru любуется результатом. Приятно видеть свою детальку в большой и пр...</t>
        </is>
      </c>
    </row>
    <row r="1467" ht="30" customHeight="1">
      <c r="A1467" s="23" t="n">
        <v>2720</v>
      </c>
      <c r="B1467" s="24" t="inlineStr">
        <is>
          <t>2017-09-22</t>
        </is>
      </c>
      <c r="C1467" s="25">
        <f>HYPERLINK("https://vk.com/wall-1825701_2720", "Открыть пост")</f>
        <v/>
      </c>
      <c r="D1467" s="26" t="inlineStr">
        <is>
          <t>Кулинарные, образовательные и социально-бытовые занятия</t>
        </is>
      </c>
      <c r="E1467" s="26" t="inlineStr">
        <is>
          <t>Кулинарные, образовательные и социально-бытовые занятия; Творческие мастер-классы и художественные студии; Праздники, дни рождения и клубные встречи</t>
        </is>
      </c>
      <c r="F1467" s="26" t="inlineStr">
        <is>
          <t>Подростки и взрослые с ментальными особенностями и ОВЗ (ПНИ / Социальные дома)</t>
        </is>
      </c>
      <c r="G1467" s="26" t="inlineStr">
        <is>
          <t>Студия фонда / выездная площадка</t>
        </is>
      </c>
      <c r="H1467" s="26" t="inlineStr">
        <is>
          <t>Коммуникативные навыки, эмпатия и тьюторское сопровождение; Педагогические и наставнические навыки (кулинария, быт, учёба); Медиа, фото/видеосъёмка и культурная медиация</t>
        </is>
      </c>
      <c r="I1467" s="27" t="inlineStr">
        <is>
          <t>По формату занятия</t>
        </is>
      </c>
      <c r="J1467" s="26" t="inlineStr">
        <is>
          <t>Сегодня вкусный день у ребят из ПНИ 16. В студию пришли сотрудники Марриотт Отеля Новый Арбат www.moscowmarriottarbat.ru и принесли продукты, из которых вместе с ребятами приготовили бутерброды и сладкие десерты. Потом дружно это съели. Заодно отметили День именинника — поздравил...</t>
        </is>
      </c>
    </row>
    <row r="1468" ht="30" customHeight="1">
      <c r="A1468" s="28" t="n">
        <v>2709</v>
      </c>
      <c r="B1468" s="29" t="inlineStr">
        <is>
          <t>2017-09-19</t>
        </is>
      </c>
      <c r="C1468" s="30">
        <f>HYPERLINK("https://vk.com/wall-1825701_2709", "Открыть пост")</f>
        <v/>
      </c>
      <c r="D1468" s="31" t="inlineStr">
        <is>
          <t>Выставки, экскурсии и культурные выходы</t>
        </is>
      </c>
      <c r="E1468" s="31" t="inlineStr">
        <is>
          <t>Выставки, экскурсии и культурные выходы</t>
        </is>
      </c>
      <c r="F1468" s="31" t="inlineStr">
        <is>
          <t>Подростки и взрослые с ментальными особенностями и ОВЗ (ПНИ / Социальные дома)</t>
        </is>
      </c>
      <c r="G1468" s="31" t="inlineStr">
        <is>
          <t>Студия фонда / выездная площадка</t>
        </is>
      </c>
      <c r="H1468" s="31" t="inlineStr">
        <is>
          <t>Коммуникативные навыки, эмпатия и тьюторское сопровождение</t>
        </is>
      </c>
      <c r="I1468" s="32" t="inlineStr">
        <is>
          <t>По формату занятия</t>
        </is>
      </c>
      <c r="J1468" s="31" t="inlineStr">
        <is>
          <t>Птицы, рыбы и звери. Ребята из ПНИ 16 в студии на Делегатской. В керамической продолжается рыбная тема, а рисуют сегодня петухов. Гобелен про человека и собаку — многодневный коллективный труд — подходит к завершению. Скоро выставка в ЦДХ, где можно увидеть всё лучшее, что мы сот...</t>
        </is>
      </c>
    </row>
    <row r="1469" ht="30" customHeight="1">
      <c r="A1469" s="23" t="n">
        <v>2707</v>
      </c>
      <c r="B1469" s="24" t="inlineStr">
        <is>
          <t>2017-09-17</t>
        </is>
      </c>
      <c r="C1469" s="25">
        <f>HYPERLINK("https://vk.com/wall-1825701_2707", "Открыть пост")</f>
        <v/>
      </c>
      <c r="D1469" s="26" t="inlineStr">
        <is>
          <t>Творческие мастер-классы и художественные студии</t>
        </is>
      </c>
      <c r="E1469" s="26" t="inlineStr">
        <is>
          <t>Творческие мастер-классы и художественные студии; Выставки, экскурсии и культурные выходы</t>
        </is>
      </c>
      <c r="F1469" s="26" t="inlineStr">
        <is>
          <t>Воспитанники ЦССВ, ДДИ и детских домов-интернатов</t>
        </is>
      </c>
      <c r="G1469" s="26" t="inlineStr">
        <is>
          <t>ЦССВ «Спутник»</t>
        </is>
      </c>
      <c r="H1469" s="26" t="inlineStr">
        <is>
          <t>Художественно-прикладные и ремесленные навыки; Мобильность, выездное сопровождение и автоволонтёрство</t>
        </is>
      </c>
      <c r="I1469" s="27" t="inlineStr">
        <is>
          <t>По формату занятия</t>
        </is>
      </c>
      <c r="J1469" s="26" t="inlineStr">
        <is>
          <t>На занятиях в студии дети из ЦССВ «Спутник». Серёжа на правах старожила провёл экскурсию новеньким. Полина сразу решила, что будет рисовать бабочек, а Настя сначала уверяла, что рисовать не умеет, а потом решила попробовать изобразить ветку каштана.</t>
        </is>
      </c>
    </row>
    <row r="1470" ht="30" customHeight="1">
      <c r="A1470" s="28" t="n">
        <v>2704</v>
      </c>
      <c r="B1470" s="29" t="inlineStr">
        <is>
          <t>2017-09-16</t>
        </is>
      </c>
      <c r="C1470" s="30">
        <f>HYPERLINK("https://vk.com/wall-1825701_2704", "Открыть пост")</f>
        <v/>
      </c>
      <c r="D1470" s="31" t="inlineStr">
        <is>
          <t>Творческие мастер-классы и художественные студии</t>
        </is>
      </c>
      <c r="E1470" s="31" t="inlineStr">
        <is>
          <t>Творческие мастер-классы и художественные студии</t>
        </is>
      </c>
      <c r="F1470" s="31" t="inlineStr">
        <is>
          <t>Подопечные фонда «Дети Марии» (общая группа детей и подростков)</t>
        </is>
      </c>
      <c r="G1470" s="31" t="inlineStr">
        <is>
          <t>Студия фонда / выездная площадка</t>
        </is>
      </c>
      <c r="H1470" s="31" t="inlineStr">
        <is>
          <t>Художественно-прикладные и ремесленные навыки</t>
        </is>
      </c>
      <c r="I1470" s="32" t="inlineStr">
        <is>
          <t>По формату занятия</t>
        </is>
      </c>
      <c r="J1470" s="31" t="inlineStr">
        <is>
          <t>Сегодня в студии на Делегатской — первое после каникул занятие для детей из окрестных домов. С художницей Нюсей начали большую картину про Изумрудный город, с Марией Ивановной валяли зверей для панно «Райский сад», с Алексеем выпиливали лобзиком. В керамической мастерской с Аней,...</t>
        </is>
      </c>
    </row>
    <row r="1471" ht="30" customHeight="1">
      <c r="A1471" s="23" t="n">
        <v>2697</v>
      </c>
      <c r="B1471" s="24" t="inlineStr">
        <is>
          <t>2017-09-15</t>
        </is>
      </c>
      <c r="C1471" s="25">
        <f>HYPERLINK("https://vk.com/wall-1825701_2697", "Открыть пост")</f>
        <v/>
      </c>
      <c r="D1471" s="26" t="inlineStr">
        <is>
          <t>Творческие мастер-классы и художественные студии</t>
        </is>
      </c>
      <c r="E1471" s="26" t="inlineStr">
        <is>
          <t>Творческие мастер-классы и художественные студии</t>
        </is>
      </c>
      <c r="F1471" s="26" t="inlineStr">
        <is>
          <t>Подростки и взрослые с ментальными особенностями и ОВЗ (ПНИ / Социальные дома); Воспитанники ЦССВ, ДДИ и детских домов-интернатов</t>
        </is>
      </c>
      <c r="G1471" s="26" t="inlineStr">
        <is>
          <t>Студия фонда / выездная площадка</t>
        </is>
      </c>
      <c r="H1471" s="26" t="inlineStr">
        <is>
          <t>Художественно-прикладные и ремесленные навыки</t>
        </is>
      </c>
      <c r="I1471" s="27" t="inlineStr">
        <is>
          <t>По формату занятия</t>
        </is>
      </c>
      <c r="J1471" s="26" t="inlineStr">
        <is>
          <t>Сегодня занимались ребята из ПНИ 16. Новенькая девушка Катя радостно со всеми познакомилась, а потом слепила свою первую скульптуру. Наташа и Вася, которых мы помним ещё с детского дома, теперь снова с нами. Делали коллаж и превращали бутылки в вазы, лепили тарелки, валяли детали...</t>
        </is>
      </c>
    </row>
    <row r="1472" ht="30" customHeight="1">
      <c r="A1472" s="28" t="n">
        <v>2694</v>
      </c>
      <c r="B1472" s="29" t="inlineStr">
        <is>
          <t>2017-09-14</t>
        </is>
      </c>
      <c r="C1472" s="30">
        <f>HYPERLINK("https://vk.com/wall-1825701_2694", "Открыть пост")</f>
        <v/>
      </c>
      <c r="D1472" s="31" t="inlineStr">
        <is>
          <t>Выставки, экскурсии и культурные выходы</t>
        </is>
      </c>
      <c r="E1472" s="31" t="inlineStr">
        <is>
          <t>Выставки, экскурсии и культурные выходы</t>
        </is>
      </c>
      <c r="F1472" s="31" t="inlineStr">
        <is>
          <t>Подопечные фонда «Дети Марии» (общая группа детей и подростков)</t>
        </is>
      </c>
      <c r="G1472" s="31" t="inlineStr">
        <is>
          <t>Студия фонда / выездная площадка</t>
        </is>
      </c>
      <c r="H1472" s="31" t="inlineStr">
        <is>
          <t>Медиа, фото/видеосъёмка и культурная медиация</t>
        </is>
      </c>
      <c r="I1472" s="32" t="inlineStr">
        <is>
          <t>По формату занятия</t>
        </is>
      </c>
      <c r="J1472" s="31" t="inlineStr">
        <is>
          <t>У Лукоморья... Сегодня ребята из 31й школы-интерната для детей с нарушениями опорно-двигательного аппарата посетили выставку иллюстраций А.И.Сухорукова к сказкам Пушкина, Ершова, Пермяка. Вспомнили самые известные сказки и нарисовали любимых персонажей. Девочки раскрасили себе ко...</t>
        </is>
      </c>
    </row>
    <row r="1473" ht="30" customHeight="1">
      <c r="A1473" s="23" t="n">
        <v>2683</v>
      </c>
      <c r="B1473" s="24" t="inlineStr">
        <is>
          <t>2017-09-09</t>
        </is>
      </c>
      <c r="C1473" s="25">
        <f>HYPERLINK("https://vk.com/wall-1825701_2683", "Открыть пост")</f>
        <v/>
      </c>
      <c r="D1473" s="26" t="inlineStr">
        <is>
          <t>Ярмарки, фестивали и благотворительные базары</t>
        </is>
      </c>
      <c r="E1473" s="26" t="inlineStr">
        <is>
          <t>Ярмарки, фестивали и благотворительные базары; Спектакли, концерты и музыкально-театральные занятия; Спортивные и активные мероприятия; Творческие мастер-классы и художественные студии</t>
        </is>
      </c>
      <c r="F1473" s="26" t="inlineStr">
        <is>
          <t>Подопечные фонда «Дети Марии» (общая группа детей и подростков)</t>
        </is>
      </c>
      <c r="G1473" s="26" t="inlineStr">
        <is>
          <t>Студия фонда / выездная площадка</t>
        </is>
      </c>
      <c r="H1473" s="26" t="inlineStr">
        <is>
          <t>Артистические, музыкальные и спортивно-игровые навыки; Организационные, ивент- и ярмарочные навыки</t>
        </is>
      </c>
      <c r="I1473" s="27" t="inlineStr">
        <is>
          <t>По формату занятия</t>
        </is>
      </c>
      <c r="J1473" s="26" t="inlineStr">
        <is>
          <t>Мы рады будем видеть Вас на «Доброй Москве» на Цветном бульваре сегодня до 21:00. Фестиваль «Добрая Москва» — это не только благотворительная ярмарка десятков фондов, но и мастер-классы, концерт, забег. У нас весело.</t>
        </is>
      </c>
    </row>
    <row r="1474" ht="30" customHeight="1">
      <c r="A1474" s="28" t="n">
        <v>2680</v>
      </c>
      <c r="B1474" s="29" t="inlineStr">
        <is>
          <t>2017-09-08</t>
        </is>
      </c>
      <c r="C1474" s="30">
        <f>HYPERLINK("https://vk.com/wall-1825701_2680", "Открыть пост")</f>
        <v/>
      </c>
      <c r="D1474" s="31" t="inlineStr">
        <is>
          <t>Ярмарки, фестивали и благотворительные базары</t>
        </is>
      </c>
      <c r="E1474" s="31" t="inlineStr">
        <is>
          <t>Ярмарки, фестивали и благотворительные базары</t>
        </is>
      </c>
      <c r="F1474" s="31" t="inlineStr">
        <is>
          <t>Воспитанники ЦССВ, ДДИ и детских домов-интернатов; Дети и семьи (в т.ч. приёмные семьи и программа в Беслане)</t>
        </is>
      </c>
      <c r="G1474" s="31" t="inlineStr">
        <is>
          <t>беслан</t>
        </is>
      </c>
      <c r="H1474" s="31" t="inlineStr">
        <is>
          <t>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t>
        </is>
      </c>
      <c r="I1474" s="32" t="inlineStr">
        <is>
          <t>Да (в тексте)</t>
        </is>
      </c>
      <c r="J1474" s="31" t="inlineStr">
        <is>
          <t>Завтра на фестивале «Добрая Москва» на Цветном бульваре мы ждём всех с 12 до 21 часа. Вот эти совершенно восхитительные игрушки, закладки и брошки из фетра мы тоже предложим гостям на ярмарке. Их сшила наш волонтёр Надежда Гуриева — учитель Первой бесланской школы и чудо-рукодель...</t>
        </is>
      </c>
    </row>
    <row r="1475" ht="30" customHeight="1">
      <c r="A1475" s="23" t="n">
        <v>2679</v>
      </c>
      <c r="B1475" s="24" t="inlineStr">
        <is>
          <t>2017-09-08</t>
        </is>
      </c>
      <c r="C1475" s="25">
        <f>HYPERLINK("https://vk.com/wall-1825701_2679", "Открыть пост")</f>
        <v/>
      </c>
      <c r="D1475" s="26" t="inlineStr">
        <is>
          <t>Творческие мастер-классы и художественные студии</t>
        </is>
      </c>
      <c r="E1475" s="26" t="inlineStr">
        <is>
          <t>Творческие мастер-классы и художественные студии</t>
        </is>
      </c>
      <c r="F1475" s="26" t="inlineStr">
        <is>
          <t>Подростки и взрослые с ментальными особенностями и ОВЗ (ПНИ / Социальные дома)</t>
        </is>
      </c>
      <c r="G1475" s="26" t="inlineStr">
        <is>
          <t>Студия фонда / выездная площадка</t>
        </is>
      </c>
      <c r="H1475" s="26" t="inlineStr">
        <is>
          <t>Художественно-прикладные и ремесленные навыки; Педагогические и наставнические навыки (кулинария, быт, учёба)</t>
        </is>
      </c>
      <c r="I1475" s="27" t="inlineStr">
        <is>
          <t>По формату занятия</t>
        </is>
      </c>
      <c r="J1475" s="26" t="inlineStr">
        <is>
          <t>Сегодня в студии ребята из Пни 16. Ребята, как всегда, страшно рады приезду в студию и не теряют времени даром. Занятия на любой вкус. В рисовальной у нас — собачья площадка, рисуем собак и шьём их из фетра. В керамической — рыбный день, лепим и процарапываем на посуде рыб. Валяе...</t>
        </is>
      </c>
    </row>
    <row r="1476" ht="30" customHeight="1">
      <c r="A1476" s="28" t="n">
        <v>2673</v>
      </c>
      <c r="B1476" s="29" t="inlineStr">
        <is>
          <t>2017-09-06</t>
        </is>
      </c>
      <c r="C1476" s="30">
        <f>HYPERLINK("https://vk.com/wall-1825701_2673", "Открыть пост")</f>
        <v/>
      </c>
      <c r="D1476" s="31" t="inlineStr">
        <is>
          <t>Ярмарки, фестивали и благотворительные базары</t>
        </is>
      </c>
      <c r="E1476" s="31" t="inlineStr">
        <is>
          <t>Ярмарки, фестивали и благотворительные базары; Спектакли, концерты и музыкально-театральные занятия; Спортивные и активные мероприятия; Творческие мастер-классы и художественные студии</t>
        </is>
      </c>
      <c r="F1476" s="31" t="inlineStr">
        <is>
          <t>Широкая аудитория, гости и благотворители (открытые события)</t>
        </is>
      </c>
      <c r="G1476" s="31" t="inlineStr">
        <is>
          <t>Студия фонда / выездная площадка</t>
        </is>
      </c>
      <c r="H1476" s="31" t="inlineStr">
        <is>
          <t>Артистические, музыкальные и спортивно-игровые навыки; Организационные, ивент- и ярмарочные навыки</t>
        </is>
      </c>
      <c r="I1476" s="32" t="inlineStr">
        <is>
          <t>По формату занятия</t>
        </is>
      </c>
      <c r="J1476" s="31" t="inlineStr">
        <is>
          <t>В эти выходные 9 и 10 сентября в Москве проходит День города. Мы приглашаем вас на Цветной бульвар, где будет фестиваль «Добрая Москва» — ярмарка, мастер-классы, концерт и благотворительный забег. Нас можно найти почти напротив цирка, вот схема. До встречи! Ещё больше узнать о фе...</t>
        </is>
      </c>
    </row>
    <row r="1477" ht="30" customHeight="1">
      <c r="A1477" s="23" t="n">
        <v>2672</v>
      </c>
      <c r="B1477" s="24" t="inlineStr">
        <is>
          <t>2017-09-06</t>
        </is>
      </c>
      <c r="C1477" s="25">
        <f>HYPERLINK("https://vk.com/wall-1825701_2672", "Открыть пост")</f>
        <v/>
      </c>
      <c r="D1477" s="26" t="inlineStr">
        <is>
          <t>Ярмарки, фестивали и благотворительные базары</t>
        </is>
      </c>
      <c r="E1477" s="26" t="inlineStr">
        <is>
          <t>Ярмарки, фестивали и благотворительные базары</t>
        </is>
      </c>
      <c r="F1477" s="26" t="inlineStr">
        <is>
          <t>Подопечные фонда «Дети Марии» (общая группа детей и подростков)</t>
        </is>
      </c>
      <c r="G1477" s="26" t="inlineStr">
        <is>
          <t>Студия фонда / выездная площадка</t>
        </is>
      </c>
      <c r="H1477" s="26" t="inlineStr">
        <is>
          <t>Организационные, ивент- и ярмарочные навыки</t>
        </is>
      </c>
      <c r="I1477" s="27" t="inlineStr">
        <is>
          <t>По формату занятия</t>
        </is>
      </c>
      <c r="J1477" s="26" t="inlineStr">
        <is>
          <t>Сегодня на ярмарке в Башне на Набережной наш сбор — 4100 рублей. Спасибо всем, кто пожертвовал, спасибо КПМГ за организацию.</t>
        </is>
      </c>
    </row>
    <row r="1478" ht="30" customHeight="1">
      <c r="A1478" s="28" t="n">
        <v>2670</v>
      </c>
      <c r="B1478" s="29" t="inlineStr">
        <is>
          <t>2017-09-05</t>
        </is>
      </c>
      <c r="C1478" s="30">
        <f>HYPERLINK("https://vk.com/wall-1825701_2670", "Открыть пост")</f>
        <v/>
      </c>
      <c r="D1478" s="31" t="inlineStr">
        <is>
          <t>Ярмарки, фестивали и благотворительные базары</t>
        </is>
      </c>
      <c r="E1478" s="31" t="inlineStr">
        <is>
          <t>Ярмарки, фестивали и благотворительные базары</t>
        </is>
      </c>
      <c r="F1478" s="31" t="inlineStr">
        <is>
          <t>Подопечные фонда «Дети Марии» (общая группа детей и подростков)</t>
        </is>
      </c>
      <c r="G1478" s="31" t="inlineStr">
        <is>
          <t>Студия фонда / выездная площадка</t>
        </is>
      </c>
      <c r="H1478" s="31" t="inlineStr">
        <is>
          <t>Организационные, ивент- и ярмарочные навыки</t>
        </is>
      </c>
      <c r="I1478" s="32" t="inlineStr">
        <is>
          <t>По формату занятия</t>
        </is>
      </c>
      <c r="J1478" s="31" t="inlineStr">
        <is>
          <t>Сегодня в Башне на Набережной благотворительная ярмарка до 15.00. Приглашаем всех. У нас и других фондов много всякой красоты. #башнянанабережной</t>
        </is>
      </c>
    </row>
    <row r="1479" ht="30" customHeight="1">
      <c r="A1479" s="23" t="n">
        <v>2659</v>
      </c>
      <c r="B1479" s="24" t="inlineStr">
        <is>
          <t>2017-08-31</t>
        </is>
      </c>
      <c r="C1479" s="25">
        <f>HYPERLINK("https://vk.com/wall-1825701_2659", "Открыть пост")</f>
        <v/>
      </c>
      <c r="D1479" s="26" t="inlineStr">
        <is>
          <t>Выставки, экскурсии и культурные выходы</t>
        </is>
      </c>
      <c r="E1479" s="26" t="inlineStr">
        <is>
          <t>Выставки, экскурсии и культурные выходы; Творческие мастер-классы и художественные студии</t>
        </is>
      </c>
      <c r="F1479" s="26" t="inlineStr">
        <is>
          <t>Подростки и взрослые с ментальными особенностями и ОВЗ (ПНИ / Социальные дома)</t>
        </is>
      </c>
      <c r="G1479" s="26" t="inlineStr">
        <is>
          <t>Студия фонда / выездная площадка</t>
        </is>
      </c>
      <c r="H1479" s="26" t="inlineStr">
        <is>
          <t>Художественно-прикладные и ремесленные навыки; Педагогические и наставнические навыки (кулинария, быт, учёба)</t>
        </is>
      </c>
      <c r="I1479" s="27" t="inlineStr">
        <is>
          <t>По формату занятия</t>
        </is>
      </c>
      <c r="J1479" s="26" t="inlineStr">
        <is>
          <t>Сегодня ребята из ПНИ 16 побывали в «Центре Вешняки» на выставке памяти художника Анатолия Ивановича Сухорукова «У Лукоморья». Наш преподаватель Наташа Пушкина рассказала, что Анатолий Иванович был замечательным и неповторимым художником, добрым и мудрым другом. Вдохновившись его...</t>
        </is>
      </c>
    </row>
    <row r="1480" ht="30" customHeight="1">
      <c r="A1480" s="28" t="n">
        <v>2658</v>
      </c>
      <c r="B1480" s="29" t="inlineStr">
        <is>
          <t>2017-08-31</t>
        </is>
      </c>
      <c r="C1480" s="30">
        <f>HYPERLINK("https://vk.com/wall-1825701_2658", "Открыть пост")</f>
        <v/>
      </c>
      <c r="D1480" s="31" t="inlineStr">
        <is>
          <t>Выездные лагеря, дача и сезонные программы</t>
        </is>
      </c>
      <c r="E1480" s="31" t="inlineStr">
        <is>
          <t>Выездные лагеря, дача и сезонные программы</t>
        </is>
      </c>
      <c r="F1480" s="31" t="inlineStr">
        <is>
          <t>Подопечные фонда «Дети Марии» (общая группа детей и подростков)</t>
        </is>
      </c>
      <c r="G1480" s="31" t="inlineStr">
        <is>
          <t>Студия фонда / выездная площадка</t>
        </is>
      </c>
      <c r="H1480" s="31" t="inlineStr">
        <is>
          <t>Артистические, музыкальные и спортивно-игровые навыки; Педагогические и наставнические навыки (кулинария, быт, учёба); Мобильность, выездное сопровождение и автоволонтёрство; Медиа, фото/видеосъёмка и культурная медиация</t>
        </is>
      </c>
      <c r="I1480" s="32" t="inlineStr">
        <is>
          <t>По формату занятия</t>
        </is>
      </c>
      <c r="J1480" s="31" t="inlineStr">
        <is>
          <t>А это видео, снятое Жужей — квадрокоптером, подаренным ребятам Олегом Фогелем. Дело было во время Большой Игры в летнем лагере. Финал игры — момент расколдовывания Русалочки и обретения ею человеческих ножек. Не зря старались! После лагеря прекрасная Русалочка успела стать студен...</t>
        </is>
      </c>
    </row>
    <row r="1481" ht="30" customHeight="1">
      <c r="A1481" s="23" t="n">
        <v>2656</v>
      </c>
      <c r="B1481" s="24" t="inlineStr">
        <is>
          <t>2017-08-31</t>
        </is>
      </c>
      <c r="C1481" s="25">
        <f>HYPERLINK("https://vk.com/wall-1825701_2656", "Открыть пост")</f>
        <v/>
      </c>
      <c r="D1481" s="26" t="inlineStr">
        <is>
          <t>Выставки, экскурсии и культурные выходы</t>
        </is>
      </c>
      <c r="E1481" s="26" t="inlineStr">
        <is>
          <t>Выставки, экскурсии и культурные выходы</t>
        </is>
      </c>
      <c r="F1481" s="26" t="inlineStr">
        <is>
          <t>Подростки и взрослые с ментальными особенностями и ОВЗ (ПНИ / Социальные дома)</t>
        </is>
      </c>
      <c r="G1481" s="26" t="inlineStr">
        <is>
          <t>Студия фонда / выездная площадка</t>
        </is>
      </c>
      <c r="H1481" s="26" t="inlineStr">
        <is>
          <t>Художественно-прикладные и ремесленные навыки; Артистические, музыкальные и спортивно-игровые навыки; Медиа, фото/видеосъёмка и культурная медиация</t>
        </is>
      </c>
      <c r="I1481" s="27" t="inlineStr">
        <is>
          <t>По формату занятия</t>
        </is>
      </c>
      <c r="J1481" s="26" t="inlineStr">
        <is>
          <t>Ребята из 16го ПНИ побывали сегодня в Сергиевом Посаде. Очень понравилась выставка прикладного искусства — игрушки из дерева, с которыми ребята могли поиграть. Девушки были очарованы предметами посуды из стекла и фарфора. Даша пришла в восторг от жостовских подносов. А юношам пон...</t>
        </is>
      </c>
    </row>
    <row r="1482" ht="30" customHeight="1">
      <c r="A1482" s="28" t="n">
        <v>2649</v>
      </c>
      <c r="B1482" s="29" t="inlineStr">
        <is>
          <t>2017-08-25</t>
        </is>
      </c>
      <c r="C1482" s="30">
        <f>HYPERLINK("https://vk.com/wall-1825701_2649", "Открыть пост")</f>
        <v/>
      </c>
      <c r="D1482" s="31" t="inlineStr">
        <is>
          <t>Выставки, экскурсии и культурные выходы</t>
        </is>
      </c>
      <c r="E1482" s="31" t="inlineStr">
        <is>
          <t>Выставки, экскурсии и культурные выходы</t>
        </is>
      </c>
      <c r="F1482" s="31" t="inlineStr">
        <is>
          <t>Подростки и взрослые с ментальными особенностями и ОВЗ (ПНИ / Социальные дома)</t>
        </is>
      </c>
      <c r="G1482" s="31" t="inlineStr">
        <is>
          <t>Студия фонда / выездная площадка</t>
        </is>
      </c>
      <c r="H1482" s="31" t="inlineStr">
        <is>
          <t>Коммуникативные навыки, эмпатия и тьюторское сопровождение</t>
        </is>
      </c>
      <c r="I1482" s="32" t="inlineStr">
        <is>
          <t>По формату занятия</t>
        </is>
      </c>
      <c r="J1482" s="31" t="inlineStr">
        <is>
          <t>Пока лето не кончилось, мы продолжаем гулять по городу. Сегодня с ребятами из 16го ПНИ гуляли у Новодевичьего монастыря, зашли в библиотеку им.Волошина. Посмотрели выставку восточных украшений конца 19го-начала 20го веков. Послушали рассказ про коллекцию египетских артефактов. По...</t>
        </is>
      </c>
    </row>
    <row r="1483" ht="30" customHeight="1">
      <c r="A1483" s="23" t="n">
        <v>2645</v>
      </c>
      <c r="B1483" s="24" t="inlineStr">
        <is>
          <t>2017-08-24</t>
        </is>
      </c>
      <c r="C1483" s="25">
        <f>HYPERLINK("https://vk.com/wall-1825701_2645", "Открыть пост")</f>
        <v/>
      </c>
      <c r="D1483" s="26" t="inlineStr">
        <is>
          <t>Выставки, экскурсии и культурные выходы</t>
        </is>
      </c>
      <c r="E1483" s="26" t="inlineStr">
        <is>
          <t>Выставки, экскурсии и культурные выходы</t>
        </is>
      </c>
      <c r="F1483" s="26" t="inlineStr">
        <is>
          <t>Подростки и взрослые с ментальными особенностями и ОВЗ (ПНИ / Социальные дома); Выпускники интернатов и детских домов (молодые взрослые)</t>
        </is>
      </c>
      <c r="G1483" s="26" t="inlineStr">
        <is>
          <t>Студия фонда / выездная площадка</t>
        </is>
      </c>
      <c r="H1483" s="26" t="inlineStr">
        <is>
          <t>Коммуникативные навыки, эмпатия и тьюторское сопровождение</t>
        </is>
      </c>
      <c r="I1483" s="27" t="inlineStr">
        <is>
          <t>По формату занятия</t>
        </is>
      </c>
      <c r="J1483" s="26" t="inlineStr">
        <is>
          <t>Сегодня ребята из 11го и 16го ПНИ и выпускники побывали на выставке «Искусство Лего» в ЦДХ! Поспешите, вы тоже ещё успеете, выставка работает последние дни. У нас был замечательный гид по выставке — Лена. Ребят невероятно вдохновило увиденное — кто-то стал вспоминать, что в детст...</t>
        </is>
      </c>
    </row>
    <row r="1484" ht="30" customHeight="1">
      <c r="A1484" s="28" t="n">
        <v>2630</v>
      </c>
      <c r="B1484" s="29" t="inlineStr">
        <is>
          <t>2017-08-13</t>
        </is>
      </c>
      <c r="C1484" s="30">
        <f>HYPERLINK("https://vk.com/wall-1825701_2630", "Открыть пост")</f>
        <v/>
      </c>
      <c r="D1484" s="31" t="inlineStr">
        <is>
          <t>Выставки, экскурсии и культурные выходы</t>
        </is>
      </c>
      <c r="E1484" s="31" t="inlineStr">
        <is>
          <t>Выставки, экскурсии и культурные выходы</t>
        </is>
      </c>
      <c r="F1484" s="31" t="inlineStr">
        <is>
          <t>Подростки и взрослые с ментальными особенностями и ОВЗ (ПНИ / Социальные дома)</t>
        </is>
      </c>
      <c r="G1484" s="31" t="inlineStr">
        <is>
          <t>Студия фонда / выездная площадка</t>
        </is>
      </c>
      <c r="H1484" s="31" t="inlineStr">
        <is>
          <t>Художественно-прикладные и ремесленные навыки; Коммуникативные навыки, эмпатия и тьюторское сопровождение; Мобильность, выездное сопровождение и автоволонтёрство</t>
        </is>
      </c>
      <c r="I1484" s="32" t="inlineStr">
        <is>
          <t>По формату занятия</t>
        </is>
      </c>
      <c r="J1484" s="31" t="inlineStr">
        <is>
          <t>В четверг ребята из ПНИ 11 побывали в парке Коломенское. Педагог Наталья Лясс провела экскурсию по старинному ансамблю, видевшему ещё Ивана Грозного и Петра Первого. Мы изучили окрестности , полюбовались рекой и теплоходами, посидели на поляне и нашли очень много деревьев, которы...</t>
        </is>
      </c>
    </row>
    <row r="1485" ht="30" customHeight="1">
      <c r="A1485" s="23" t="n">
        <v>2628</v>
      </c>
      <c r="B1485" s="24" t="inlineStr">
        <is>
          <t>2017-08-08</t>
        </is>
      </c>
      <c r="C1485" s="25">
        <f>HYPERLINK("https://vk.com/wall-1825701_2628", "Открыть пост")</f>
        <v/>
      </c>
      <c r="D1485" s="26" t="inlineStr">
        <is>
          <t>Выездные лагеря, дача и сезонные программы</t>
        </is>
      </c>
      <c r="E1485" s="26" t="inlineStr">
        <is>
          <t>Выездные лагеря, дача и сезонные программы</t>
        </is>
      </c>
      <c r="F1485" s="26" t="inlineStr">
        <is>
          <t>Подопечные фонда «Дети Марии» (общая группа детей и подростков)</t>
        </is>
      </c>
      <c r="G1485" s="26" t="inlineStr">
        <is>
          <t>Студия фонда / выездная площадка</t>
        </is>
      </c>
      <c r="H1485" s="26" t="inlineStr">
        <is>
          <t>Мобильность, выездное сопровождение и автоволонтёрство; Медиа, фото/видеосъёмка и культурная медиация</t>
        </is>
      </c>
      <c r="I1485" s="27" t="inlineStr">
        <is>
          <t>Да (в тексте)</t>
        </is>
      </c>
      <c r="J1485" s="26" t="inlineStr">
        <is>
          <t>И ещё видео про наш летний лагерь. Теперь от волонтёра Насти Хомяк из США. https://www.youtube.com/watch?v=4zuRwetiUPA&amp;feature=youtu.be</t>
        </is>
      </c>
    </row>
    <row r="1486" ht="30" customHeight="1">
      <c r="A1486" s="28" t="n">
        <v>2627</v>
      </c>
      <c r="B1486" s="29" t="inlineStr">
        <is>
          <t>2017-08-05</t>
        </is>
      </c>
      <c r="C1486" s="30">
        <f>HYPERLINK("https://vk.com/wall-1825701_2627", "Открыть пост")</f>
        <v/>
      </c>
      <c r="D1486" s="31" t="inlineStr">
        <is>
          <t>Выездные лагеря, дача и сезонные программы</t>
        </is>
      </c>
      <c r="E1486" s="31" t="inlineStr">
        <is>
          <t>Выездные лагеря, дача и сезонные программы</t>
        </is>
      </c>
      <c r="F1486" s="31" t="inlineStr">
        <is>
          <t>Подопечные фонда «Дети Марии» (общая группа детей и подростков)</t>
        </is>
      </c>
      <c r="G1486" s="31" t="inlineStr">
        <is>
          <t>Сорочаны</t>
        </is>
      </c>
      <c r="H1486" s="31" t="inlineStr">
        <is>
          <t>Мобильность, выездное сопровождение и автоволонтёрство</t>
        </is>
      </c>
      <c r="I1486" s="32" t="inlineStr">
        <is>
          <t>По формату занятия</t>
        </is>
      </c>
      <c r="J1486" s="31" t="inlineStr">
        <is>
          <t>Сорочаны в ритме та́бла. Продолжаем вспоминать лучшие мгновения летнего лагеря.</t>
        </is>
      </c>
    </row>
    <row r="1487" ht="30" customHeight="1">
      <c r="A1487" s="23" t="n">
        <v>2625</v>
      </c>
      <c r="B1487" s="24" t="inlineStr">
        <is>
          <t>2017-08-04</t>
        </is>
      </c>
      <c r="C1487" s="25">
        <f>HYPERLINK("https://vk.com/wall-1825701_2625", "Открыть пост")</f>
        <v/>
      </c>
      <c r="D1487" s="26" t="inlineStr">
        <is>
          <t>Выездные лагеря, дача и сезонные программы</t>
        </is>
      </c>
      <c r="E1487" s="26" t="inlineStr">
        <is>
          <t>Выездные лагеря, дача и сезонные программы; Творческие мастер-классы и художественные студии</t>
        </is>
      </c>
      <c r="F1487" s="26" t="inlineStr">
        <is>
          <t>Подопечные фонда «Дети Марии» (общая группа детей и подростков)</t>
        </is>
      </c>
      <c r="G1487" s="26" t="inlineStr">
        <is>
          <t>Студия фонда / выездная площадка</t>
        </is>
      </c>
      <c r="H1487" s="26" t="inlineStr">
        <is>
          <t>Мобильность, выездное сопровождение и автоволонтёрство</t>
        </is>
      </c>
      <c r="I1487" s="27" t="inlineStr">
        <is>
          <t>По формату занятия</t>
        </is>
      </c>
      <c r="J1487" s="26" t="inlineStr">
        <is>
          <t>В наши вазы вы можете поставить цветы, карандаши или кисти, а можете — свечу. Они расписаны детьми и взрослыми в летнем лагере на мастер-классе Гали Петровой и теперь украшают наш интернет-магазин http://mariaschildren.ru/ru/store/crockery</t>
        </is>
      </c>
    </row>
    <row r="1488" ht="30" customHeight="1">
      <c r="A1488" s="28" t="n">
        <v>2624</v>
      </c>
      <c r="B1488" s="29" t="inlineStr">
        <is>
          <t>2017-08-04</t>
        </is>
      </c>
      <c r="C1488" s="30">
        <f>HYPERLINK("https://vk.com/wall-1825701_2624", "Открыть пост")</f>
        <v/>
      </c>
      <c r="D1488" s="31" t="inlineStr">
        <is>
          <t>Выставки, экскурсии и культурные выходы</t>
        </is>
      </c>
      <c r="E1488" s="31" t="inlineStr">
        <is>
          <t>Выставки, экскурсии и культурные выходы</t>
        </is>
      </c>
      <c r="F1488" s="31" t="inlineStr">
        <is>
          <t>Подростки и взрослые с ментальными особенностями и ОВЗ (ПНИ / Социальные дома)</t>
        </is>
      </c>
      <c r="G1488" s="31" t="inlineStr">
        <is>
          <t>Студия фонда / выездная площадка</t>
        </is>
      </c>
      <c r="H1488" s="31" t="inlineStr">
        <is>
          <t>Художественно-прикладные и ремесленные навыки; Коммуникативные навыки, эмпатия и тьюторское сопровождение; Мобильность, выездное сопровождение и автоволонтёрство; Медиа, фото/видеосъёмка и культурная медиация</t>
        </is>
      </c>
      <c r="I1488" s="32" t="inlineStr">
        <is>
          <t>По формату занятия</t>
        </is>
      </c>
      <c r="J1488" s="31" t="inlineStr">
        <is>
          <t>Сегодня ребята из ПНИ 16 побывали на выставке «Чудеса России» в Историческом музее. Её даже открыли пораньше специально для нас, благодарим сотрудников музея за доброе и внимательное отношение. Мы увидели слайд-шоу из разных уголков нашей страны: наблюдали лаву, стекающую из вулк...</t>
        </is>
      </c>
    </row>
    <row r="1489" ht="30" customHeight="1">
      <c r="A1489" s="23" t="n">
        <v>2622</v>
      </c>
      <c r="B1489" s="24" t="inlineStr">
        <is>
          <t>2017-08-03</t>
        </is>
      </c>
      <c r="C1489" s="25">
        <f>HYPERLINK("https://vk.com/wall-1825701_2622", "Открыть пост")</f>
        <v/>
      </c>
      <c r="D1489" s="26" t="inlineStr">
        <is>
          <t>Выездные лагеря, дача и сезонные программы</t>
        </is>
      </c>
      <c r="E1489" s="26" t="inlineStr">
        <is>
          <t>Выездные лагеря, дача и сезонные программы; Творческие мастер-классы и художественные студии</t>
        </is>
      </c>
      <c r="F1489" s="26" t="inlineStr">
        <is>
          <t>Подопечные фонда «Дети Марии» (общая группа детей и подростков)</t>
        </is>
      </c>
      <c r="G1489" s="26" t="inlineStr">
        <is>
          <t>Студия фонда / выездная площадка</t>
        </is>
      </c>
      <c r="H1489" s="26" t="inlineStr">
        <is>
          <t>Мобильность, выездное сопровождение и автоволонтёрство</t>
        </is>
      </c>
      <c r="I1489" s="27" t="inlineStr">
        <is>
          <t>По формату занятия</t>
        </is>
      </c>
      <c r="J1489" s="26" t="inlineStr">
        <is>
          <t>В летнем лагере большой популярностью и у детей, и у взрослых пользовался мастер-класс @iragurieva по изготовлению собачек из фетра. Некоторые из них теперь в нашем интернет-магазине. mariaschildren.ru/ru/store</t>
        </is>
      </c>
    </row>
    <row r="1490" ht="30" customHeight="1">
      <c r="A1490" s="28" t="n">
        <v>2618</v>
      </c>
      <c r="B1490" s="29" t="inlineStr">
        <is>
          <t>2017-08-02</t>
        </is>
      </c>
      <c r="C1490" s="30">
        <f>HYPERLINK("https://vk.com/wall-1825701_2618", "Открыть пост")</f>
        <v/>
      </c>
      <c r="D1490" s="31" t="inlineStr">
        <is>
          <t>Выездные лагеря, дача и сезонные программы</t>
        </is>
      </c>
      <c r="E1490" s="31" t="inlineStr">
        <is>
          <t>Выездные лагеря, дача и сезонные программы; Творческие мастер-классы и художественные студии</t>
        </is>
      </c>
      <c r="F1490" s="31" t="inlineStr">
        <is>
          <t>Подопечные фонда «Дети Марии» (общая группа детей и подростков)</t>
        </is>
      </c>
      <c r="G1490" s="31" t="inlineStr">
        <is>
          <t>Студия фонда / выездная площадка</t>
        </is>
      </c>
      <c r="H1490" s="31" t="inlineStr">
        <is>
          <t>Мобильность, выездное сопровождение и автоволонтёрство</t>
        </is>
      </c>
      <c r="I1490" s="32" t="inlineStr">
        <is>
          <t>По формату занятия</t>
        </is>
      </c>
      <c r="J1490" s="31" t="inlineStr">
        <is>
          <t>Стеклянные подсвечники, расписанные в летнем лагере на мастер-классах Гали Петровой теперь в интернет-магазине http://mariaschildren.ru/ru/store/original</t>
        </is>
      </c>
    </row>
    <row r="1491" ht="30" customHeight="1">
      <c r="A1491" s="23" t="n">
        <v>2616</v>
      </c>
      <c r="B1491" s="24" t="inlineStr">
        <is>
          <t>2017-08-01</t>
        </is>
      </c>
      <c r="C1491" s="25">
        <f>HYPERLINK("https://vk.com/wall-1825701_2616", "Открыть пост")</f>
        <v/>
      </c>
      <c r="D1491" s="26" t="inlineStr">
        <is>
          <t>Выездные лагеря, дача и сезонные программы</t>
        </is>
      </c>
      <c r="E1491" s="26" t="inlineStr">
        <is>
          <t>Выездные лагеря, дача и сезонные программы; Творческие мастер-классы и художественные студии</t>
        </is>
      </c>
      <c r="F1491" s="26" t="inlineStr">
        <is>
          <t>Подопечные фонда «Дети Марии» (общая группа детей и подростков)</t>
        </is>
      </c>
      <c r="G1491" s="26" t="inlineStr">
        <is>
          <t>Студия фонда / выездная площадка</t>
        </is>
      </c>
      <c r="H1491" s="26" t="inlineStr">
        <is>
          <t>Мобильность, выездное сопровождение и автоволонтёрство</t>
        </is>
      </c>
      <c r="I1491" s="27" t="inlineStr">
        <is>
          <t>По формату занятия</t>
        </is>
      </c>
      <c r="J1491" s="26" t="inlineStr">
        <is>
          <t>В нашем летнем лагере проходил мастер-класс по созданию традиционных славянских обереговых кукол с Ирина Баранова . Некоторые из них теперь в нашем интернет-магазине. mariaschildren.ru/ru/store/games-and-toys Лёгкие куколки-талисманы можно повесить на нитку над кроваткой малыша и...</t>
        </is>
      </c>
    </row>
    <row r="1492" ht="30" customHeight="1">
      <c r="A1492" s="28" t="n">
        <v>2613</v>
      </c>
      <c r="B1492" s="29" t="inlineStr">
        <is>
          <t>2017-07-31</t>
        </is>
      </c>
      <c r="C1492" s="30">
        <f>HYPERLINK("https://vk.com/wall-1825701_2613", "Открыть пост")</f>
        <v/>
      </c>
      <c r="D1492" s="31" t="inlineStr">
        <is>
          <t>Спектакли, концерты и музыкально-театральные занятия</t>
        </is>
      </c>
      <c r="E1492" s="31" t="inlineStr">
        <is>
          <t>Спектакли, концерты и музыкально-театральные занятия</t>
        </is>
      </c>
      <c r="F1492" s="31" t="inlineStr">
        <is>
          <t>Подопечные фонда «Дети Марии» (общая группа детей и подростков)</t>
        </is>
      </c>
      <c r="G1492" s="31" t="inlineStr">
        <is>
          <t>Студия фонда / выездная площадка</t>
        </is>
      </c>
      <c r="H1492" s="31" t="inlineStr">
        <is>
          <t>Художественно-прикладные и ремесленные навыки; Артистические, музыкальные и спортивно-игровые навыки</t>
        </is>
      </c>
      <c r="I1492" s="32" t="inlineStr">
        <is>
          <t>По формату занятия</t>
        </is>
      </c>
      <c r="J1492" s="31" t="inlineStr">
        <is>
          <t>Спектакль семьи Львов «Лев и море». Идея и режиссура Иры Барановой, рыб придумывали и расписывали всей семьёй, а выпилили для всех Хетаг и Камбол, ткани красили в технике тай-дай с Дашей Каменской, льва с гривой из крафт-бумаги делали с Настей Фриевой, гитара - Петя Баранов, ритм...</t>
        </is>
      </c>
    </row>
    <row r="1493" ht="30" customHeight="1">
      <c r="A1493" s="23" t="n">
        <v>2612</v>
      </c>
      <c r="B1493" s="24" t="inlineStr">
        <is>
          <t>2017-07-31</t>
        </is>
      </c>
      <c r="C1493" s="25">
        <f>HYPERLINK("https://vk.com/wall-1825701_2612", "Открыть пост")</f>
        <v/>
      </c>
      <c r="D1493" s="26" t="inlineStr">
        <is>
          <t>Выездные лагеря, дача и сезонные программы</t>
        </is>
      </c>
      <c r="E1493" s="26" t="inlineStr">
        <is>
          <t>Выездные лагеря, дача и сезонные программы; Спектакли, концерты и музыкально-театральные занятия</t>
        </is>
      </c>
      <c r="F1493" s="26" t="inlineStr">
        <is>
          <t>Подростки и взрослые с ментальными особенностями и ОВЗ (ПНИ / Социальные дома); Воспитанники ЦССВ, ДДИ и детских домов-интернатов</t>
        </is>
      </c>
      <c r="G1493" s="26" t="inlineStr">
        <is>
          <t>ЦССВ «Юнона»</t>
        </is>
      </c>
      <c r="H1493" s="26" t="inlineStr">
        <is>
          <t>Артистические, музыкальные и спортивно-игровые навыки; Мобильность, выездное сопровождение и автоволонтёрство</t>
        </is>
      </c>
      <c r="I1493" s="27" t="inlineStr">
        <is>
          <t>Да (в тексте)</t>
        </is>
      </c>
      <c r="J1493" s="26" t="inlineStr">
        <is>
          <t>Осетинский танец с заключительного концерта в летнем лагере. Поставил его Алан — профессиональный танцор и наш новый друг. Танцуют волонтёры, дети из Филимонковского детского дома и из ЦССВ «Юнона».</t>
        </is>
      </c>
    </row>
    <row r="1494" ht="30" customHeight="1">
      <c r="A1494" s="28" t="n">
        <v>2611</v>
      </c>
      <c r="B1494" s="29" t="inlineStr">
        <is>
          <t>2017-07-31</t>
        </is>
      </c>
      <c r="C1494" s="30">
        <f>HYPERLINK("https://vk.com/wall-1825701_2611", "Открыть пост")</f>
        <v/>
      </c>
      <c r="D1494" s="31" t="inlineStr">
        <is>
          <t>Выездные лагеря, дача и сезонные программы</t>
        </is>
      </c>
      <c r="E1494" s="31" t="inlineStr">
        <is>
          <t>Выездные лагеря, дача и сезонные программы; Спектакли, концерты и музыкально-театральные занятия</t>
        </is>
      </c>
      <c r="F1494" s="31" t="inlineStr">
        <is>
          <t>Подопечные фонда «Дети Марии» (общая группа детей и подростков)</t>
        </is>
      </c>
      <c r="G1494" s="31" t="inlineStr">
        <is>
          <t>Студия фонда / выездная площадка</t>
        </is>
      </c>
      <c r="H1494" s="31" t="inlineStr">
        <is>
          <t>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Мобильность, выездное сопровождение и автоволонтёрство</t>
        </is>
      </c>
      <c r="I1494" s="32" t="inlineStr">
        <is>
          <t>Да (в тексте)</t>
        </is>
      </c>
      <c r="J1494" s="31" t="inlineStr">
        <is>
          <t>В последний день все семьи (Зебры, Слоны, Львы и Жирафы) показывают свои семейные фильмы, спектакли, песни. Нам кажется очень важной жизнь в семьях — там происходит более тесное общение между детьми и волонтёрами, возникают дружеские связи, которые продолжатся и за пределами лаге...</t>
        </is>
      </c>
    </row>
    <row r="1495" ht="30" customHeight="1">
      <c r="A1495" s="23" t="n">
        <v>2610</v>
      </c>
      <c r="B1495" s="24" t="inlineStr">
        <is>
          <t>2017-07-31</t>
        </is>
      </c>
      <c r="C1495" s="25">
        <f>HYPERLINK("https://vk.com/wall-1825701_2610", "Открыть пост")</f>
        <v/>
      </c>
      <c r="D1495" s="26" t="inlineStr">
        <is>
          <t>Выездные лагеря, дача и сезонные программы</t>
        </is>
      </c>
      <c r="E1495" s="26" t="inlineStr">
        <is>
          <t>Выездные лагеря, дача и сезонные программы; Выставки, экскурсии и культурные выходы; Творческие мастер-классы и художественные студии</t>
        </is>
      </c>
      <c r="F1495" s="26" t="inlineStr">
        <is>
          <t>Подопечные фонда «Дети Марии» (общая группа детей и подростков)</t>
        </is>
      </c>
      <c r="G1495" s="26" t="inlineStr">
        <is>
          <t>Студия фонда / выездная площадка</t>
        </is>
      </c>
      <c r="H1495" s="26" t="inlineStr">
        <is>
          <t>Мобильность, выездное сопровождение и автоволонтёрство</t>
        </is>
      </c>
      <c r="I1495" s="27" t="inlineStr">
        <is>
          <t>По формату занятия</t>
        </is>
      </c>
      <c r="J1495" s="26" t="inlineStr">
        <is>
          <t>Как много красоты создано нашими подопечными на мастер-классах за время нашего двухнедельного лагеря! В последний день мы устроили выставку, чтобы все могли полюбоваться и порадоваться талантам наших ребят.</t>
        </is>
      </c>
    </row>
    <row r="1496" ht="30" customHeight="1">
      <c r="A1496" s="28" t="n">
        <v>2609</v>
      </c>
      <c r="B1496" s="29" t="inlineStr">
        <is>
          <t>2017-07-31</t>
        </is>
      </c>
      <c r="C1496" s="30">
        <f>HYPERLINK("https://vk.com/wall-1825701_2609", "Открыть пост")</f>
        <v/>
      </c>
      <c r="D1496" s="31" t="inlineStr">
        <is>
          <t>Спектакли, концерты и музыкально-театральные занятия</t>
        </is>
      </c>
      <c r="E1496" s="31" t="inlineStr">
        <is>
          <t>Спектакли, концерты и музыкально-театральные занятия; Выездные лагеря, дача и сезонные программы; Творческие мастер-классы и художественные студии</t>
        </is>
      </c>
      <c r="F1496" s="31" t="inlineStr">
        <is>
          <t>Выпускники интернатов и детских домов (молодые взрослые)</t>
        </is>
      </c>
      <c r="G1496" s="31" t="inlineStr">
        <is>
          <t>Студия фонда / выездная площадка</t>
        </is>
      </c>
      <c r="H1496" s="31" t="inlineStr">
        <is>
          <t>Художественно-прикладные и ремесленные навыки; Артистические, музыкальные и спортивно-игровые навыки; Мобильность, выездное сопровождение и автоволонтёрство</t>
        </is>
      </c>
      <c r="I1496" s="32" t="inlineStr">
        <is>
          <t>Да (в тексте)</t>
        </is>
      </c>
      <c r="J1496" s="31" t="inlineStr">
        <is>
          <t>Премьера спектакля «Малыш и Карлсон», который режиссёр Владимир Белоусов поставил с волонтёрами и выпускниками, тоже прошла в летнем лагере «Наша семейка». Дети много смеялись и долго аплодировали. Спасибо Владимиру и актёрам: Ясину, Лёше, Кристина, Гале и Людмиле! Спасибо всем, ...</t>
        </is>
      </c>
    </row>
    <row r="1497" ht="30" customHeight="1">
      <c r="A1497" s="23" t="n">
        <v>2608</v>
      </c>
      <c r="B1497" s="24" t="inlineStr">
        <is>
          <t>2017-07-31</t>
        </is>
      </c>
      <c r="C1497" s="25">
        <f>HYPERLINK("https://vk.com/wall-1825701_2608", "Открыть пост")</f>
        <v/>
      </c>
      <c r="D1497" s="26" t="inlineStr">
        <is>
          <t>Выездные лагеря, дача и сезонные программы</t>
        </is>
      </c>
      <c r="E1497" s="26" t="inlineStr">
        <is>
          <t>Выездные лагеря, дача и сезонные программы</t>
        </is>
      </c>
      <c r="F1497" s="26" t="inlineStr">
        <is>
          <t>Подопечные фонда «Дети Марии» (общая группа детей и подростков)</t>
        </is>
      </c>
      <c r="G1497" s="26" t="inlineStr">
        <is>
          <t>Студия фонда / выездная площадка</t>
        </is>
      </c>
      <c r="H1497" s="26" t="inlineStr">
        <is>
          <t>Педагогические и наставнические навыки (кулинария, быт, учёба); Мобильность, выездное сопровождение и автоволонтёрство</t>
        </is>
      </c>
      <c r="I1497" s="27" t="inlineStr">
        <is>
          <t>Да (в тексте)</t>
        </is>
      </c>
      <c r="J1497" s="26" t="inlineStr">
        <is>
          <t>После утреннего катания на банане вечером детей ожидал ещё более грандиозный сюрприз — приезд байкеров. Этих удивительных людей пригласил наш друг Женя, который в зимнем лагере учит наших детей кататься на сноуборде. Сначала мы насладились байкерским шоу, а потом настала самая гр...</t>
        </is>
      </c>
    </row>
    <row r="1498" ht="30" customHeight="1">
      <c r="A1498" s="28" t="n">
        <v>2607</v>
      </c>
      <c r="B1498" s="29" t="inlineStr">
        <is>
          <t>2017-07-31</t>
        </is>
      </c>
      <c r="C1498" s="30">
        <f>HYPERLINK("https://vk.com/wall-1825701_2607", "Открыть пост")</f>
        <v/>
      </c>
      <c r="D1498" s="31" t="inlineStr">
        <is>
          <t>Выездные лагеря, дача и сезонные программы</t>
        </is>
      </c>
      <c r="E1498" s="31" t="inlineStr">
        <is>
          <t>Выездные лагеря, дача и сезонные программы</t>
        </is>
      </c>
      <c r="F1498" s="31" t="inlineStr">
        <is>
          <t>Подопечные фонда «Дети Марии» (общая группа детей и подростков)</t>
        </is>
      </c>
      <c r="G1498" s="31" t="inlineStr">
        <is>
          <t>Студия фонда / выездная площадка</t>
        </is>
      </c>
      <c r="H1498" s="31" t="inlineStr">
        <is>
          <t>Мобильность, выездное сопровождение и автоволонтёрство</t>
        </is>
      </c>
      <c r="I1498" s="32" t="inlineStr">
        <is>
          <t>По формату занятия</t>
        </is>
      </c>
      <c r="J1498" s="31" t="inlineStr">
        <is>
          <t>Последние дни летнего лагеря «Наша семейка» вместили в себя много ярких и удивительных событий. Наконец мы поймали хорошую погоду и покатали детей на «банане» к огромному к их восторгу!</t>
        </is>
      </c>
    </row>
    <row r="1499" ht="30" customHeight="1">
      <c r="A1499" s="23" t="n">
        <v>2606</v>
      </c>
      <c r="B1499" s="24" t="inlineStr">
        <is>
          <t>2017-07-30</t>
        </is>
      </c>
      <c r="C1499" s="25">
        <f>HYPERLINK("https://vk.com/wall-1825701_2606", "Открыть пост")</f>
        <v/>
      </c>
      <c r="D1499" s="26" t="inlineStr">
        <is>
          <t>Праздники, дни рождения и клубные встречи</t>
        </is>
      </c>
      <c r="E1499" s="26" t="inlineStr">
        <is>
          <t>Праздники, дни рождения и клубные встречи</t>
        </is>
      </c>
      <c r="F1499" s="26" t="inlineStr">
        <is>
          <t>Подростки и взрослые с ментальными особенностями и ОВЗ (ПНИ / Социальные дома)</t>
        </is>
      </c>
      <c r="G1499" s="26" t="inlineStr">
        <is>
          <t>Студия фонда / выездная площадка</t>
        </is>
      </c>
      <c r="H1499" s="26" t="inlineStr">
        <is>
          <t>Артистические, музыкальные и спортивно-игровые навыки; Педагогические и наставнические навыки (кулинария, быт, учёба)</t>
        </is>
      </c>
      <c r="I1499" s="27" t="inlineStr">
        <is>
          <t>По формату занятия</t>
        </is>
      </c>
      <c r="J1499" s="26" t="inlineStr">
        <is>
          <t>В четверг в Коломенском состоялся грандиозный пикник для ребят из ПНИ 16 и студентов из разных стран. Сначала мы познакомились со студентами Каждый из них представил себя, из какой он страны и на какую специальность учится. Были ребята из Африки, Европы, Южной Америки, Юго-восточ...</t>
        </is>
      </c>
    </row>
    <row r="1500" ht="30" customHeight="1">
      <c r="A1500" s="28" t="n">
        <v>2604</v>
      </c>
      <c r="B1500" s="29" t="inlineStr">
        <is>
          <t>2017-07-26</t>
        </is>
      </c>
      <c r="C1500" s="30">
        <f>HYPERLINK("https://vk.com/wall-1825701_2604", "Открыть пост")</f>
        <v/>
      </c>
      <c r="D1500" s="31" t="inlineStr">
        <is>
          <t>Выездные лагеря, дача и сезонные программы</t>
        </is>
      </c>
      <c r="E1500" s="31" t="inlineStr">
        <is>
          <t>Выездные лагеря, дача и сезонные программы</t>
        </is>
      </c>
      <c r="F1500" s="31" t="inlineStr">
        <is>
          <t>Подопечные фонда «Дети Марии» (общая группа детей и подростков)</t>
        </is>
      </c>
      <c r="G1500" s="31" t="inlineStr">
        <is>
          <t>Студия фонда / выездная площадка</t>
        </is>
      </c>
      <c r="H1500" s="31" t="inlineStr">
        <is>
          <t>Мобильность, выездное сопровождение и автоволонтёрство</t>
        </is>
      </c>
      <c r="I1500" s="32" t="inlineStr">
        <is>
          <t>По формату занятия</t>
        </is>
      </c>
      <c r="J1500" s="31" t="inlineStr">
        <is>
          <t>Вчера у нас в лагере прошёл поэтический вечер, идея которого принадлежала Лёше Ждамирову. Лёша всерьёз подготовился и читал наизусть басню Крылова, стихи Лермонтова, Ершова и даже прозаический отрывок из «Маленького принца» Экзюпери. А потом другие желающие дети и взрослые смогли...</t>
        </is>
      </c>
    </row>
    <row r="1501" ht="30" customHeight="1">
      <c r="A1501" s="23" t="n">
        <v>2603</v>
      </c>
      <c r="B1501" s="24" t="inlineStr">
        <is>
          <t>2017-07-26</t>
        </is>
      </c>
      <c r="C1501" s="25">
        <f>HYPERLINK("https://vk.com/wall-1825701_2603", "Открыть пост")</f>
        <v/>
      </c>
      <c r="D1501" s="26" t="inlineStr">
        <is>
          <t>Выставки, экскурсии и культурные выходы</t>
        </is>
      </c>
      <c r="E1501" s="26" t="inlineStr">
        <is>
          <t>Выставки, экскурсии и культурные выходы</t>
        </is>
      </c>
      <c r="F1501" s="26" t="inlineStr">
        <is>
          <t>Подростки и взрослые с ментальными особенностями и ОВЗ (ПНИ / Социальные дома)</t>
        </is>
      </c>
      <c r="G1501" s="26" t="inlineStr">
        <is>
          <t>Студия фонда / выездная площадка</t>
        </is>
      </c>
      <c r="H1501" s="26" t="inlineStr">
        <is>
          <t>Коммуникативные навыки, эмпатия и тьюторское сопровождение</t>
        </is>
      </c>
      <c r="I1501" s="27" t="inlineStr">
        <is>
          <t>По формату занятия</t>
        </is>
      </c>
      <c r="J1501" s="26" t="inlineStr">
        <is>
          <t>Сегодня ребята из ПНИ 16 побывали в Московском зоопарке. Они увидели и белого тигра, и рысь (как она ест добычу), и спящую лису, и овцебыков, и жирафа со слоном и даже морских котиков, и благородных орлов, венценосных журавлей, фламинго . Но самый большой восторг вызвали козочки ...</t>
        </is>
      </c>
    </row>
    <row r="1502" ht="30" customHeight="1">
      <c r="A1502" s="28" t="n">
        <v>2602</v>
      </c>
      <c r="B1502" s="29" t="inlineStr">
        <is>
          <t>2017-07-25</t>
        </is>
      </c>
      <c r="C1502" s="30">
        <f>HYPERLINK("https://vk.com/wall-1825701_2602", "Открыть пост")</f>
        <v/>
      </c>
      <c r="D1502" s="31" t="inlineStr">
        <is>
          <t>Спектакли, концерты и музыкально-театральные занятия</t>
        </is>
      </c>
      <c r="E1502" s="31" t="inlineStr">
        <is>
          <t>Спектакли, концерты и музыкально-театральные занятия; Выездные лагеря, дача и сезонные программы</t>
        </is>
      </c>
      <c r="F1502" s="31" t="inlineStr">
        <is>
          <t>Выпускники интернатов и детских домов (молодые взрослые)</t>
        </is>
      </c>
      <c r="G1502" s="31" t="inlineStr">
        <is>
          <t>Студия фонда / выездная площадка</t>
        </is>
      </c>
      <c r="H1502" s="31" t="inlineStr">
        <is>
          <t>Артистические, музыкальные и спортивно-игровые навыки; Мобильность, выездное сопровождение и автоволонтёрство</t>
        </is>
      </c>
      <c r="I1502" s="32" t="inlineStr">
        <is>
          <t>По формату занятия</t>
        </is>
      </c>
      <c r="J1502" s="31" t="inlineStr">
        <is>
          <t>Сегодня к нам в лагерь приезжали актёры театра и кино Владимир Белоусов и Михаил Петроченко со спектаклем «Фантазёры» по рассказам Носова, Голявкина и Драгунского. После смешного спектакля гости показали ребятам несколько театральных упражнений, и у желающих была возможность сами...</t>
        </is>
      </c>
    </row>
    <row r="1503" ht="30" customHeight="1">
      <c r="A1503" s="23" t="n">
        <v>2601</v>
      </c>
      <c r="B1503" s="24" t="inlineStr">
        <is>
          <t>2017-07-24</t>
        </is>
      </c>
      <c r="C1503" s="25">
        <f>HYPERLINK("https://vk.com/wall-1825701_2601", "Открыть пост")</f>
        <v/>
      </c>
      <c r="D1503" s="26" t="inlineStr">
        <is>
          <t>Выездные лагеря, дача и сезонные программы</t>
        </is>
      </c>
      <c r="E1503" s="26" t="inlineStr">
        <is>
          <t>Выездные лагеря, дача и сезонные программы; Кулинарные, образовательные и социально-бытовые занятия</t>
        </is>
      </c>
      <c r="F1503" s="26" t="inlineStr">
        <is>
          <t>Подопечные фонда «Дети Марии» (общая группа детей и подростков)</t>
        </is>
      </c>
      <c r="G1503" s="26" t="inlineStr">
        <is>
          <t>Студия фонда / выездная площадка</t>
        </is>
      </c>
      <c r="H1503" s="26" t="inlineStr">
        <is>
          <t>Артистические, музыкальные и спортивно-игровые навыки; Мобильность, выездное сопровождение и автоволонтёрство</t>
        </is>
      </c>
      <c r="I1503" s="27" t="inlineStr">
        <is>
          <t>Да (в тексте)</t>
        </is>
      </c>
      <c r="J1503" s="26" t="inlineStr">
        <is>
          <t>В воскресенье в лагере «Наша семейка» прошла Большая Игра — наше традиционное действо, длинный, запутанный квест, во время которого всем лагерем мы помогаем сказочным героям. В этом году — русалочке, которая жила в озере в лагере, но мечтала выйти на берег и играть вместе с нами....</t>
        </is>
      </c>
    </row>
    <row r="1504" ht="30" customHeight="1">
      <c r="A1504" s="28" t="n">
        <v>2600</v>
      </c>
      <c r="B1504" s="29" t="inlineStr">
        <is>
          <t>2017-07-23</t>
        </is>
      </c>
      <c r="C1504" s="30">
        <f>HYPERLINK("https://vk.com/wall-1825701_2600", "Открыть пост")</f>
        <v/>
      </c>
      <c r="D1504" s="31" t="inlineStr">
        <is>
          <t>Выездные лагеря, дача и сезонные программы</t>
        </is>
      </c>
      <c r="E1504" s="31" t="inlineStr">
        <is>
          <t>Выездные лагеря, дача и сезонные программы; Спектакли, концерты и музыкально-театральные занятия</t>
        </is>
      </c>
      <c r="F1504" s="31" t="inlineStr">
        <is>
          <t>Подопечные фонда «Дети Марии» (общая группа детей и подростков)</t>
        </is>
      </c>
      <c r="G1504" s="31" t="inlineStr">
        <is>
          <t>Студия фонда / выездная площадка</t>
        </is>
      </c>
      <c r="H1504" s="31" t="inlineStr">
        <is>
          <t>Артистические, музыкальные и спортивно-игровые навыки; Педагогические и наставнические навыки (кулинария, быт, учёба); Мобильность, выездное сопровождение и автоволонтёрство</t>
        </is>
      </c>
      <c r="I1504" s="32" t="inlineStr">
        <is>
          <t>По формату занятия</t>
        </is>
      </c>
      <c r="J1504" s="31" t="inlineStr">
        <is>
          <t>Вчера в лагере «Наша семейка» мы устроили «театр с колёс» — спектакль, который готовится буквально за пару часов, зато в нём участвуют все! В этом году мы показывали русскую народную сказку «Летучий корабль» в обработке нашего Саши Шишова. Каждая семья готовила свою часть, и у вс...</t>
        </is>
      </c>
    </row>
    <row r="1505" ht="30" customHeight="1">
      <c r="A1505" s="23" t="n">
        <v>2599</v>
      </c>
      <c r="B1505" s="24" t="inlineStr">
        <is>
          <t>2017-07-23</t>
        </is>
      </c>
      <c r="C1505" s="25">
        <f>HYPERLINK("https://vk.com/wall-1825701_2599", "Открыть пост")</f>
        <v/>
      </c>
      <c r="D1505" s="26" t="inlineStr">
        <is>
          <t>Выездные лагеря, дача и сезонные программы</t>
        </is>
      </c>
      <c r="E1505" s="26" t="inlineStr">
        <is>
          <t>Выездные лагеря, дача и сезонные программы</t>
        </is>
      </c>
      <c r="F1505" s="26" t="inlineStr">
        <is>
          <t>Подопечные фонда «Дети Марии» (общая группа детей и подростков)</t>
        </is>
      </c>
      <c r="G1505" s="26" t="inlineStr">
        <is>
          <t>Студия фонда / выездная площадка</t>
        </is>
      </c>
      <c r="H1505" s="26" t="inlineStr">
        <is>
          <t>Артистические, музыкальные и спортивно-игровые навыки; Мобильность, выездное сопровождение и автоволонтёрство</t>
        </is>
      </c>
      <c r="I1505" s="27" t="inlineStr">
        <is>
          <t>По формату занятия</t>
        </is>
      </c>
      <c r="J1505" s="26" t="inlineStr">
        <is>
          <t>Вчера в нашем лагере выступал клуб традиционной казачьей песни «Петров Вал». Спасибо приехавшим артистам, они не только очень красиво пели, но и рассказывали ребятам об истории терского казачества.</t>
        </is>
      </c>
    </row>
    <row r="1506" ht="30" customHeight="1">
      <c r="A1506" s="28" t="n">
        <v>2598</v>
      </c>
      <c r="B1506" s="29" t="inlineStr">
        <is>
          <t>2017-07-22</t>
        </is>
      </c>
      <c r="C1506" s="30">
        <f>HYPERLINK("https://vk.com/wall-1825701_2598", "Открыть пост")</f>
        <v/>
      </c>
      <c r="D1506" s="31" t="inlineStr">
        <is>
          <t>Выездные лагеря, дача и сезонные программы</t>
        </is>
      </c>
      <c r="E1506" s="31" t="inlineStr">
        <is>
          <t>Выездные лагеря, дача и сезонные программы; Праздники, дни рождения и клубные встречи</t>
        </is>
      </c>
      <c r="F1506" s="31" t="inlineStr">
        <is>
          <t>Подопечные фонда «Дети Марии» (общая группа детей и подростков)</t>
        </is>
      </c>
      <c r="G1506" s="31" t="inlineStr">
        <is>
          <t>Студия фонда / выездная площадка</t>
        </is>
      </c>
      <c r="H1506" s="31" t="inlineStr">
        <is>
          <t>Мобильность, выездное сопровождение и автоволонтёрство</t>
        </is>
      </c>
      <c r="I1506" s="32" t="inlineStr">
        <is>
          <t>По формату занятия</t>
        </is>
      </c>
      <c r="J1506" s="31" t="inlineStr">
        <is>
          <t>В лагере «Наша семейка» вчера вечером — ужин и дискотека сумасшедших причёсок. Это наша давняя традиция, но каждый раз находятся новые, свежие идеи.</t>
        </is>
      </c>
    </row>
    <row r="1507" ht="30" customHeight="1">
      <c r="A1507" s="23" t="n">
        <v>2597</v>
      </c>
      <c r="B1507" s="24" t="inlineStr">
        <is>
          <t>2017-07-21</t>
        </is>
      </c>
      <c r="C1507" s="25">
        <f>HYPERLINK("https://vk.com/wall-1825701_2597", "Открыть пост")</f>
        <v/>
      </c>
      <c r="D1507" s="26" t="inlineStr">
        <is>
          <t>Кулинарные, образовательные и социально-бытовые занятия</t>
        </is>
      </c>
      <c r="E1507" s="26" t="inlineStr">
        <is>
          <t>Кулинарные, образовательные и социально-бытовые занятия</t>
        </is>
      </c>
      <c r="F1507" s="26" t="inlineStr">
        <is>
          <t>Подростки и взрослые с ментальными особенностями и ОВЗ (ПНИ / Социальные дома)</t>
        </is>
      </c>
      <c r="G1507" s="26" t="inlineStr">
        <is>
          <t>Студия фонда / выездная площадка</t>
        </is>
      </c>
      <c r="H1507" s="26" t="inlineStr">
        <is>
          <t>Артистические, музыкальные и спортивно-игровые навыки; Педагогические и наставнические навыки (кулинария, быт, учёба)</t>
        </is>
      </c>
      <c r="I1507" s="27" t="inlineStr">
        <is>
          <t>Да (в тексте)</t>
        </is>
      </c>
      <c r="J1507" s="26" t="inlineStr">
        <is>
          <t>Вчера на занятиях в ПНИ 16 с нашими волонтерами Аллой и Ириной ребята доваляли матрешек, а основные занятия были на воздухе. Нарисовали павлина из ладошек, играли в летающую тарелку, в вышибалы, занимались дыхательной гимнастикой и чуть-чуть поиграли на английском языке. Оказалос...</t>
        </is>
      </c>
    </row>
    <row r="1508" ht="30" customHeight="1">
      <c r="A1508" s="28" t="n">
        <v>2596</v>
      </c>
      <c r="B1508" s="29" t="inlineStr">
        <is>
          <t>2017-07-21</t>
        </is>
      </c>
      <c r="C1508" s="30">
        <f>HYPERLINK("https://vk.com/wall-1825701_2596", "Открыть пост")</f>
        <v/>
      </c>
      <c r="D1508" s="31" t="inlineStr">
        <is>
          <t>Выездные лагеря, дача и сезонные программы</t>
        </is>
      </c>
      <c r="E1508" s="31" t="inlineStr">
        <is>
          <t>Выездные лагеря, дача и сезонные программы; Спортивные и активные мероприятия</t>
        </is>
      </c>
      <c r="F1508" s="31" t="inlineStr">
        <is>
          <t>Дети и семьи (в т.ч. приёмные семьи и программа в Беслане)</t>
        </is>
      </c>
      <c r="G1508" s="31" t="inlineStr">
        <is>
          <t>беслан, Беслан</t>
        </is>
      </c>
      <c r="H1508" s="31" t="inlineStr">
        <is>
          <t>Артистические, музыкальные и спортивно-игровые навыки; Мобильность, выездное сопровождение и автоволонтёрство</t>
        </is>
      </c>
      <c r="I1508" s="32" t="inlineStr">
        <is>
          <t>Да (в тексте)</t>
        </is>
      </c>
      <c r="J1508" s="31" t="inlineStr">
        <is>
          <t>Сегодня в летнем лагере осетинский вечер — бесланцы напекли на всю «Нашу семейку» осетинских пирогов, а после ужина танцевали для нас народные осетинские танцы, да так зажигательно, что многие дети и взрослые тоже присоединились. Спасибо, друзья, за вкусный и радостный вечер! Вол...</t>
        </is>
      </c>
    </row>
    <row r="1509" ht="30" customHeight="1">
      <c r="A1509" s="23" t="n">
        <v>2594</v>
      </c>
      <c r="B1509" s="24" t="inlineStr">
        <is>
          <t>2017-07-19</t>
        </is>
      </c>
      <c r="C1509" s="25">
        <f>HYPERLINK("https://vk.com/wall-1825701_2594", "Открыть пост")</f>
        <v/>
      </c>
      <c r="D1509" s="26" t="inlineStr">
        <is>
          <t>Творческие мастер-классы и художественные студии</t>
        </is>
      </c>
      <c r="E1509" s="26" t="inlineStr">
        <is>
          <t>Творческие мастер-классы и художественные студии; Выездные лагеря, дача и сезонные программы</t>
        </is>
      </c>
      <c r="F1509" s="26" t="inlineStr">
        <is>
          <t>Подопечные фонда «Дети Марии» (общая группа детей и подростков)</t>
        </is>
      </c>
      <c r="G1509" s="26" t="inlineStr">
        <is>
          <t>Студия фонда / выездная площадка</t>
        </is>
      </c>
      <c r="H1509" s="26" t="inlineStr">
        <is>
          <t>Художественно-прикладные и ремесленные навыки; Артистические, музыкальные и спортивно-игровые навыки; Мобильность, выездное сопровождение и автоволонтёрство</t>
        </is>
      </c>
      <c r="I1509" s="27" t="inlineStr">
        <is>
          <t>По формату занятия</t>
        </is>
      </c>
      <c r="J1509" s="26" t="inlineStr">
        <is>
          <t>Лагерь «Наша семейка» продолжается. Всё утро шли мастер-классы, выбор у ребят большой, можно танцевать, расписывать стекло, делать мозаику, мастерить заколки для волос...</t>
        </is>
      </c>
    </row>
    <row r="1510" ht="30" customHeight="1">
      <c r="A1510" s="28" t="n">
        <v>2591</v>
      </c>
      <c r="B1510" s="29" t="inlineStr">
        <is>
          <t>2017-07-15</t>
        </is>
      </c>
      <c r="C1510" s="30">
        <f>HYPERLINK("https://vk.com/wall-1825701_2591", "Открыть пост")</f>
        <v/>
      </c>
      <c r="D1510" s="31" t="inlineStr">
        <is>
          <t>Выездные лагеря, дача и сезонные программы</t>
        </is>
      </c>
      <c r="E1510" s="31" t="inlineStr">
        <is>
          <t>Выездные лагеря, дача и сезонные программы</t>
        </is>
      </c>
      <c r="F1510" s="31" t="inlineStr">
        <is>
          <t>Подопечные фонда «Дети Марии» (общая группа детей и подростков)</t>
        </is>
      </c>
      <c r="G1510" s="31" t="inlineStr">
        <is>
          <t>Студия фонда / выездная площадка</t>
        </is>
      </c>
      <c r="H1510" s="31" t="inlineStr">
        <is>
          <t>Мобильность, выездное сопровождение и автоволонтёрство</t>
        </is>
      </c>
      <c r="I1510" s="32" t="inlineStr">
        <is>
          <t>Да (в тексте)</t>
        </is>
      </c>
      <c r="J1510" s="31" t="inlineStr">
        <is>
          <t>Совсем скоро начнётся любимая «Наша семейка», по нашим подсчётам, — это девятнадцатый летний лагерь «Детей Марии». Волонтёры обсуждают будущий лагерь, а самая младшая его участница Лиля безмятежно спит на руках у всех по очереди.</t>
        </is>
      </c>
    </row>
    <row r="1511" ht="30" customHeight="1">
      <c r="A1511" s="23" t="n">
        <v>2589</v>
      </c>
      <c r="B1511" s="24" t="inlineStr">
        <is>
          <t>2017-07-13</t>
        </is>
      </c>
      <c r="C1511" s="25">
        <f>HYPERLINK("https://vk.com/wall-1825701_2589", "Открыть пост")</f>
        <v/>
      </c>
      <c r="D1511" s="26" t="inlineStr">
        <is>
          <t>Выездные лагеря, дача и сезонные программы</t>
        </is>
      </c>
      <c r="E1511" s="26" t="inlineStr">
        <is>
          <t>Выездные лагеря, дача и сезонные программы</t>
        </is>
      </c>
      <c r="F1511" s="26" t="inlineStr">
        <is>
          <t>Воспитанники ЦССВ, ДДИ и детских домов-интернатов</t>
        </is>
      </c>
      <c r="G1511" s="26" t="inlineStr">
        <is>
          <t>ЦССВ «Юнона»</t>
        </is>
      </c>
      <c r="H1511" s="26" t="inlineStr">
        <is>
          <t>Мобильность, выездное сопровождение и автоволонтёрство</t>
        </is>
      </c>
      <c r="I1511" s="27" t="inlineStr">
        <is>
          <t>Да (в тексте)</t>
        </is>
      </c>
      <c r="J1511" s="26" t="inlineStr">
        <is>
          <t>Второй год подряд к нам из далекой Америки приезжают волонтёры — студенты James Madison University. Сегодня в загородных мастерских они встретились и сразу подружились с ребятами из ЦССВ «Юнона». Уже через пару дней они вместе поедут в наш любимый летний лагерь.</t>
        </is>
      </c>
    </row>
    <row r="1512" ht="30" customHeight="1">
      <c r="A1512" s="28" t="n">
        <v>2582</v>
      </c>
      <c r="B1512" s="29" t="inlineStr">
        <is>
          <t>2017-07-11</t>
        </is>
      </c>
      <c r="C1512" s="30">
        <f>HYPERLINK("https://vk.com/wall-1825701_2582", "Открыть пост")</f>
        <v/>
      </c>
      <c r="D1512" s="31" t="inlineStr">
        <is>
          <t>Ярмарки, фестивали и благотворительные базары</t>
        </is>
      </c>
      <c r="E1512" s="31" t="inlineStr">
        <is>
          <t>Ярмарки, фестивали и благотворительные базары</t>
        </is>
      </c>
      <c r="F1512" s="31" t="inlineStr">
        <is>
          <t>Подопечные фонда «Дети Марии» (общая группа детей и подростков)</t>
        </is>
      </c>
      <c r="G1512" s="31" t="inlineStr">
        <is>
          <t>Студия фонда / выездная площадка</t>
        </is>
      </c>
      <c r="H1512" s="31" t="inlineStr">
        <is>
          <t>Организационные, ивент- и ярмарочные навыки</t>
        </is>
      </c>
      <c r="I1512" s="32" t="inlineStr">
        <is>
          <t>По формату занятия</t>
        </is>
      </c>
      <c r="J1512" s="31" t="inlineStr">
        <is>
          <t>Новый Год ближе, чем вы думаете. Уже началась подготовка к самой крупной новогодней благотворительной ярмарке страны. #яотвечаюзаbazar https://vk.com/club149926676</t>
        </is>
      </c>
    </row>
    <row r="1513" ht="30" customHeight="1">
      <c r="A1513" s="23" t="n">
        <v>2581</v>
      </c>
      <c r="B1513" s="24" t="inlineStr">
        <is>
          <t>2017-07-10</t>
        </is>
      </c>
      <c r="C1513" s="25">
        <f>HYPERLINK("https://vk.com/wall-1825701_2581", "Открыть пост")</f>
        <v/>
      </c>
      <c r="D1513" s="26" t="inlineStr">
        <is>
          <t>Выездные лагеря, дача и сезонные программы</t>
        </is>
      </c>
      <c r="E1513" s="26" t="inlineStr">
        <is>
          <t>Выездные лагеря, дача и сезонные программы</t>
        </is>
      </c>
      <c r="F1513" s="26" t="inlineStr">
        <is>
          <t>Подопечные фонда «Дети Марии» (общая группа детей и подростков)</t>
        </is>
      </c>
      <c r="G1513" s="26" t="inlineStr">
        <is>
          <t>Студия фонда / выездная площадка</t>
        </is>
      </c>
      <c r="H1513" s="26" t="inlineStr">
        <is>
          <t>Мобильность, выездное сопровождение и автоволонтёрство</t>
        </is>
      </c>
      <c r="I1513" s="27" t="inlineStr">
        <is>
          <t>По формату занятия</t>
        </is>
      </c>
      <c r="J1513" s="26" t="inlineStr">
        <is>
          <t>Премьера пройдет в нашем летнем лагере. Всем остальным тоже покажем, когда вернёмся.</t>
        </is>
      </c>
    </row>
    <row r="1514" ht="30" customHeight="1">
      <c r="A1514" s="28" t="n">
        <v>2573</v>
      </c>
      <c r="B1514" s="29" t="inlineStr">
        <is>
          <t>2017-07-07</t>
        </is>
      </c>
      <c r="C1514" s="30">
        <f>HYPERLINK("https://vk.com/wall-1825701_2573", "Открыть пост")</f>
        <v/>
      </c>
      <c r="D1514" s="31" t="inlineStr">
        <is>
          <t>Ярмарки, фестивали и благотворительные базары</t>
        </is>
      </c>
      <c r="E1514" s="31" t="inlineStr">
        <is>
          <t>Ярмарки, фестивали и благотворительные базары</t>
        </is>
      </c>
      <c r="F1514" s="31" t="inlineStr">
        <is>
          <t>Подопечные фонда «Дети Марии» (общая группа детей и подростков)</t>
        </is>
      </c>
      <c r="G1514" s="31" t="inlineStr">
        <is>
          <t>Студия фонда / выездная площадка</t>
        </is>
      </c>
      <c r="H1514" s="31" t="inlineStr">
        <is>
          <t>Коммуникативные навыки, эмпатия и тьюторское сопровождение; Организационные, ивент- и ярмарочные навыки</t>
        </is>
      </c>
      <c r="I1514" s="32" t="inlineStr">
        <is>
          <t>По формату занятия</t>
        </is>
      </c>
      <c r="J1514" s="31" t="inlineStr">
        <is>
          <t>Сегодня на благотворительном аукционе Meet For Charity вы можете выиграть встречу с Ирина Митрофанова (Irina Mitrofanova) — директором Издательского дома РБК и руководителем проекта РБК+. Надеемся, что Издательский дом РБК не нуждается в представлении. Ведь это один из крупнейших...</t>
        </is>
      </c>
    </row>
    <row r="1515" ht="30" customHeight="1">
      <c r="A1515" s="23" t="n">
        <v>2568</v>
      </c>
      <c r="B1515" s="24" t="inlineStr">
        <is>
          <t>2017-07-04</t>
        </is>
      </c>
      <c r="C1515" s="25">
        <f>HYPERLINK("https://vk.com/wall-1825701_2568", "Открыть пост")</f>
        <v/>
      </c>
      <c r="D1515" s="26" t="inlineStr">
        <is>
          <t>Ярмарки, фестивали и благотворительные базары</t>
        </is>
      </c>
      <c r="E1515" s="26" t="inlineStr">
        <is>
          <t>Ярмарки, фестивали и благотворительные базары</t>
        </is>
      </c>
      <c r="F1515" s="26" t="inlineStr">
        <is>
          <t>Подопечные фонда «Дети Марии» (общая группа детей и подростков)</t>
        </is>
      </c>
      <c r="G1515" s="26" t="inlineStr">
        <is>
          <t>Студия фонда / выездная площадка</t>
        </is>
      </c>
      <c r="H1515" s="26" t="inlineStr">
        <is>
          <t>Организационные, ивент- и ярмарочные навыки</t>
        </is>
      </c>
      <c r="I1515" s="27" t="inlineStr">
        <is>
          <t>По формату занятия</t>
        </is>
      </c>
      <c r="J1515" s="26" t="inlineStr">
        <is>
          <t>Сегодня очень добрый день — на ярмарке в АО «Атомредметзолото» мы собрали 35400 рублей! Спасибо сотрудникам АРМЗ за активность и щедрость! Пресс-релиз тут: http://www.armz.ru/press/news/?id=1060</t>
        </is>
      </c>
    </row>
    <row r="1516" ht="30" customHeight="1">
      <c r="A1516" s="28" t="n">
        <v>2554</v>
      </c>
      <c r="B1516" s="29" t="inlineStr">
        <is>
          <t>2017-06-29</t>
        </is>
      </c>
      <c r="C1516" s="30">
        <f>HYPERLINK("https://vk.com/wall-1825701_2554", "Открыть пост")</f>
        <v/>
      </c>
      <c r="D1516" s="31" t="inlineStr">
        <is>
          <t>Выездные лагеря, дача и сезонные программы</t>
        </is>
      </c>
      <c r="E1516" s="31" t="inlineStr">
        <is>
          <t>Выездные лагеря, дача и сезонные программы</t>
        </is>
      </c>
      <c r="F1516" s="31" t="inlineStr">
        <is>
          <t>Воспитанники ЦССВ, ДДИ и детских домов-интернатов</t>
        </is>
      </c>
      <c r="G1516" s="31" t="inlineStr">
        <is>
          <t>ЦССВ «Юнона», Сорочаны</t>
        </is>
      </c>
      <c r="H1516" s="31" t="inlineStr">
        <is>
          <t>Мобильность, выездное сопровождение и автоволонтёрство</t>
        </is>
      </c>
      <c r="I1516" s="32" t="inlineStr">
        <is>
          <t>По формату занятия</t>
        </is>
      </c>
      <c r="J1516" s="31" t="inlineStr">
        <is>
          <t>Дети из ЦССВ «Юнона» сегодня в студии рисуют и поют, а скоро вместе с нами — в наш летний лагерь в Сорочаны.</t>
        </is>
      </c>
    </row>
    <row r="1517" ht="30" customHeight="1">
      <c r="A1517" s="23" t="n">
        <v>2549</v>
      </c>
      <c r="B1517" s="24" t="inlineStr">
        <is>
          <t>2017-06-28</t>
        </is>
      </c>
      <c r="C1517" s="25">
        <f>HYPERLINK("https://vk.com/wall-1825701_2549", "Открыть пост")</f>
        <v/>
      </c>
      <c r="D1517" s="26" t="inlineStr">
        <is>
          <t>Кулинарные, образовательные и социально-бытовые занятия</t>
        </is>
      </c>
      <c r="E1517" s="26" t="inlineStr">
        <is>
          <t>Кулинарные, образовательные и социально-бытовые занятия; Творческие мастер-классы и художественные студии</t>
        </is>
      </c>
      <c r="F1517" s="26" t="inlineStr">
        <is>
          <t>Подростки и взрослые с ментальными особенностями и ОВЗ (ПНИ / Социальные дома)</t>
        </is>
      </c>
      <c r="G1517" s="26" t="inlineStr">
        <is>
          <t>Студия фонда / выездная площадка</t>
        </is>
      </c>
      <c r="H1517" s="26" t="inlineStr">
        <is>
          <t>Коммуникативные навыки, эмпатия и тьюторское сопровождение; Педагогические и наставнические навыки (кулинария, быт, учёба)</t>
        </is>
      </c>
      <c r="I1517" s="27" t="inlineStr">
        <is>
          <t>Да (в тексте)</t>
        </is>
      </c>
      <c r="J1517" s="26" t="inlineStr">
        <is>
          <t>Сегодня к нам в гости приходили волонтёры из компании Abbvie, наши давние друзья. Они провели познавательный, увлекательный и очень вкусный мастер-класс для ребят из ПНИ 11. Вместе с гостями мы испекли вафли разных видов и вкусов, украсили их, а потом так же дружно съели. Спасибо...</t>
        </is>
      </c>
    </row>
    <row r="1518" ht="30" customHeight="1">
      <c r="A1518" s="28" t="n">
        <v>2539</v>
      </c>
      <c r="B1518" s="29" t="inlineStr">
        <is>
          <t>2017-06-23</t>
        </is>
      </c>
      <c r="C1518" s="30">
        <f>HYPERLINK("https://vk.com/wall-1825701_2539", "Открыть пост")</f>
        <v/>
      </c>
      <c r="D1518" s="31" t="inlineStr">
        <is>
          <t>Выставки, экскурсии и культурные выходы</t>
        </is>
      </c>
      <c r="E1518" s="31" t="inlineStr">
        <is>
          <t>Выставки, экскурсии и культурные выходы; Творческие мастер-классы и художественные студии</t>
        </is>
      </c>
      <c r="F1518" s="31" t="inlineStr">
        <is>
          <t>Подростки и взрослые с ментальными особенностями и ОВЗ (ПНИ / Социальные дома)</t>
        </is>
      </c>
      <c r="G1518" s="31" t="inlineStr">
        <is>
          <t>Студия фонда / выездная площадка</t>
        </is>
      </c>
      <c r="H1518" s="31" t="inlineStr">
        <is>
          <t>Художественно-прикладные и ремесленные навыки; Мобильность, выездное сопровождение и автоволонтёрство; Медиа, фото/видеосъёмка и культурная медиация</t>
        </is>
      </c>
      <c r="I1518" s="32" t="inlineStr">
        <is>
          <t>По формату занятия</t>
        </is>
      </c>
      <c r="J1518" s="31" t="inlineStr">
        <is>
          <t>Летом мы стараемся проводить больше занятий в парках, музеях, чтобы набрать новых художественных впечатлений и знаний. Сегодня ребята из ПНИ 16 побывали на экскурсии в музее древнерусской культуры имени Андрея Рублёва. Нам очень повезло с экскурсоводом Анной, она доступно и интер...</t>
        </is>
      </c>
    </row>
    <row r="1519" ht="30" customHeight="1">
      <c r="A1519" s="23" t="n">
        <v>2533</v>
      </c>
      <c r="B1519" s="24" t="inlineStr">
        <is>
          <t>2017-06-22</t>
        </is>
      </c>
      <c r="C1519" s="25">
        <f>HYPERLINK("https://vk.com/wall-1825701_2533", "Открыть пост")</f>
        <v/>
      </c>
      <c r="D1519" s="26" t="inlineStr">
        <is>
          <t>Спектакли, концерты и музыкально-театральные занятия</t>
        </is>
      </c>
      <c r="E1519" s="26" t="inlineStr">
        <is>
          <t>Спектакли, концерты и музыкально-театральные занятия</t>
        </is>
      </c>
      <c r="F1519" s="26" t="inlineStr">
        <is>
          <t>Подопечные фонда «Дети Марии» (общая группа детей и подростков)</t>
        </is>
      </c>
      <c r="G1519" s="26" t="inlineStr">
        <is>
          <t>Студия фонда / выездная площадка</t>
        </is>
      </c>
      <c r="H1519" s="26" t="inlineStr">
        <is>
          <t>Артистические, музыкальные и спортивно-игровые навыки</t>
        </is>
      </c>
      <c r="I1519" s="27" t="inlineStr">
        <is>
          <t>Да (в тексте)</t>
        </is>
      </c>
      <c r="J1519" s="26" t="inlineStr">
        <is>
          <t>В ночь на 22 июня прошла традиционная «Вахта памяти», посвященная погибшим в Великой Отечественной войне, в вахте приняли участие наши волонтеры и сотрудники. Вечер начался концертом во Дворце творчества молодежи на Миуссах. Дети и взрослые, участники студий, читали стихи поэтов-...</t>
        </is>
      </c>
    </row>
    <row r="1520" ht="30" customHeight="1">
      <c r="A1520" s="28" t="n">
        <v>2522</v>
      </c>
      <c r="B1520" s="29" t="inlineStr">
        <is>
          <t>2017-06-17</t>
        </is>
      </c>
      <c r="C1520" s="30">
        <f>HYPERLINK("https://vk.com/wall-1825701_2522", "Открыть пост")</f>
        <v/>
      </c>
      <c r="D1520" s="31" t="inlineStr">
        <is>
          <t>Выездные лагеря, дача и сезонные программы</t>
        </is>
      </c>
      <c r="E1520" s="31" t="inlineStr">
        <is>
          <t>Выездные лагеря, дача и сезонные программы</t>
        </is>
      </c>
      <c r="F1520" s="31" t="inlineStr">
        <is>
          <t>Дети и семьи (в т.ч. приёмные семьи и программа в Беслане)</t>
        </is>
      </c>
      <c r="G1520" s="31" t="inlineStr">
        <is>
          <t>Беслан, беслан</t>
        </is>
      </c>
      <c r="H1520" s="31" t="inlineStr">
        <is>
          <t>Мобильность, выездное сопровождение и автоволонтёрство</t>
        </is>
      </c>
      <c r="I1520" s="32" t="inlineStr">
        <is>
          <t>Да (в тексте)</t>
        </is>
      </c>
      <c r="J1520" s="31" t="inlineStr">
        <is>
          <t>Авиакомпания UTair несколько раз предоставляла нам скидки для полётов наших волонтёров в Беслан и бесланских детей в наш лагерь. А теперь будет давать скидки и донорам крови. Спасибо! http://nospress.ru/donory-krovi-poluchat-skidku-na-aviabilety-2511</t>
        </is>
      </c>
    </row>
    <row r="1521" ht="30" customHeight="1">
      <c r="A1521" s="23" t="n">
        <v>2520</v>
      </c>
      <c r="B1521" s="24" t="inlineStr">
        <is>
          <t>2017-06-16</t>
        </is>
      </c>
      <c r="C1521" s="25">
        <f>HYPERLINK("https://vk.com/wall-1825701_2520", "Открыть пост")</f>
        <v/>
      </c>
      <c r="D1521" s="26" t="inlineStr">
        <is>
          <t>Выездные лагеря, дача и сезонные программы</t>
        </is>
      </c>
      <c r="E1521" s="26" t="inlineStr">
        <is>
          <t>Выездные лагеря, дача и сезонные программы; Праздники, дни рождения и клубные встречи; Творческие мастер-классы и художественные студии</t>
        </is>
      </c>
      <c r="F1521" s="26" t="inlineStr">
        <is>
          <t>Подопечные фонда «Дети Марии» (общая группа детей и подростков)</t>
        </is>
      </c>
      <c r="G1521" s="26" t="inlineStr">
        <is>
          <t>Студия фонда / выездная площадка</t>
        </is>
      </c>
      <c r="H1521" s="26" t="inlineStr">
        <is>
          <t>Художественно-прикладные и ремесленные навыки; 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 Мобильность, выездное сопровождение и автоволонтёрство</t>
        </is>
      </c>
      <c r="I1521" s="27" t="inlineStr">
        <is>
          <t>По формату занятия</t>
        </is>
      </c>
      <c r="J1521" s="26" t="inlineStr">
        <is>
          <t>Сегодня мы прощались с арт-лагерем 2017. И по этому поводу в студии на Делегатской была Индейская вечеринка. Ребята готовились несколько дней. Рисовали тотемных животных и красивое объявление про праздник, делали повязки с перьями, гирлянды из флажков и нечто загадочное под назва...</t>
        </is>
      </c>
    </row>
    <row r="1522" ht="30" customHeight="1">
      <c r="A1522" s="28" t="n">
        <v>2514</v>
      </c>
      <c r="B1522" s="29" t="inlineStr">
        <is>
          <t>2017-06-15</t>
        </is>
      </c>
      <c r="C1522" s="30">
        <f>HYPERLINK("https://vk.com/wall-1825701_2514", "Открыть пост")</f>
        <v/>
      </c>
      <c r="D1522" s="31" t="inlineStr">
        <is>
          <t>Творческие мастер-классы и художественные студии</t>
        </is>
      </c>
      <c r="E1522" s="31" t="inlineStr">
        <is>
          <t>Творческие мастер-классы и художественные студии; Выездные лагеря, дача и сезонные программы; Праздники, дни рождения и клубные встречи</t>
        </is>
      </c>
      <c r="F1522" s="31" t="inlineStr">
        <is>
          <t>Подопечные фонда «Дети Марии» (общая группа детей и подростков)</t>
        </is>
      </c>
      <c r="G1522" s="31" t="inlineStr">
        <is>
          <t>Студия фонда / выездная площадка</t>
        </is>
      </c>
      <c r="H1522" s="31" t="inlineStr">
        <is>
          <t>Художественно-прикладные и ремесленные навыки; Артистические, музыкальные и спортивно-игровые навыки; Педагогические и наставнические навыки (кулинария, быт, учёба); Мобильность, выездное сопровождение и автоволонтёрство</t>
        </is>
      </c>
      <c r="I1522" s="32" t="inlineStr">
        <is>
          <t>По формату занятия</t>
        </is>
      </c>
      <c r="J1522" s="31" t="inlineStr">
        <is>
          <t>В пятницу заканчивается наш арт-лагерь, планируется индейская вечеринка. Вчера весь день готовились к ней, заодно лепили из глины и играли с Лешей. Раскрашивали макароны для индейских бус. Выпиливали лошадку-мустанга, лепили тотемных существ, делали разноцветные флажки для украше...</t>
        </is>
      </c>
    </row>
    <row r="1523" ht="30" customHeight="1">
      <c r="A1523" s="23" t="n">
        <v>2513</v>
      </c>
      <c r="B1523" s="24" t="inlineStr">
        <is>
          <t>2017-06-13</t>
        </is>
      </c>
      <c r="C1523" s="25">
        <f>HYPERLINK("https://vk.com/wall-1825701_2513", "Открыть пост")</f>
        <v/>
      </c>
      <c r="D1523" s="26" t="inlineStr">
        <is>
          <t>Ярмарки, фестивали и благотворительные базары</t>
        </is>
      </c>
      <c r="E1523" s="26" t="inlineStr">
        <is>
          <t>Ярмарки, фестивали и благотворительные базары; Творческие мастер-классы и художественные студии</t>
        </is>
      </c>
      <c r="F1523" s="26" t="inlineStr">
        <is>
          <t>Подростки и взрослые с ментальными особенностями и ОВЗ (ПНИ / Социальные дома)</t>
        </is>
      </c>
      <c r="G1523" s="26" t="inlineStr">
        <is>
          <t>Студия фонда / выездная площадка</t>
        </is>
      </c>
      <c r="H1523" s="26" t="inlineStr">
        <is>
          <t>Художественно-прикладные и ремесленные навыки; Организационные, ивент- и ярмарочные навыки</t>
        </is>
      </c>
      <c r="I1523" s="27" t="inlineStr">
        <is>
          <t>По формату занятия</t>
        </is>
      </c>
      <c r="J1523" s="26" t="inlineStr">
        <is>
          <t>Ребята из ПНИ 16 сегодня на занятиях рисовали все вместе картину для благотворительного аукциона «Тимур и его команда». Приходите 15 июня в 20:30 (или позже) в Иль Патио на Маяковке. https://www.facebook.com/events/451618158524007</t>
        </is>
      </c>
    </row>
    <row r="1524" ht="30" customHeight="1">
      <c r="A1524" s="28" t="n">
        <v>2506</v>
      </c>
      <c r="B1524" s="29" t="inlineStr">
        <is>
          <t>2017-06-09</t>
        </is>
      </c>
      <c r="C1524" s="30">
        <f>HYPERLINK("https://vk.com/wall-1825701_2506", "Открыть пост")</f>
        <v/>
      </c>
      <c r="D1524" s="31" t="inlineStr">
        <is>
          <t>Выездные лагеря, дача и сезонные программы</t>
        </is>
      </c>
      <c r="E1524" s="31" t="inlineStr">
        <is>
          <t>Выездные лагеря, дача и сезонные программы</t>
        </is>
      </c>
      <c r="F1524" s="31" t="inlineStr">
        <is>
          <t>Подопечные фонда «Дети Марии» (общая группа детей и подростков)</t>
        </is>
      </c>
      <c r="G1524" s="31" t="inlineStr">
        <is>
          <t>Студия фонда / выездная площадка</t>
        </is>
      </c>
      <c r="H1524" s="31" t="inlineStr">
        <is>
          <t>Организационные, ивент- и ярмарочные навыки; Мобильность, выездное сопровождение и автоволонтёрство</t>
        </is>
      </c>
      <c r="I1524" s="32" t="inlineStr">
        <is>
          <t>По формату занятия</t>
        </is>
      </c>
      <c r="J1524" s="31" t="inlineStr">
        <is>
          <t>Дети из окрестных домов на занятиях в арт-лагере сегодня снова самовыражались и совершенствовались в разных видах творчества. Продолжение во вторник, после праздников.</t>
        </is>
      </c>
    </row>
    <row r="1525" ht="30" customHeight="1">
      <c r="A1525" s="23" t="n">
        <v>2503</v>
      </c>
      <c r="B1525" s="24" t="inlineStr">
        <is>
          <t>2017-06-08</t>
        </is>
      </c>
      <c r="C1525" s="25">
        <f>HYPERLINK("https://vk.com/wall-1825701_2503", "Открыть пост")</f>
        <v/>
      </c>
      <c r="D1525" s="26" t="inlineStr">
        <is>
          <t>Выездные лагеря, дача и сезонные программы</t>
        </is>
      </c>
      <c r="E1525" s="26" t="inlineStr">
        <is>
          <t>Выездные лагеря, дача и сезонные программы; Творческие мастер-классы и художественные студии</t>
        </is>
      </c>
      <c r="F1525" s="26" t="inlineStr">
        <is>
          <t>Подопечные фонда «Дети Марии» (общая группа детей и подростков)</t>
        </is>
      </c>
      <c r="G1525" s="26" t="inlineStr">
        <is>
          <t>Студия фонда / выездная площадка</t>
        </is>
      </c>
      <c r="H1525" s="26" t="inlineStr">
        <is>
          <t>Художественно-прикладные и ремесленные навыки; Коммуникативные навыки, эмпатия и тьюторское сопровождение; Мобильность, выездное сопровождение и автоволонтёрство</t>
        </is>
      </c>
      <c r="I1525" s="27" t="inlineStr">
        <is>
          <t>По формату занятия</t>
        </is>
      </c>
      <c r="J1525" s="26" t="inlineStr">
        <is>
          <t>Дети из окрестных домов летом продолжают приходить в студию. Летний арт-лагерь для них мы проводим до 16 июня. Состав участников меняется. Кто-то уезжает на дачу, кто-то, наоборот, возвращается в Москву. Мы рады были встретиться с Максимом и Надей, которые были в нашем арт-лагере...</t>
        </is>
      </c>
    </row>
    <row r="1526" ht="30" customHeight="1">
      <c r="A1526" s="28" t="n">
        <v>2500</v>
      </c>
      <c r="B1526" s="29" t="inlineStr">
        <is>
          <t>2017-06-07</t>
        </is>
      </c>
      <c r="C1526" s="30">
        <f>HYPERLINK("https://vk.com/wall-1825701_2500", "Открыть пост")</f>
        <v/>
      </c>
      <c r="D1526" s="31" t="inlineStr">
        <is>
          <t>Выставки, экскурсии и культурные выходы</t>
        </is>
      </c>
      <c r="E1526" s="31" t="inlineStr">
        <is>
          <t>Выставки, экскурсии и культурные выходы; Праздники, дни рождения и клубные встречи; Творческие мастер-классы и художественные студии</t>
        </is>
      </c>
      <c r="F1526" s="31" t="inlineStr">
        <is>
          <t>Подростки и взрослые с ментальными особенностями и ОВЗ (ПНИ / Социальные дома)</t>
        </is>
      </c>
      <c r="G1526" s="31" t="inlineStr">
        <is>
          <t>Студия фонда / выездная площадка</t>
        </is>
      </c>
      <c r="H1526" s="31" t="inlineStr">
        <is>
          <t>Коммуникативные навыки, эмпатия и тьюторское сопровождение</t>
        </is>
      </c>
      <c r="I1526" s="32" t="inlineStr">
        <is>
          <t>Да (в тексте)</t>
        </is>
      </c>
      <c r="J1526" s="31" t="inlineStr">
        <is>
          <t>Сегодня ребята из ПНИ 11 вместе с нашими художниками и волонтёрами побывали в Приокско-Террасном государственном заповеднике. В заповеднике мы увидели зубров и бизонов, и нам рассказали, чем они различаются, про их повадки и условия обитания, ребята посетили музей. Потом на берег...</t>
        </is>
      </c>
    </row>
    <row r="1527" ht="30" customHeight="1">
      <c r="A1527" s="23" t="n">
        <v>2483</v>
      </c>
      <c r="B1527" s="24" t="inlineStr">
        <is>
          <t>2017-06-02</t>
        </is>
      </c>
      <c r="C1527" s="25">
        <f>HYPERLINK("https://vk.com/wall-1825701_2483", "Открыть пост")</f>
        <v/>
      </c>
      <c r="D1527" s="26" t="inlineStr">
        <is>
          <t>Ярмарки, фестивали и благотворительные базары</t>
        </is>
      </c>
      <c r="E1527" s="26" t="inlineStr">
        <is>
          <t>Ярмарки, фестивали и благотворительные базары; Выездные лагеря, дача и сезонные программы</t>
        </is>
      </c>
      <c r="F1527" s="26" t="inlineStr">
        <is>
          <t>Воспитанники ЦССВ, ДДИ и детских домов-интернатов; Выпускники интернатов и детских домов (молодые взрослые)</t>
        </is>
      </c>
      <c r="G1527" s="26" t="inlineStr">
        <is>
          <t>Студия фонда / выездная площадка</t>
        </is>
      </c>
      <c r="H1527" s="26" t="inlineStr">
        <is>
          <t>Организационные, ивент- и ярмарочные навыки; Мобильность, выездное сопровождение и автоволонтёрство</t>
        </is>
      </c>
      <c r="I1527" s="27" t="inlineStr">
        <is>
          <t>По формату занятия</t>
        </is>
      </c>
      <c r="J1527" s="26" t="inlineStr">
        <is>
          <t>День защиты детей продолжается. Сегодня в компании РУСАЛ http://www.rusal.ru/ прошла благотворительная ярмарка, вместе с другими фондами мы принимали в ней участие и собрали 16600 рублей. Спасибо щедрым и отзывчивым сотрудникам за пожертвования, организаторам ярмарки и руководств...</t>
        </is>
      </c>
    </row>
    <row r="1528" ht="30" customHeight="1">
      <c r="A1528" s="28" t="n">
        <v>2480</v>
      </c>
      <c r="B1528" s="29" t="inlineStr">
        <is>
          <t>2017-06-02</t>
        </is>
      </c>
      <c r="C1528" s="30">
        <f>HYPERLINK("https://vk.com/wall-1825701_2480", "Открыть пост")</f>
        <v/>
      </c>
      <c r="D1528" s="31" t="inlineStr">
        <is>
          <t>Творческие мастер-классы и художественные студии</t>
        </is>
      </c>
      <c r="E1528" s="31" t="inlineStr">
        <is>
          <t>Творческие мастер-классы и художественные студии</t>
        </is>
      </c>
      <c r="F1528" s="31" t="inlineStr">
        <is>
          <t>Подростки и взрослые с ментальными особенностями и ОВЗ (ПНИ / Социальные дома)</t>
        </is>
      </c>
      <c r="G1528" s="31" t="inlineStr">
        <is>
          <t>Студия фонда / выездная площадка</t>
        </is>
      </c>
      <c r="H1528" s="31" t="inlineStr">
        <is>
          <t>Художественно-прикладные и ремесленные навыки</t>
        </is>
      </c>
      <c r="I1528" s="32" t="inlineStr">
        <is>
          <t>По формату занятия</t>
        </is>
      </c>
      <c r="J1528" s="31" t="inlineStr">
        <is>
          <t>Желающих из ПНИ 16 ездить в студию на занятия так много, что, хотя мы возим их дважды в неделю, каждый попадает к нам всего раз — кто во вторник, кто в пятницу. Пока одни рисуют, лепят, творят коллаж, другие поют: «Один лишь способ есть, нам справиться с судьбой, Один лишь только...</t>
        </is>
      </c>
    </row>
    <row r="1529" ht="30" customHeight="1">
      <c r="A1529" s="23" t="n">
        <v>2475</v>
      </c>
      <c r="B1529" s="24" t="inlineStr">
        <is>
          <t>2017-06-01</t>
        </is>
      </c>
      <c r="C1529" s="25">
        <f>HYPERLINK("https://vk.com/wall-1825701_2475", "Открыть пост")</f>
        <v/>
      </c>
      <c r="D1529" s="26" t="inlineStr">
        <is>
          <t>Творческие мастер-классы и художественные студии</t>
        </is>
      </c>
      <c r="E1529" s="26" t="inlineStr">
        <is>
          <t>Творческие мастер-классы и художественные студии; Спектакли, концерты и музыкально-театральные занятия</t>
        </is>
      </c>
      <c r="F1529" s="26" t="inlineStr">
        <is>
          <t>Подопечные фонда «Дети Марии» (общая группа детей и подростков)</t>
        </is>
      </c>
      <c r="G1529" s="26" t="inlineStr">
        <is>
          <t>Студия фонда / выездная площадка</t>
        </is>
      </c>
      <c r="H1529" s="26" t="inlineStr">
        <is>
          <t>Художественно-прикладные и ремесленные навыки; Артистические, музыкальные и спортивно-игровые навыки; Организационные, ивент- и ярмарочные навыки</t>
        </is>
      </c>
      <c r="I1529" s="27" t="inlineStr">
        <is>
          <t>По формату занятия</t>
        </is>
      </c>
      <c r="J1529" s="26" t="inlineStr">
        <is>
          <t>В первый день лета по всей Москве – мероприятия в честь Дня защиты детей. У нас в Тверском районе праздник отмечали на Миуссах, перед Дворцом творчества молодежи. Концерт и мастер-классы привлекли и подростков, и дошкольников с родителями. «Дети Марии» на своем мастер-классе дели...</t>
        </is>
      </c>
    </row>
    <row r="1530" ht="30" customHeight="1">
      <c r="A1530" s="28" t="n">
        <v>2472</v>
      </c>
      <c r="B1530" s="29" t="inlineStr">
        <is>
          <t>2017-06-01</t>
        </is>
      </c>
      <c r="C1530" s="30">
        <f>HYPERLINK("https://vk.com/wall-1825701_2472", "Открыть пост")</f>
        <v/>
      </c>
      <c r="D1530" s="31" t="inlineStr">
        <is>
          <t>Выставки, экскурсии и культурные выходы</t>
        </is>
      </c>
      <c r="E1530" s="31" t="inlineStr">
        <is>
          <t>Выставки, экскурсии и культурные выходы; Праздники, дни рождения и клубные встречи</t>
        </is>
      </c>
      <c r="F1530" s="31" t="inlineStr">
        <is>
          <t>Подростки и взрослые с ментальными особенностями и ОВЗ (ПНИ / Социальные дома)</t>
        </is>
      </c>
      <c r="G1530" s="31" t="inlineStr">
        <is>
          <t>Студия фонда / выездная площадка</t>
        </is>
      </c>
      <c r="H1530" s="31" t="inlineStr">
        <is>
          <t>Артистические, музыкальные и спортивно-игровые навыки; Мобильность, выездное сопровождение и автоволонтёрство</t>
        </is>
      </c>
      <c r="I1530" s="32" t="inlineStr">
        <is>
          <t>По формату занятия</t>
        </is>
      </c>
      <c r="J1530" s="31" t="inlineStr">
        <is>
          <t>Сегодня ребята из ПНИ 16 путешествовали по Москве-реке на кораблике. Сначала было облачно, но постепенно все тучи развеялись, и на обратном пути светило солнце, и сияло голубое небо. Многие из ребят впервые оказались на корабле. Наш маршрут проходил по самому центру, так что мы у...</t>
        </is>
      </c>
    </row>
    <row r="1531" ht="30" customHeight="1">
      <c r="A1531" s="23" t="n">
        <v>2464</v>
      </c>
      <c r="B1531" s="24" t="inlineStr">
        <is>
          <t>2017-05-30</t>
        </is>
      </c>
      <c r="C1531" s="25">
        <f>HYPERLINK("https://vk.com/wall-1825701_2464", "Открыть пост")</f>
        <v/>
      </c>
      <c r="D1531" s="26" t="inlineStr">
        <is>
          <t>Творческие мастер-классы и художественные студии</t>
        </is>
      </c>
      <c r="E1531" s="26" t="inlineStr">
        <is>
          <t>Творческие мастер-классы и художественные студии</t>
        </is>
      </c>
      <c r="F1531" s="26" t="inlineStr">
        <is>
          <t>Подростки и взрослые с ментальными особенностями и ОВЗ (ПНИ / Социальные дома)</t>
        </is>
      </c>
      <c r="G1531" s="26" t="inlineStr">
        <is>
          <t>Студия фонда / выездная площадка</t>
        </is>
      </c>
      <c r="H1531" s="26" t="inlineStr">
        <is>
          <t>Художественно-прикладные и ремесленные навыки; Артистические, музыкальные и спортивно-игровые навыки</t>
        </is>
      </c>
      <c r="I1531" s="27" t="inlineStr">
        <is>
          <t>По формату занятия</t>
        </is>
      </c>
      <c r="J1531" s="26" t="inlineStr">
        <is>
          <t>Ребята из ПНИ 16 провели утро в студии. Рисовали, лепили, валяли, ткали гобелен и сами себе создавали настроение песнями.</t>
        </is>
      </c>
    </row>
    <row r="1532" ht="30" customHeight="1">
      <c r="A1532" s="28" t="n">
        <v>2460</v>
      </c>
      <c r="B1532" s="29" t="inlineStr">
        <is>
          <t>2017-05-29</t>
        </is>
      </c>
      <c r="C1532" s="30">
        <f>HYPERLINK("https://vk.com/wall-1825701_2460", "Открыть пост")</f>
        <v/>
      </c>
      <c r="D1532" s="31" t="inlineStr">
        <is>
          <t>Творческие мастер-классы и художественные студии</t>
        </is>
      </c>
      <c r="E1532" s="31" t="inlineStr">
        <is>
          <t>Творческие мастер-классы и художественные студии; Праздники, дни рождения и клубные встречи</t>
        </is>
      </c>
      <c r="F1532" s="31" t="inlineStr">
        <is>
          <t>Подопечные фонда «Дети Марии» (общая группа детей и подростков)</t>
        </is>
      </c>
      <c r="G1532" s="31" t="inlineStr">
        <is>
          <t>Студия фонда / выездная площадка</t>
        </is>
      </c>
      <c r="H1532" s="31" t="inlineStr">
        <is>
          <t>Художественно-прикладные и ремесленные навыки; Организационные, ивент- и ярмарочные навыки</t>
        </is>
      </c>
      <c r="I1532" s="32" t="inlineStr">
        <is>
          <t>По формату занятия</t>
        </is>
      </c>
      <c r="J1532" s="31" t="inlineStr">
        <is>
          <t>В воскресенье прошло последнее в этом учебном году занятие для детей из окрестных домов и из АНО «Дети». Мы рады были опять встретиться с Настей и ее братом Сашей, после довольно долгого перерыва Саша опять может приезжать в студию, с Галей и Игорем. Успели всё — нарисовать пасте...</t>
        </is>
      </c>
    </row>
    <row r="1533" ht="30" customHeight="1">
      <c r="A1533" s="23" t="n">
        <v>2419</v>
      </c>
      <c r="B1533" s="24" t="inlineStr">
        <is>
          <t>2017-05-14</t>
        </is>
      </c>
      <c r="C1533" s="25">
        <f>HYPERLINK("https://vk.com/wall-1825701_2419", "Открыть пост")</f>
        <v/>
      </c>
      <c r="D1533" s="26" t="inlineStr">
        <is>
          <t>Творческие мастер-классы и художественные студии</t>
        </is>
      </c>
      <c r="E1533" s="26" t="inlineStr">
        <is>
          <t>Творческие мастер-классы и художественные студии</t>
        </is>
      </c>
      <c r="F1533" s="26" t="inlineStr">
        <is>
          <t>Подопечные фонда «Дети Марии» (общая группа детей и подростков)</t>
        </is>
      </c>
      <c r="G1533" s="26" t="inlineStr">
        <is>
          <t>Студия фонда / выездная площадка</t>
        </is>
      </c>
      <c r="H1533" s="26" t="inlineStr">
        <is>
          <t>Художественно-прикладные и ремесленные навыки; Артистические, музыкальные и спортивно-игровые навыки</t>
        </is>
      </c>
      <c r="I1533" s="27" t="inlineStr">
        <is>
          <t>По формату занятия</t>
        </is>
      </c>
      <c r="J1533" s="26" t="inlineStr">
        <is>
          <t>В субботу в студии дети из окрестных домов. Начали собирать валяное панно про Волшебника Изумрудного города. Включились и в другой общестудийный проект — рисование мультфильма. И вылепили, и выпилили. И поиграли после занятия в развивающие игры с Лёшей.</t>
        </is>
      </c>
    </row>
    <row r="1534" ht="30" customHeight="1">
      <c r="A1534" s="28" t="n">
        <v>2402</v>
      </c>
      <c r="B1534" s="29" t="inlineStr">
        <is>
          <t>2017-05-04</t>
        </is>
      </c>
      <c r="C1534" s="30">
        <f>HYPERLINK("https://vk.com/wall-1825701_2402", "Открыть пост")</f>
        <v/>
      </c>
      <c r="D1534" s="31" t="inlineStr">
        <is>
          <t>Творческие мастер-классы и художественные студии</t>
        </is>
      </c>
      <c r="E1534" s="31" t="inlineStr">
        <is>
          <t>Творческие мастер-классы и художественные студии; Спектакли, концерты и музыкально-театральные занятия</t>
        </is>
      </c>
      <c r="F1534" s="31" t="inlineStr">
        <is>
          <t>Подростки и взрослые с ментальными особенностями и ОВЗ (ПНИ / Социальные дома)</t>
        </is>
      </c>
      <c r="G1534" s="31" t="inlineStr">
        <is>
          <t>Студия фонда / выездная площадка</t>
        </is>
      </c>
      <c r="H1534" s="31" t="inlineStr">
        <is>
          <t>Артистические, музыкальные и спортивно-игровые навыки; Организационные, ивент- и ярмарочные навыки; Мобильность, выездное сопровождение и автоволонтёрство</t>
        </is>
      </c>
      <c r="I1534" s="32" t="inlineStr">
        <is>
          <t>По формату занятия</t>
        </is>
      </c>
      <c r="J1534" s="31" t="inlineStr">
        <is>
          <t>3 мая в сквере «У Камня», что в Малом Каретном переулке, «Дети Марии» вместе с другими досуговыми центрами Тверского района провели праздник, посвященный Дню Победы. Звуки аккордеона, как машина времени, перенесли нас в послевоенный московский двор. Дети и взрослые читали стихи о...</t>
        </is>
      </c>
    </row>
    <row r="1535" ht="30" customHeight="1">
      <c r="A1535" s="23" t="n">
        <v>2389</v>
      </c>
      <c r="B1535" s="24" t="inlineStr">
        <is>
          <t>2017-04-29</t>
        </is>
      </c>
      <c r="C1535" s="25">
        <f>HYPERLINK("https://vk.com/wall-1825701_2389", "Открыть пост")</f>
        <v/>
      </c>
      <c r="D1535" s="26" t="inlineStr">
        <is>
          <t>Выездные лагеря, дача и сезонные программы</t>
        </is>
      </c>
      <c r="E1535" s="26" t="inlineStr">
        <is>
          <t>Выездные лагеря, дача и сезонные программы</t>
        </is>
      </c>
      <c r="F1535" s="26" t="inlineStr">
        <is>
          <t>Подростки и взрослые с ментальными особенностями и ОВЗ (ПНИ / Социальные дома)</t>
        </is>
      </c>
      <c r="G1535" s="26" t="inlineStr">
        <is>
          <t>Студия фонда / выездная площадка</t>
        </is>
      </c>
      <c r="H1535" s="26" t="inlineStr">
        <is>
          <t>Мобильность, выездное сопровождение и автоволонтёрство</t>
        </is>
      </c>
      <c r="I1535" s="27" t="inlineStr">
        <is>
          <t>По формату занятия</t>
        </is>
      </c>
      <c r="J1535" s="26" t="inlineStr">
        <is>
          <t>Дождливым пятничным вечером к нам в студию зашла семья: Андрей Шелудяков пришёл к нам с женой и дочкой Мариной. Андрей 14 лет назад участвовал в нашем летнем лагере. С тех пор он смог вырваться из системы ПНИ, добиться квартиры от государства, на что потребовалось 10! лет, создат...</t>
        </is>
      </c>
    </row>
    <row r="1536" ht="30" customHeight="1">
      <c r="A1536" s="28" t="n">
        <v>2382</v>
      </c>
      <c r="B1536" s="29" t="inlineStr">
        <is>
          <t>2017-04-27</t>
        </is>
      </c>
      <c r="C1536" s="30">
        <f>HYPERLINK("https://vk.com/wall-1825701_2382", "Открыть пост")</f>
        <v/>
      </c>
      <c r="D1536" s="31" t="inlineStr">
        <is>
          <t>Выездные лагеря, дача и сезонные программы</t>
        </is>
      </c>
      <c r="E1536" s="31" t="inlineStr">
        <is>
          <t>Выездные лагеря, дача и сезонные программы</t>
        </is>
      </c>
      <c r="F1536" s="31" t="inlineStr">
        <is>
          <t>Подопечные фонда «Дети Марии» (общая группа детей и подростков)</t>
        </is>
      </c>
      <c r="G1536" s="31" t="inlineStr">
        <is>
          <t>Студия фонда / выездная площадка</t>
        </is>
      </c>
      <c r="H1536" s="31" t="inlineStr">
        <is>
          <t>Артистические, музыкальные и спортивно-игровые навыки; Мобильность, выездное сопровождение и автоволонтёрство</t>
        </is>
      </c>
      <c r="I1536" s="32" t="inlineStr">
        <is>
          <t>По формату занятия</t>
        </is>
      </c>
      <c r="J1536" s="31" t="inlineStr">
        <is>
          <t>Нам подарили 9 пар горных лыж и 5 сноубордов! Огромное спасибо «Прокату на Дмитровке» https://vk.com/club34311384, http://prokatnadmitrovke.ru/, http://rental-ski.ru/, директору этой чудесной компании Анастасии Даниловой. Уже начинаем ждать зимы и зимнего лагеря.</t>
        </is>
      </c>
    </row>
    <row r="1537" ht="30" customHeight="1">
      <c r="A1537" s="23" t="n">
        <v>2379</v>
      </c>
      <c r="B1537" s="24" t="inlineStr">
        <is>
          <t>2017-04-26</t>
        </is>
      </c>
      <c r="C1537" s="25">
        <f>HYPERLINK("https://vk.com/wall-1825701_2379", "Открыть пост")</f>
        <v/>
      </c>
      <c r="D1537" s="26" t="inlineStr">
        <is>
          <t>Творческие мастер-классы и художественные студии</t>
        </is>
      </c>
      <c r="E1537" s="26" t="inlineStr">
        <is>
          <t>Творческие мастер-классы и художественные студии</t>
        </is>
      </c>
      <c r="F1537" s="26" t="inlineStr">
        <is>
          <t>Подростки и взрослые с ментальными особенностями и ОВЗ (ПНИ / Социальные дома)</t>
        </is>
      </c>
      <c r="G1537" s="26" t="inlineStr">
        <is>
          <t>Студия фонда / выездная площадка</t>
        </is>
      </c>
      <c r="H1537" s="26" t="inlineStr">
        <is>
          <t>Художественно-прикладные и ремесленные навыки; Артистические, музыкальные и спортивно-игровые навыки</t>
        </is>
      </c>
      <c r="I1537" s="27" t="inlineStr">
        <is>
          <t>Да (в тексте)</t>
        </is>
      </c>
      <c r="J1537" s="26" t="inlineStr">
        <is>
          <t>В студии творим в мастерских, творим на кухне. После насыщенного занятия рисованием, лепкой, гобеленом и музыкой ребят из ПНИ 11 ждало угощение, которое волонтёру Ирине помогли приготовить Света и Игорь — салат из свежих овощей, жареная картошка и супер-полезный десерт из фиников...</t>
        </is>
      </c>
    </row>
    <row r="1538" ht="30" customHeight="1">
      <c r="A1538" s="28" t="n">
        <v>2377</v>
      </c>
      <c r="B1538" s="29" t="inlineStr">
        <is>
          <t>2017-04-26</t>
        </is>
      </c>
      <c r="C1538" s="30">
        <f>HYPERLINK("https://vk.com/wall-1825701_2377", "Открыть пост")</f>
        <v/>
      </c>
      <c r="D1538" s="31" t="inlineStr">
        <is>
          <t>Выставки, экскурсии и культурные выходы</t>
        </is>
      </c>
      <c r="E1538" s="31" t="inlineStr">
        <is>
          <t>Выставки, экскурсии и культурные выходы; Творческие мастер-классы и художественные студии</t>
        </is>
      </c>
      <c r="F1538" s="31" t="inlineStr">
        <is>
          <t>Подростки и взрослые с ментальными особенностями и ОВЗ (ПНИ / Социальные дома)</t>
        </is>
      </c>
      <c r="G1538" s="31" t="inlineStr">
        <is>
          <t>Студия фонда / выездная площадка</t>
        </is>
      </c>
      <c r="H1538" s="31" t="inlineStr">
        <is>
          <t>Коммуникативные навыки, эмпатия и тьюторское сопровождение; Организационные, ивент- и ярмарочные навыки; Мобильность, выездное сопровождение и автоволонтёрство</t>
        </is>
      </c>
      <c r="I1538" s="32" t="inlineStr">
        <is>
          <t>Да (в тексте)</t>
        </is>
      </c>
      <c r="J1538" s="31" t="inlineStr">
        <is>
          <t>Вчера ребята из ПНИ 16 посетили выставку Академии и школы Сергея Андрияки в Центральном Манеже. Но сначала мы прогулялись по Большому Каменному мосту и Александровскому саду, сфотографировались у памятника князю Владимиру на Боровицкой площади. День был теплый и солнечный, и наст...</t>
        </is>
      </c>
    </row>
    <row r="1539" ht="30" customHeight="1">
      <c r="A1539" s="23" t="n">
        <v>2363</v>
      </c>
      <c r="B1539" s="24" t="inlineStr">
        <is>
          <t>2017-04-22</t>
        </is>
      </c>
      <c r="C1539" s="25">
        <f>HYPERLINK("https://vk.com/wall-1825701_2363", "Открыть пост")</f>
        <v/>
      </c>
      <c r="D1539" s="26" t="inlineStr">
        <is>
          <t>Творческие мастер-классы и художественные студии</t>
        </is>
      </c>
      <c r="E1539" s="26" t="inlineStr">
        <is>
          <t>Творческие мастер-классы и художественные студии</t>
        </is>
      </c>
      <c r="F1539" s="26" t="inlineStr">
        <is>
          <t>Подопечные фонда «Дети Марии» (общая группа детей и подростков)</t>
        </is>
      </c>
      <c r="G1539" s="26" t="inlineStr">
        <is>
          <t>Студия фонда / выездная площадка</t>
        </is>
      </c>
      <c r="H1539" s="26" t="inlineStr">
        <is>
          <t>Художественно-прикладные и ремесленные навыки</t>
        </is>
      </c>
      <c r="I1539" s="27" t="inlineStr">
        <is>
          <t>По формату занятия</t>
        </is>
      </c>
      <c r="J1539" s="26" t="inlineStr">
        <is>
          <t>В студии дети из окрестных домов. Рисовали жирафов для будущего мультфильма, осваивали новую технику рисования сразу несколькими цветами, лепили и валяли, а после занятия в ожидании родителей стояли на головах в буквальном смысле.</t>
        </is>
      </c>
    </row>
    <row r="1540" ht="30" customHeight="1">
      <c r="A1540" s="28" t="n">
        <v>2342</v>
      </c>
      <c r="B1540" s="29" t="inlineStr">
        <is>
          <t>2017-04-19</t>
        </is>
      </c>
      <c r="C1540" s="30">
        <f>HYPERLINK("https://vk.com/wall-1825701_2342", "Открыть пост")</f>
        <v/>
      </c>
      <c r="D1540" s="31" t="inlineStr">
        <is>
          <t>Творческие мастер-классы и художественные студии</t>
        </is>
      </c>
      <c r="E1540" s="31" t="inlineStr">
        <is>
          <t>Творческие мастер-классы и художественные студии; Праздники, дни рождения и клубные встречи</t>
        </is>
      </c>
      <c r="F1540" s="31" t="inlineStr">
        <is>
          <t>Подростки и взрослые с ментальными особенностями и ОВЗ (ПНИ / Социальные дома)</t>
        </is>
      </c>
      <c r="G1540" s="31" t="inlineStr">
        <is>
          <t>Студия фонда / выездная площадка</t>
        </is>
      </c>
      <c r="H1540" s="31" t="inlineStr">
        <is>
          <t>Художественно-прикладные и ремесленные навыки; Артистические, музыкальные и спортивно-игровые навыки; Организационные, ивент- и ярмарочные навыки</t>
        </is>
      </c>
      <c r="I1540" s="32" t="inlineStr">
        <is>
          <t>Да (в тексте)</t>
        </is>
      </c>
      <c r="J1540" s="31" t="inlineStr">
        <is>
          <t>У ребят из ПНИ 11 сегодня рисование, керамика, гобелен и музыка. А на чаепитии после занятия пробовали новое блюдо — трайвел (trifle), его принесла волонтёр Ирина Чёрненькая. Это сладкий десерт из заварного крема и желе, популярный в Великобритании. Вкусно!</t>
        </is>
      </c>
    </row>
    <row r="1541" ht="30" customHeight="1">
      <c r="A1541" s="23" t="n">
        <v>2338</v>
      </c>
      <c r="B1541" s="24" t="inlineStr">
        <is>
          <t>2017-04-17</t>
        </is>
      </c>
      <c r="C1541" s="25">
        <f>HYPERLINK("https://vk.com/wall-1825701_2338", "Открыть пост")</f>
        <v/>
      </c>
      <c r="D1541" s="26" t="inlineStr">
        <is>
          <t>Праздники, дни рождения и клубные встречи</t>
        </is>
      </c>
      <c r="E1541" s="26" t="inlineStr">
        <is>
          <t>Праздники, дни рождения и клубные встречи</t>
        </is>
      </c>
      <c r="F1541" s="26" t="inlineStr">
        <is>
          <t>Подопечные фонда «Дети Марии» (общая группа детей и подростков)</t>
        </is>
      </c>
      <c r="G1541" s="26" t="inlineStr">
        <is>
          <t>Студия фонда / выездная площадка</t>
        </is>
      </c>
      <c r="H1541" s="26" t="inlineStr">
        <is>
          <t>Коммуникативные навыки, эмпатия и тьюторское сопровождение</t>
        </is>
      </c>
      <c r="I1541" s="27" t="inlineStr">
        <is>
          <t>По формату занятия</t>
        </is>
      </c>
      <c r="J1541" s="26" t="inlineStr">
        <is>
          <t>Хотя мы уже отпраздновали день рождения в субботу, по-настоящему он у нас сегодня, 17 апреля 1997 года «Дети Марии» официально были зарегистрированы. Празднуем в домашнем кругу.</t>
        </is>
      </c>
    </row>
    <row r="1542" ht="30" customHeight="1">
      <c r="A1542" s="28" t="n">
        <v>2335</v>
      </c>
      <c r="B1542" s="29" t="inlineStr">
        <is>
          <t>2017-04-16</t>
        </is>
      </c>
      <c r="C1542" s="30">
        <f>HYPERLINK("https://vk.com/wall-1825701_2335", "Открыть пост")</f>
        <v/>
      </c>
      <c r="D1542" s="31" t="inlineStr">
        <is>
          <t>Выставки, экскурсии и культурные выходы</t>
        </is>
      </c>
      <c r="E1542" s="31" t="inlineStr">
        <is>
          <t>Выставки, экскурсии и культурные выходы</t>
        </is>
      </c>
      <c r="F1542" s="31" t="inlineStr">
        <is>
          <t>Воспитанники ЦССВ, ДДИ и детских домов-интернатов; Выпускники интернатов и детских домов (молодые взрослые)</t>
        </is>
      </c>
      <c r="G1542" s="31" t="inlineStr">
        <is>
          <t>ЦССВ «Спутник»</t>
        </is>
      </c>
      <c r="H1542" s="31" t="inlineStr">
        <is>
          <t>Артистические, музыкальные и спортивно-игровые навыки; Организационные, ивент- и ярмарочные навыки</t>
        </is>
      </c>
      <c r="I1542" s="32" t="inlineStr">
        <is>
          <t>Да (в тексте)</t>
        </is>
      </c>
      <c r="J1542" s="31" t="inlineStr">
        <is>
          <t>В субботу на «Корабле Брюсов» прошёл праздник в честь 20-летия «Детей Марии». С нами были ребята из всех наших интернатов, выпускники, волонтёры, бывшие и нынешние сотрудники, доноры, партнёры... Ребята пришли с подарками — танцами, песнями, картинами, открыл праздник духовой орк...</t>
        </is>
      </c>
    </row>
    <row r="1543" ht="30" customHeight="1">
      <c r="A1543" s="23" t="n">
        <v>2322</v>
      </c>
      <c r="B1543" s="24" t="inlineStr">
        <is>
          <t>2017-04-13</t>
        </is>
      </c>
      <c r="C1543" s="25">
        <f>HYPERLINK("https://vk.com/wall-1825701_2322", "Открыть пост")</f>
        <v/>
      </c>
      <c r="D1543" s="26" t="inlineStr">
        <is>
          <t>Ярмарки, фестивали и благотворительные базары</t>
        </is>
      </c>
      <c r="E1543" s="26" t="inlineStr">
        <is>
          <t>Ярмарки, фестивали и благотворительные базары</t>
        </is>
      </c>
      <c r="F1543" s="26" t="inlineStr">
        <is>
          <t>Подопечные фонда «Дети Марии» (общая группа детей и подростков)</t>
        </is>
      </c>
      <c r="G1543" s="26" t="inlineStr">
        <is>
          <t>Студия фонда / выездная площадка</t>
        </is>
      </c>
      <c r="H1543" s="26" t="inlineStr">
        <is>
          <t>Организационные, ивент- и ярмарочные навыки</t>
        </is>
      </c>
      <c r="I1543" s="27" t="inlineStr">
        <is>
          <t>По формату занятия</t>
        </is>
      </c>
      <c r="J1543" s="26" t="inlineStr">
        <is>
          <t>На благотворительной ярмарке в БЦ Кантри парк (башня Green Point) в Химках нами собрано 12900 рублей. Спасибо БФ «Дорога вместе» United Way of Russia и компании SC Johnson за приглашение и организацию, всем жертвователям за добрые сердца! Вот такие сувениры, сделанные руками наши...</t>
        </is>
      </c>
    </row>
    <row r="1544" ht="30" customHeight="1">
      <c r="A1544" s="28" t="n">
        <v>2319</v>
      </c>
      <c r="B1544" s="29" t="inlineStr">
        <is>
          <t>2017-04-13</t>
        </is>
      </c>
      <c r="C1544" s="30">
        <f>HYPERLINK("https://vk.com/wall-1825701_2319", "Открыть пост")</f>
        <v/>
      </c>
      <c r="D1544" s="31" t="inlineStr">
        <is>
          <t>Ярмарки, фестивали и благотворительные базары</t>
        </is>
      </c>
      <c r="E1544" s="31" t="inlineStr">
        <is>
          <t>Ярмарки, фестивали и благотворительные базары</t>
        </is>
      </c>
      <c r="F1544" s="31" t="inlineStr">
        <is>
          <t>Подопечные фонда «Дети Марии» (общая группа детей и подростков)</t>
        </is>
      </c>
      <c r="G1544" s="31" t="inlineStr">
        <is>
          <t>Студия фонда / выездная площадка</t>
        </is>
      </c>
      <c r="H1544" s="31" t="inlineStr">
        <is>
          <t>Организационные, ивент- и ярмарочные навыки</t>
        </is>
      </c>
      <c r="I1544" s="32" t="inlineStr">
        <is>
          <t>По формату занятия</t>
        </is>
      </c>
      <c r="J1544" s="31" t="inlineStr">
        <is>
          <t>Хочется праздника? Сегодня в России День мецената и благотворителя. Чтобы ощутить этот праздник своим — сделайте пожертвование любой благотворительной организации. Вот как сотрудники разных компаний, работающие в БЦ «Грин Пойнт» в Химках. Здесь сегодня ярмарка, и можно сделать до...</t>
        </is>
      </c>
    </row>
    <row r="1545" ht="30" customHeight="1">
      <c r="A1545" s="23" t="n">
        <v>2310</v>
      </c>
      <c r="B1545" s="24" t="inlineStr">
        <is>
          <t>2017-04-11</t>
        </is>
      </c>
      <c r="C1545" s="25">
        <f>HYPERLINK("https://vk.com/wall-1825701_2310", "Открыть пост")</f>
        <v/>
      </c>
      <c r="D1545" s="26" t="inlineStr">
        <is>
          <t>Творческие мастер-классы и художественные студии</t>
        </is>
      </c>
      <c r="E1545" s="26" t="inlineStr">
        <is>
          <t>Творческие мастер-классы и художественные студии</t>
        </is>
      </c>
      <c r="F1545" s="26" t="inlineStr">
        <is>
          <t>Воспитанники ЦССВ, ДДИ и детских домов-интернатов</t>
        </is>
      </c>
      <c r="G1545" s="26" t="inlineStr">
        <is>
          <t>ЦССВ № 1</t>
        </is>
      </c>
      <c r="H1545" s="26" t="inlineStr">
        <is>
          <t>Художественно-прикладные и ремесленные навыки</t>
        </is>
      </c>
      <c r="I1545" s="27" t="inlineStr">
        <is>
          <t>По формату занятия</t>
        </is>
      </c>
      <c r="J1545" s="26" t="inlineStr">
        <is>
          <t>На занятиях дети из ЦССВ № 1. Рисуем весну, валяем нежные весенние цветы, лепим, что душа пожелает.</t>
        </is>
      </c>
    </row>
    <row r="1546" ht="30" customHeight="1">
      <c r="A1546" s="28" t="n">
        <v>2308</v>
      </c>
      <c r="B1546" s="29" t="inlineStr">
        <is>
          <t>2017-04-11</t>
        </is>
      </c>
      <c r="C1546" s="30">
        <f>HYPERLINK("https://vk.com/wall-1825701_2308", "Открыть пост")</f>
        <v/>
      </c>
      <c r="D1546" s="31" t="inlineStr">
        <is>
          <t>Ярмарки, фестивали и благотворительные базары</t>
        </is>
      </c>
      <c r="E1546" s="31" t="inlineStr">
        <is>
          <t>Ярмарки, фестивали и благотворительные базары</t>
        </is>
      </c>
      <c r="F1546" s="31" t="inlineStr">
        <is>
          <t>Подопечные фонда «Дети Марии» (общая группа детей и подростков)</t>
        </is>
      </c>
      <c r="G1546" s="31" t="inlineStr">
        <is>
          <t>Студия фонда / выездная площадка</t>
        </is>
      </c>
      <c r="H1546" s="31" t="inlineStr">
        <is>
          <t>Организационные, ивент- и ярмарочные навыки</t>
        </is>
      </c>
      <c r="I1546" s="32" t="inlineStr">
        <is>
          <t>По формату занятия</t>
        </is>
      </c>
      <c r="J1546" s="31" t="inlineStr">
        <is>
          <t>13 апреля, в четверг, с 9 до 18 мы вместе с другими фондами участвуем в Пасхальной благотворительной ярмарке в БЦ Green Point (г. Химки, ул. Панфилова, д. 19, стр. 1). Приглашаем всех!</t>
        </is>
      </c>
    </row>
    <row r="1547" ht="30" customHeight="1">
      <c r="A1547" s="23" t="n">
        <v>2298</v>
      </c>
      <c r="B1547" s="24" t="inlineStr">
        <is>
          <t>2017-04-08</t>
        </is>
      </c>
      <c r="C1547" s="25">
        <f>HYPERLINK("https://vk.com/wall-1825701_2298", "Открыть пост")</f>
        <v/>
      </c>
      <c r="D1547" s="26" t="inlineStr">
        <is>
          <t>Волонтёрские встречи, обучение и дни открытых дверей</t>
        </is>
      </c>
      <c r="E1547" s="26" t="inlineStr">
        <is>
          <t>Волонтёрские встречи, обучение и дни открытых дверей</t>
        </is>
      </c>
      <c r="F1547" s="26" t="inlineStr">
        <is>
          <t>Подопечные фонда «Дети Марии» (общая группа детей и подростков)</t>
        </is>
      </c>
      <c r="G1547" s="26" t="inlineStr">
        <is>
          <t>Студия фонда / выездная площадка</t>
        </is>
      </c>
      <c r="H1547" s="26" t="inlineStr">
        <is>
          <t>Коммуникативные навыки, эмпатия и тьюторское сопровождение; Организационные, ивент- и ярмарочные навыки</t>
        </is>
      </c>
      <c r="I1547" s="27" t="inlineStr">
        <is>
          <t>По формату занятия</t>
        </is>
      </c>
      <c r="J1547" s="26" t="inlineStr">
        <is>
          <t>Субботник в Щемиловском парке недалеко от студии организован Управой Тверского района. Дружная команда «Детей Марии» и «Пеликана» наводит чистоту и красоту.</t>
        </is>
      </c>
    </row>
    <row r="1548" ht="30" customHeight="1">
      <c r="A1548" s="28" t="n">
        <v>2297</v>
      </c>
      <c r="B1548" s="29" t="inlineStr">
        <is>
          <t>2017-04-08</t>
        </is>
      </c>
      <c r="C1548" s="30">
        <f>HYPERLINK("https://vk.com/wall-1825701_2297", "Открыть пост")</f>
        <v/>
      </c>
      <c r="D1548" s="31" t="inlineStr">
        <is>
          <t>Спектакли, концерты и музыкально-театральные занятия</t>
        </is>
      </c>
      <c r="E1548" s="31" t="inlineStr">
        <is>
          <t>Спектакли, концерты и музыкально-театральные занятия; Творческие мастер-классы и художественные студии</t>
        </is>
      </c>
      <c r="F1548" s="31" t="inlineStr">
        <is>
          <t>Дети и семьи (в т.ч. приёмные семьи и программа в Беслане)</t>
        </is>
      </c>
      <c r="G1548" s="31" t="inlineStr">
        <is>
          <t>беслан</t>
        </is>
      </c>
      <c r="H1548" s="31" t="inlineStr">
        <is>
          <t>Артистические, музыкальные и спортивно-игровые навыки</t>
        </is>
      </c>
      <c r="I1548" s="32" t="inlineStr">
        <is>
          <t>По формату занятия</t>
        </is>
      </c>
      <c r="J1548" s="31" t="inlineStr">
        <is>
          <t>Вчера в бесланской школе ребята, которые участвовали в мастер-классах, показали, чему они научились, в большом заключительном концерте.</t>
        </is>
      </c>
    </row>
    <row r="1549" ht="30" customHeight="1">
      <c r="A1549" s="23" t="n">
        <v>2291</v>
      </c>
      <c r="B1549" s="24" t="inlineStr">
        <is>
          <t>2017-04-06</t>
        </is>
      </c>
      <c r="C1549" s="25">
        <f>HYPERLINK("https://vk.com/wall-1825701_2291", "Открыть пост")</f>
        <v/>
      </c>
      <c r="D1549" s="26" t="inlineStr">
        <is>
          <t>Творческие мастер-классы и художественные студии</t>
        </is>
      </c>
      <c r="E1549" s="26" t="inlineStr">
        <is>
          <t>Творческие мастер-классы и художественные студии</t>
        </is>
      </c>
      <c r="F1549" s="26" t="inlineStr">
        <is>
          <t>Воспитанники ЦССВ, ДДИ и детских домов-интернатов; Дети и семьи (в т.ч. приёмные семьи и программа в Беслане)</t>
        </is>
      </c>
      <c r="G1549" s="26" t="inlineStr">
        <is>
          <t>Беслан</t>
        </is>
      </c>
      <c r="H1549" s="26" t="inlineStr">
        <is>
          <t>Коммуникативные навыки, эмпатия и тьюторское сопровождение</t>
        </is>
      </c>
      <c r="I1549" s="27" t="inlineStr">
        <is>
          <t>По формату занятия</t>
        </is>
      </c>
      <c r="J1549" s="26" t="inlineStr">
        <is>
          <t>Чудесные блокноты сегодня сделали своими руками дети в Бесланской школе на мастер-классе Ясина и Димы. А фонарики, расписанные ребятами с Галей, сияют всеми цветами радуги.</t>
        </is>
      </c>
    </row>
    <row r="1550" ht="30" customHeight="1">
      <c r="A1550" s="28" t="n">
        <v>2289</v>
      </c>
      <c r="B1550" s="29" t="inlineStr">
        <is>
          <t>2017-04-05</t>
        </is>
      </c>
      <c r="C1550" s="30">
        <f>HYPERLINK("https://vk.com/wall-1825701_2289", "Открыть пост")</f>
        <v/>
      </c>
      <c r="D1550" s="31" t="inlineStr">
        <is>
          <t>Творческие мастер-классы и художественные студии</t>
        </is>
      </c>
      <c r="E1550" s="31" t="inlineStr">
        <is>
          <t>Творческие мастер-классы и художественные студии</t>
        </is>
      </c>
      <c r="F1550" s="31" t="inlineStr">
        <is>
          <t>Дети и семьи (в т.ч. приёмные семьи и программа в Беслане)</t>
        </is>
      </c>
      <c r="G1550" s="31" t="inlineStr">
        <is>
          <t>Беслан</t>
        </is>
      </c>
      <c r="H1550" s="31" t="inlineStr">
        <is>
          <t>Коммуникативные навыки, эмпатия и тьюторское сопровождение</t>
        </is>
      </c>
      <c r="I1550" s="32" t="inlineStr">
        <is>
          <t>Да (в тексте)</t>
        </is>
      </c>
      <c r="J1550" s="31" t="inlineStr">
        <is>
          <t>В Бесланской школе № 1 второй день продолжаются мастер-классы от наших волонтёров из разных стран.</t>
        </is>
      </c>
    </row>
    <row r="1551" ht="30" customHeight="1">
      <c r="A1551" s="23" t="n">
        <v>2286</v>
      </c>
      <c r="B1551" s="24" t="inlineStr">
        <is>
          <t>2017-04-04</t>
        </is>
      </c>
      <c r="C1551" s="25">
        <f>HYPERLINK("https://vk.com/wall-1825701_2286", "Открыть пост")</f>
        <v/>
      </c>
      <c r="D1551" s="26" t="inlineStr">
        <is>
          <t>Творческие мастер-классы и художественные студии</t>
        </is>
      </c>
      <c r="E1551" s="26" t="inlineStr">
        <is>
          <t>Творческие мастер-классы и художественные студии</t>
        </is>
      </c>
      <c r="F1551" s="26" t="inlineStr">
        <is>
          <t>Дети и семьи (в т.ч. приёмные семьи и программа в Беслане)</t>
        </is>
      </c>
      <c r="G1551" s="26" t="inlineStr">
        <is>
          <t>беслан</t>
        </is>
      </c>
      <c r="H1551" s="26" t="inlineStr">
        <is>
          <t>Художественно-прикладные и ремесленные навыки; Артистические, музыкальные и спортивно-игровые навыки</t>
        </is>
      </c>
      <c r="I1551" s="27" t="inlineStr">
        <is>
          <t>По формату занятия</t>
        </is>
      </c>
      <c r="J1551" s="26" t="inlineStr">
        <is>
          <t>В бесланской школе мы сегодня проводили мастер-классы по росписи фонариков, танцам, клоунаде, мозаике. Продолжение завтра.</t>
        </is>
      </c>
    </row>
    <row r="1552" ht="30" customHeight="1">
      <c r="A1552" s="28" t="n">
        <v>2275</v>
      </c>
      <c r="B1552" s="29" t="inlineStr">
        <is>
          <t>2017-04-02</t>
        </is>
      </c>
      <c r="C1552" s="30">
        <f>HYPERLINK("https://vk.com/wall-1825701_2275", "Открыть пост")</f>
        <v/>
      </c>
      <c r="D1552" s="31" t="inlineStr">
        <is>
          <t>Творческие мастер-классы и художественные студии</t>
        </is>
      </c>
      <c r="E1552" s="31" t="inlineStr">
        <is>
          <t>Творческие мастер-классы и художественные студии</t>
        </is>
      </c>
      <c r="F1552" s="31" t="inlineStr">
        <is>
          <t>Дети и семьи (в т.ч. приёмные семьи и программа в Беслане)</t>
        </is>
      </c>
      <c r="G1552" s="31" t="inlineStr">
        <is>
          <t>Беслан</t>
        </is>
      </c>
      <c r="H1552" s="31" t="inlineStr">
        <is>
          <t>Художественно-прикладные и ремесленные навыки</t>
        </is>
      </c>
      <c r="I1552" s="32" t="inlineStr">
        <is>
          <t>Да (в тексте)</t>
        </is>
      </c>
      <c r="J1552" s="31" t="inlineStr">
        <is>
          <t>Сегодня наши волонтёры прилетели в Беслан, их встречают осетинскими пирогами. Впереди — несколько дней мастер-классов в Первой школе, роспись стены, а главное — встречи со старыми друзьями.</t>
        </is>
      </c>
    </row>
    <row r="1553" ht="30" customHeight="1">
      <c r="A1553" s="23" t="n">
        <v>2248</v>
      </c>
      <c r="B1553" s="24" t="inlineStr">
        <is>
          <t>2017-03-26</t>
        </is>
      </c>
      <c r="C1553" s="25">
        <f>HYPERLINK("https://vk.com/wall-1825701_2248", "Открыть пост")</f>
        <v/>
      </c>
      <c r="D1553" s="26" t="inlineStr">
        <is>
          <t>Творческие мастер-классы и художественные студии</t>
        </is>
      </c>
      <c r="E1553" s="26" t="inlineStr">
        <is>
          <t>Творческие мастер-классы и художественные студии</t>
        </is>
      </c>
      <c r="F1553" s="26" t="inlineStr">
        <is>
          <t>Подростки и взрослые с ментальными особенностями и ОВЗ (ПНИ / Социальные дома)</t>
        </is>
      </c>
      <c r="G1553" s="26" t="inlineStr">
        <is>
          <t>Студия фонда / выездная площадка</t>
        </is>
      </c>
      <c r="H1553" s="26" t="inlineStr">
        <is>
          <t>Художественно-прикладные и ремесленные навыки; Педагогические и наставнические навыки (кулинария, быт, учёба)</t>
        </is>
      </c>
      <c r="I1553" s="27" t="inlineStr">
        <is>
          <t>Да (в тексте)</t>
        </is>
      </c>
      <c r="J1553" s="26" t="inlineStr">
        <is>
          <t>В пятницу ребята из ПНИ 16 и рисовали, и готовили чечевичный суп под руководством волонтёра Иоханны. Очень нам нравятся такие вкусные и полезные занятия.</t>
        </is>
      </c>
    </row>
    <row r="1554" ht="30" customHeight="1">
      <c r="A1554" s="28" t="n">
        <v>2243</v>
      </c>
      <c r="B1554" s="29" t="inlineStr">
        <is>
          <t>2017-03-23</t>
        </is>
      </c>
      <c r="C1554" s="30">
        <f>HYPERLINK("https://vk.com/wall-1825701_2243", "Открыть пост")</f>
        <v/>
      </c>
      <c r="D1554" s="31" t="inlineStr">
        <is>
          <t>Творческие мастер-классы и художественные студии</t>
        </is>
      </c>
      <c r="E1554" s="31" t="inlineStr">
        <is>
          <t>Творческие мастер-классы и художественные студии</t>
        </is>
      </c>
      <c r="F1554" s="31" t="inlineStr">
        <is>
          <t>Подопечные фонда «Дети Марии» (общая группа детей и подростков)</t>
        </is>
      </c>
      <c r="G1554" s="31" t="inlineStr">
        <is>
          <t>Студия фонда / выездная площадка</t>
        </is>
      </c>
      <c r="H1554" s="31" t="inlineStr">
        <is>
          <t>Коммуникативные навыки, эмпатия и тьюторское сопровождение</t>
        </is>
      </c>
      <c r="I1554" s="32" t="inlineStr">
        <is>
          <t>По формату занятия</t>
        </is>
      </c>
      <c r="J1554" s="31" t="inlineStr">
        <is>
          <t>Вчера в Лавке радостей мы собрали 15100 рублей на программу ежедневных творческих занятий в студии. Спасибо Лавке, Благотворительному собранию "Все вместе" и всем, кто в этот день заглянул в Лавку.</t>
        </is>
      </c>
    </row>
    <row r="1555" ht="30" customHeight="1">
      <c r="A1555" s="23" t="n">
        <v>2223</v>
      </c>
      <c r="B1555" s="24" t="inlineStr">
        <is>
          <t>2017-03-17</t>
        </is>
      </c>
      <c r="C1555" s="25">
        <f>HYPERLINK("https://vk.com/wall-1825701_2223", "Открыть пост")</f>
        <v/>
      </c>
      <c r="D1555" s="26" t="inlineStr">
        <is>
          <t>Творческие мастер-классы и художественные студии</t>
        </is>
      </c>
      <c r="E1555" s="26" t="inlineStr">
        <is>
          <t>Творческие мастер-классы и художественные студии; Спектакли, концерты и музыкально-театральные занятия</t>
        </is>
      </c>
      <c r="F1555" s="26" t="inlineStr">
        <is>
          <t>Подростки и взрослые с ментальными особенностями и ОВЗ (ПНИ / Социальные дома)</t>
        </is>
      </c>
      <c r="G1555" s="26" t="inlineStr">
        <is>
          <t>Студия фонда / выездная площадка</t>
        </is>
      </c>
      <c r="H1555" s="26" t="inlineStr">
        <is>
          <t>Художественно-прикладные и ремесленные навыки; Артистические, музыкальные и спортивно-игровые навыки</t>
        </is>
      </c>
      <c r="I1555" s="27" t="inlineStr">
        <is>
          <t>По формату занятия</t>
        </is>
      </c>
      <c r="J1555" s="26" t="inlineStr">
        <is>
          <t>Утреннее занятие со взрослыми из 16го ПНИ отличилось тем, что мы праздновали сразу СЕМЬ дней рождения! И, конечно, рисовали, лепили, валяли, пели песни.</t>
        </is>
      </c>
    </row>
    <row r="1556" ht="30" customHeight="1">
      <c r="A1556" s="28" t="n">
        <v>2216</v>
      </c>
      <c r="B1556" s="29" t="inlineStr">
        <is>
          <t>2017-03-16</t>
        </is>
      </c>
      <c r="C1556" s="30">
        <f>HYPERLINK("https://vk.com/wall-1825701_2216", "Открыть пост")</f>
        <v/>
      </c>
      <c r="D1556" s="31" t="inlineStr">
        <is>
          <t>Выставки, экскурсии и культурные выходы</t>
        </is>
      </c>
      <c r="E1556" s="31" t="inlineStr">
        <is>
          <t>Выставки, экскурсии и культурные выходы; Творческие мастер-классы и художественные студии</t>
        </is>
      </c>
      <c r="F1556" s="31" t="inlineStr">
        <is>
          <t>Подростки и взрослые с ментальными особенностями и ОВЗ (ПНИ / Социальные дома)</t>
        </is>
      </c>
      <c r="G1556" s="31" t="inlineStr">
        <is>
          <t>Студия фонда / выездная площадка</t>
        </is>
      </c>
      <c r="H1556" s="31" t="inlineStr">
        <is>
          <t>Художественно-прикладные и ремесленные навыки; Артистические, музыкальные и спортивно-игровые навыки; Педагогические и наставнические навыки (кулинария, быт, учёба)</t>
        </is>
      </c>
      <c r="I1556" s="32" t="inlineStr">
        <is>
          <t>По формату занятия</t>
        </is>
      </c>
      <c r="J1556" s="31" t="inlineStr">
        <is>
          <t>15 марта в стенах Общественной палаты России открылась выставка работ победителей конкурса «Особые таланты — 2017». «Дети Марии» представили на выставке восемнадцать работ своих воспитанников — картины и керамику. На открытии выставки наш преподаватель Наталья Пушкина и автор раб...</t>
        </is>
      </c>
    </row>
    <row r="1557" ht="30" customHeight="1">
      <c r="A1557" s="23" t="n">
        <v>2207</v>
      </c>
      <c r="B1557" s="24" t="inlineStr">
        <is>
          <t>2017-03-14</t>
        </is>
      </c>
      <c r="C1557" s="25">
        <f>HYPERLINK("https://vk.com/wall-1825701_2207", "Открыть пост")</f>
        <v/>
      </c>
      <c r="D1557" s="26" t="inlineStr">
        <is>
          <t>Творческие мастер-классы и художественные студии</t>
        </is>
      </c>
      <c r="E1557" s="26" t="inlineStr">
        <is>
          <t>Творческие мастер-классы и художественные студии; Праздники, дни рождения и клубные встречи</t>
        </is>
      </c>
      <c r="F1557" s="26" t="inlineStr">
        <is>
          <t>Подростки и взрослые с ментальными особенностями и ОВЗ (ПНИ / Социальные дома)</t>
        </is>
      </c>
      <c r="G1557" s="26" t="inlineStr">
        <is>
          <t>Студия фонда / выездная площадка</t>
        </is>
      </c>
      <c r="H1557" s="26" t="inlineStr">
        <is>
          <t>Художественно-прикладные и ремесленные навыки; Коммуникативные навыки, эмпатия и тьюторское сопровождение; Организационные, ивент- и ярмарочные навыки</t>
        </is>
      </c>
      <c r="I1557" s="27" t="inlineStr">
        <is>
          <t>По формату занятия</t>
        </is>
      </c>
      <c r="J1557" s="26" t="inlineStr">
        <is>
          <t>Сегодня наконец приехали на занятия в студию ребята из ПНИ 16. Рисовали, лепили, общались, поздравляли друг друга с многочисленными прошедшими праздниками, не отпразднованными вместе из-за карантина. Уехали с подарками, довольные, ждём снова утром в пятницу.</t>
        </is>
      </c>
    </row>
    <row r="1558" ht="30" customHeight="1">
      <c r="A1558" s="28" t="n">
        <v>2206</v>
      </c>
      <c r="B1558" s="29" t="inlineStr">
        <is>
          <t>2017-03-14</t>
        </is>
      </c>
      <c r="C1558" s="30">
        <f>HYPERLINK("https://vk.com/wall-1825701_2206", "Открыть пост")</f>
        <v/>
      </c>
      <c r="D1558" s="31" t="inlineStr">
        <is>
          <t>Ярмарки, фестивали и благотворительные базары</t>
        </is>
      </c>
      <c r="E1558" s="31" t="inlineStr">
        <is>
          <t>Ярмарки, фестивали и благотворительные базары</t>
        </is>
      </c>
      <c r="F1558" s="31" t="inlineStr">
        <is>
          <t>Воспитанники ЦССВ, ДДИ и детских домов-интернатов</t>
        </is>
      </c>
      <c r="G1558" s="31" t="inlineStr">
        <is>
          <t>ЦССВ «Юнона»</t>
        </is>
      </c>
      <c r="H1558" s="31" t="inlineStr">
        <is>
          <t>Организационные, ивент- и ярмарочные навыки</t>
        </is>
      </c>
      <c r="I1558" s="32" t="inlineStr">
        <is>
          <t>По формату занятия</t>
        </is>
      </c>
      <c r="J1558" s="31" t="inlineStr">
        <is>
          <t>Старшеклассники Лицея «Вторая школа» на благотворительной ярмарке собрали средства на лечение зубов Саше из ЦССВ «Юнона». Лечение начато. Спасибо, друзья!</t>
        </is>
      </c>
    </row>
    <row r="1559" ht="30" customHeight="1">
      <c r="A1559" s="23" t="n">
        <v>2204</v>
      </c>
      <c r="B1559" s="24" t="inlineStr">
        <is>
          <t>2017-03-13</t>
        </is>
      </c>
      <c r="C1559" s="25">
        <f>HYPERLINK("https://vk.com/wall-1825701_2204", "Открыть пост")</f>
        <v/>
      </c>
      <c r="D1559" s="26" t="inlineStr">
        <is>
          <t>Творческие мастер-классы и художественные студии</t>
        </is>
      </c>
      <c r="E1559" s="26" t="inlineStr">
        <is>
          <t>Творческие мастер-классы и художественные студии</t>
        </is>
      </c>
      <c r="F1559" s="26" t="inlineStr">
        <is>
          <t>Подопечные фонда «Дети Марии» (общая группа детей и подростков)</t>
        </is>
      </c>
      <c r="G1559" s="26" t="inlineStr">
        <is>
          <t>Студия фонда / выездная площадка</t>
        </is>
      </c>
      <c r="H1559" s="26" t="inlineStr">
        <is>
          <t>Художественно-прикладные и ремесленные навыки; Артистические, музыкальные и спортивно-игровые навыки</t>
        </is>
      </c>
      <c r="I1559" s="27" t="inlineStr">
        <is>
          <t>По формату занятия</t>
        </is>
      </c>
      <c r="J1559" s="26" t="inlineStr">
        <is>
          <t>Занятия керамикой и музыкой у нас в студии происходят в одной комнате. Так что, раскатывая глину, девчонки и подпевают, и пританцовывают. Синтез двух искусств.</t>
        </is>
      </c>
    </row>
    <row r="1560" ht="30" customHeight="1">
      <c r="A1560" s="28" t="n">
        <v>2196</v>
      </c>
      <c r="B1560" s="29" t="inlineStr">
        <is>
          <t>2017-03-07</t>
        </is>
      </c>
      <c r="C1560" s="30">
        <f>HYPERLINK("https://vk.com/wall-1825701_2196", "Открыть пост")</f>
        <v/>
      </c>
      <c r="D1560" s="31" t="inlineStr">
        <is>
          <t>Выездные лагеря, дача и сезонные программы</t>
        </is>
      </c>
      <c r="E1560" s="31" t="inlineStr">
        <is>
          <t>Выездные лагеря, дача и сезонные программы; Спортивные и активные мероприятия</t>
        </is>
      </c>
      <c r="F1560" s="31" t="inlineStr">
        <is>
          <t>Подростки и взрослые с ментальными особенностями и ОВЗ (ПНИ / Социальные дома); Воспитанники ЦССВ, ДДИ и детских домов-интернатов</t>
        </is>
      </c>
      <c r="G1560" s="31" t="inlineStr">
        <is>
          <t>ЦССВ «Спутник»</t>
        </is>
      </c>
      <c r="H1560" s="31" t="inlineStr">
        <is>
          <t>Артистические, музыкальные и спортивно-игровые навыки; Педагогические и наставнические навыки (кулинария, быт, учёба); Мобильность, выездное сопровождение и автоволонтёрство</t>
        </is>
      </c>
      <c r="I1560" s="32" t="inlineStr">
        <is>
          <t>По формату занятия</t>
        </is>
      </c>
      <c r="J1560" s="31" t="inlineStr">
        <is>
          <t>Подарок от https://vk.com/lavkaradostej — велосипедные шлемы. Теперь дети из Филимонковского детского дома и ЦССВ «Спутник» с ещё большим нетерпением будут ждать лета и нашего летнего лагеря с велосипедами и самокатами. Спасибо, Лавка Радостей, за заботу и безопасность!</t>
        </is>
      </c>
    </row>
    <row r="1561" ht="30" customHeight="1">
      <c r="A1561" s="23" t="n">
        <v>2179</v>
      </c>
      <c r="B1561" s="24" t="inlineStr">
        <is>
          <t>2017-03-04</t>
        </is>
      </c>
      <c r="C1561" s="25">
        <f>HYPERLINK("https://vk.com/wall-1825701_2179", "Открыть пост")</f>
        <v/>
      </c>
      <c r="D1561" s="26" t="inlineStr">
        <is>
          <t>Творческие мастер-классы и художественные студии</t>
        </is>
      </c>
      <c r="E1561" s="26" t="inlineStr">
        <is>
          <t>Творческие мастер-классы и художественные студии</t>
        </is>
      </c>
      <c r="F1561" s="26" t="inlineStr">
        <is>
          <t>Подопечные фонда «Дети Марии» (общая группа детей и подростков)</t>
        </is>
      </c>
      <c r="G1561" s="26" t="inlineStr">
        <is>
          <t>Студия фонда / выездная площадка</t>
        </is>
      </c>
      <c r="H1561" s="26" t="inlineStr">
        <is>
          <t>Художественно-прикладные и ремесленные навыки; Артистические, музыкальные и спортивно-игровые навыки; Педагогические и наставнические навыки (кулинария, быт, учёба)</t>
        </is>
      </c>
      <c r="I1561" s="27" t="inlineStr">
        <is>
          <t>По формату занятия</t>
        </is>
      </c>
      <c r="J1561" s="26" t="inlineStr">
        <is>
          <t>Сегодня в студии занимались дети из окрестных домов, и у всех преподавателей был аншлаг. Валяли нежные цветочки для подарков к 8 марта, лепили новые изделия и раскрашивали уже обожженные фигурки, Вова покрывал глазурью изразец. С военных сборов вернулся долгожданный Лёша Ждамиров...</t>
        </is>
      </c>
    </row>
    <row r="1562" ht="30" customHeight="1">
      <c r="A1562" s="28" t="n">
        <v>2178</v>
      </c>
      <c r="B1562" s="29" t="inlineStr">
        <is>
          <t>2017-03-04</t>
        </is>
      </c>
      <c r="C1562" s="30">
        <f>HYPERLINK("https://vk.com/wall-1825701_2178", "Открыть пост")</f>
        <v/>
      </c>
      <c r="D1562" s="31" t="inlineStr">
        <is>
          <t>Ярмарки, фестивали и благотворительные базары</t>
        </is>
      </c>
      <c r="E1562" s="31" t="inlineStr">
        <is>
          <t>Ярмарки, фестивали и благотворительные базары</t>
        </is>
      </c>
      <c r="F1562" s="31" t="inlineStr">
        <is>
          <t>Воспитанники ЦССВ, ДДИ и детских домов-интернатов</t>
        </is>
      </c>
      <c r="G1562" s="31" t="inlineStr">
        <is>
          <t>ЦССВ «Юнона»</t>
        </is>
      </c>
      <c r="H1562" s="31" t="inlineStr">
        <is>
          <t>Педагогические и наставнические навыки (кулинария, быт, учёба); Организационные, ивент- и ярмарочные навыки</t>
        </is>
      </c>
      <c r="I1562" s="32" t="inlineStr">
        <is>
          <t>По формату занятия</t>
        </is>
      </c>
      <c r="J1562" s="31" t="inlineStr">
        <is>
          <t>Сегодня в Лицее «Вторая школа» благотворительная ярмарка. Ученики лицея сами напекли сладостей, сделали сувениры. Все собранные средства пойдут на протезирование зубов воспитаннику ЦССВ «Юнона» ( бывшего 7 интерната). Спасибо школьникам, их учителям и родителям! Спасибо Галине Пе...</t>
        </is>
      </c>
    </row>
    <row r="1563" ht="30" customHeight="1">
      <c r="A1563" s="23" t="n">
        <v>2177</v>
      </c>
      <c r="B1563" s="24" t="inlineStr">
        <is>
          <t>2017-03-03</t>
        </is>
      </c>
      <c r="C1563" s="25">
        <f>HYPERLINK("https://vk.com/wall-1825701_2177", "Открыть пост")</f>
        <v/>
      </c>
      <c r="D1563" s="26" t="inlineStr">
        <is>
          <t>Ярмарки, фестивали и благотворительные базары</t>
        </is>
      </c>
      <c r="E1563" s="26" t="inlineStr">
        <is>
          <t>Ярмарки, фестивали и благотворительные базары</t>
        </is>
      </c>
      <c r="F1563" s="26" t="inlineStr">
        <is>
          <t>Подопечные фонда «Дети Марии» (общая группа детей и подростков)</t>
        </is>
      </c>
      <c r="G1563" s="26" t="inlineStr">
        <is>
          <t>Студия фонда / выездная площадка</t>
        </is>
      </c>
      <c r="H1563" s="26" t="inlineStr">
        <is>
          <t>Организационные, ивент- и ярмарочные навыки</t>
        </is>
      </c>
      <c r="I1563" s="27" t="inlineStr">
        <is>
          <t>По формату занятия</t>
        </is>
      </c>
      <c r="J1563" s="26" t="inlineStr">
        <is>
          <t>Сегодня до 15 часов мы в Башне на набережной участвуем в благотворительной ярмарке по приглашению компании КПМГ. Приходите за весенними сувенирами!</t>
        </is>
      </c>
    </row>
    <row r="1564" ht="30" customHeight="1">
      <c r="A1564" s="28" t="n">
        <v>2175</v>
      </c>
      <c r="B1564" s="29" t="inlineStr">
        <is>
          <t>2017-03-02</t>
        </is>
      </c>
      <c r="C1564" s="30">
        <f>HYPERLINK("https://vk.com/wall-1825701_2175", "Открыть пост")</f>
        <v/>
      </c>
      <c r="D1564" s="31" t="inlineStr">
        <is>
          <t>Ярмарки, фестивали и благотворительные базары</t>
        </is>
      </c>
      <c r="E1564" s="31" t="inlineStr">
        <is>
          <t>Ярмарки, фестивали и благотворительные базары</t>
        </is>
      </c>
      <c r="F1564" s="31" t="inlineStr">
        <is>
          <t>Подопечные фонда «Дети Марии» (общая группа детей и подростков)</t>
        </is>
      </c>
      <c r="G1564" s="31" t="inlineStr">
        <is>
          <t>Студия фонда / выездная площадка</t>
        </is>
      </c>
      <c r="H1564" s="31" t="inlineStr">
        <is>
          <t>Организационные, ивент- и ярмарочные навыки</t>
        </is>
      </c>
      <c r="I1564" s="32" t="inlineStr">
        <is>
          <t>По формату занятия</t>
        </is>
      </c>
      <c r="J1564" s="31" t="inlineStr">
        <is>
          <t>https://moscowfresh.ru/ каждый день дарит нашим детям фрукты и овощи, благодаря им наша жизнь стала лучше, вкуснее и веселее. Сегодня мы подарили создателю компании Льву Воложу картину Влада Новицкого «Восточный базар», на которой такое же яркое разнообразие фруктов и овощей, как...</t>
        </is>
      </c>
    </row>
    <row r="1565" ht="30" customHeight="1">
      <c r="A1565" s="23" t="n">
        <v>2166</v>
      </c>
      <c r="B1565" s="24" t="inlineStr">
        <is>
          <t>2017-03-01</t>
        </is>
      </c>
      <c r="C1565" s="25">
        <f>HYPERLINK("https://vk.com/wall-1825701_2166", "Открыть пост")</f>
        <v/>
      </c>
      <c r="D1565" s="26" t="inlineStr">
        <is>
          <t>Ярмарки, фестивали и благотворительные базары</t>
        </is>
      </c>
      <c r="E1565" s="26" t="inlineStr">
        <is>
          <t>Ярмарки, фестивали и благотворительные базары; Выездные лагеря, дача и сезонные программы</t>
        </is>
      </c>
      <c r="F1565" s="26" t="inlineStr">
        <is>
          <t>Подопечные фонда «Дети Марии» (общая группа детей и подростков)</t>
        </is>
      </c>
      <c r="G1565" s="26" t="inlineStr">
        <is>
          <t>Студия фонда / выездная площадка</t>
        </is>
      </c>
      <c r="H1565" s="26" t="inlineStr">
        <is>
          <t>Коммуникативные навыки, эмпатия и тьюторское сопровождение; Организационные, ивент- и ярмарочные навыки; Мобильность, выездное сопровождение и автоволонтёрство</t>
        </is>
      </c>
      <c r="I1565" s="27" t="inlineStr">
        <is>
          <t>По формату занятия</t>
        </is>
      </c>
      <c r="J1565" s="26" t="inlineStr">
        <is>
          <t>Закончилась зима, а с нею и наш зимний лагерь. Это было прекрасно! Лагерь состоялся благодаря поддержке Комитета общественных связей г. Москвы, фонда КАФ и программы «Растим добро». Спасибо всем, кто пожертвовал нам средства на новогодних благотворительных ярмарках, Душевном Baza...</t>
        </is>
      </c>
    </row>
    <row r="1566" ht="30" customHeight="1">
      <c r="A1566" s="28" t="n">
        <v>2164</v>
      </c>
      <c r="B1566" s="29" t="inlineStr">
        <is>
          <t>2017-02-28</t>
        </is>
      </c>
      <c r="C1566" s="30">
        <f>HYPERLINK("https://vk.com/wall-1825701_2164", "Открыть пост")</f>
        <v/>
      </c>
      <c r="D1566" s="31" t="inlineStr">
        <is>
          <t>Творческие мастер-классы и художественные студии</t>
        </is>
      </c>
      <c r="E1566" s="31" t="inlineStr">
        <is>
          <t>Творческие мастер-классы и художественные студии</t>
        </is>
      </c>
      <c r="F1566" s="31" t="inlineStr">
        <is>
          <t>Воспитанники ЦССВ, ДДИ и детских домов-интернатов</t>
        </is>
      </c>
      <c r="G1566" s="31" t="inlineStr">
        <is>
          <t>интерната №1</t>
        </is>
      </c>
      <c r="H1566" s="31" t="inlineStr">
        <is>
          <t>Художественно-прикладные и ремесленные навыки</t>
        </is>
      </c>
      <c r="I1566" s="32" t="inlineStr">
        <is>
          <t>По формату занятия</t>
        </is>
      </c>
      <c r="J1566" s="31" t="inlineStr">
        <is>
          <t>Дети из интерната №1 в ожидании весны. На занятиях рисуем цветы и бабочек, валяем маки, поём про крылатые качели, лепим котов.</t>
        </is>
      </c>
    </row>
    <row r="1567" ht="30" customHeight="1">
      <c r="A1567" s="23" t="n">
        <v>2162</v>
      </c>
      <c r="B1567" s="24" t="inlineStr">
        <is>
          <t>2017-02-26</t>
        </is>
      </c>
      <c r="C1567" s="25">
        <f>HYPERLINK("https://vk.com/wall-1825701_2162", "Открыть пост")</f>
        <v/>
      </c>
      <c r="D1567" s="26" t="inlineStr">
        <is>
          <t>Спектакли, концерты и музыкально-театральные занятия</t>
        </is>
      </c>
      <c r="E1567" s="26" t="inlineStr">
        <is>
          <t>Спектакли, концерты и музыкально-театральные занятия</t>
        </is>
      </c>
      <c r="F1567" s="26" t="inlineStr">
        <is>
          <t>Подопечные фонда «Дети Марии» (общая группа детей и подростков)</t>
        </is>
      </c>
      <c r="G1567" s="26" t="inlineStr">
        <is>
          <t>Студия фонда / выездная площадка</t>
        </is>
      </c>
      <c r="H1567" s="26" t="inlineStr">
        <is>
          <t>Артистические, музыкальные и спортивно-игровые навыки</t>
        </is>
      </c>
      <c r="I1567" s="27" t="inlineStr">
        <is>
          <t>По формату занятия</t>
        </is>
      </c>
      <c r="J1567" s="26" t="inlineStr">
        <is>
          <t>«Театр с колёс» — это способ быстро по группам подготовить и тут же показать спектакль. Сегодня у нас «Бременские музыканты». Было много режиссёрских и актёрских находок, много смеха и аплодисментов. «Ах, как жаль, что вас там не было! Это было удивительное представление!» (цитат...</t>
        </is>
      </c>
    </row>
    <row r="1568" ht="30" customHeight="1">
      <c r="A1568" s="28" t="n">
        <v>2160</v>
      </c>
      <c r="B1568" s="29" t="inlineStr">
        <is>
          <t>2017-02-25</t>
        </is>
      </c>
      <c r="C1568" s="30">
        <f>HYPERLINK("https://vk.com/wall-1825701_2160", "Открыть пост")</f>
        <v/>
      </c>
      <c r="D1568" s="31" t="inlineStr">
        <is>
          <t>Выездные лагеря, дача и сезонные программы</t>
        </is>
      </c>
      <c r="E1568" s="31" t="inlineStr">
        <is>
          <t>Выездные лагеря, дача и сезонные программы; Творческие мастер-классы и художественные студии</t>
        </is>
      </c>
      <c r="F1568" s="31" t="inlineStr">
        <is>
          <t>Подопечные фонда «Дети Марии» (общая группа детей и подростков)</t>
        </is>
      </c>
      <c r="G1568" s="31" t="inlineStr">
        <is>
          <t>Студия фонда / выездная площадка</t>
        </is>
      </c>
      <c r="H1568" s="31" t="inlineStr">
        <is>
          <t>Мобильность, выездное сопровождение и автоволонтёрство; Медиа, фото/видеосъёмка и культурная медиация</t>
        </is>
      </c>
      <c r="I1568" s="32" t="inlineStr">
        <is>
          <t>По формату занятия</t>
        </is>
      </c>
      <c r="J1568" s="31" t="inlineStr">
        <is>
          <t>В зимнем лагере Ясин провёл мастер-класс по созданию автопортретов-художествнных образов по фотографии, такой технике нас научила фотограф из США Саша Сикурелла. Было интересно и необычно.</t>
        </is>
      </c>
    </row>
    <row r="1569" ht="30" customHeight="1">
      <c r="A1569" s="23" t="n">
        <v>2159</v>
      </c>
      <c r="B1569" s="24" t="inlineStr">
        <is>
          <t>2017-02-25</t>
        </is>
      </c>
      <c r="C1569" s="25">
        <f>HYPERLINK("https://vk.com/wall-1825701_2159", "Открыть пост")</f>
        <v/>
      </c>
      <c r="D1569" s="26" t="inlineStr">
        <is>
          <t>Творческие мастер-классы и художественные студии</t>
        </is>
      </c>
      <c r="E1569" s="26" t="inlineStr">
        <is>
          <t>Творческие мастер-классы и художественные студии</t>
        </is>
      </c>
      <c r="F1569" s="26" t="inlineStr">
        <is>
          <t>Подопечные фонда «Дети Марии» (общая группа детей и подростков)</t>
        </is>
      </c>
      <c r="G1569" s="26" t="inlineStr">
        <is>
          <t>Студия фонда / выездная площадка</t>
        </is>
      </c>
      <c r="H1569" s="26" t="inlineStr">
        <is>
          <t>Коммуникативные навыки, эмпатия и тьюторское сопровождение</t>
        </is>
      </c>
      <c r="I1569" s="27" t="inlineStr">
        <is>
          <t>По формату занятия</t>
        </is>
      </c>
      <c r="J1569" s="26" t="inlineStr">
        <is>
          <t>Мастер-класс по стеклу в техник «Тиффани» проводят Ира и Русик. Ученики Юли Амановой теперь сами учат других. Юля Аманова, спасибо за науку!</t>
        </is>
      </c>
    </row>
    <row r="1570" ht="30" customHeight="1">
      <c r="A1570" s="28" t="n">
        <v>2152</v>
      </c>
      <c r="B1570" s="29" t="inlineStr">
        <is>
          <t>2017-02-23</t>
        </is>
      </c>
      <c r="C1570" s="30">
        <f>HYPERLINK("https://vk.com/wall-1825701_2152", "Открыть пост")</f>
        <v/>
      </c>
      <c r="D1570" s="31" t="inlineStr">
        <is>
          <t>Выездные лагеря, дача и сезонные программы</t>
        </is>
      </c>
      <c r="E1570" s="31" t="inlineStr">
        <is>
          <t>Выездные лагеря, дача и сезонные программы</t>
        </is>
      </c>
      <c r="F1570" s="31" t="inlineStr">
        <is>
          <t>Подопечные фонда «Дети Марии» (общая группа детей и подростков)</t>
        </is>
      </c>
      <c r="G1570" s="31" t="inlineStr">
        <is>
          <t>Студия фонда / выездная площадка</t>
        </is>
      </c>
      <c r="H1570" s="31" t="inlineStr">
        <is>
          <t>Мобильность, выездное сопровождение и автоволонтёрство</t>
        </is>
      </c>
      <c r="I1570" s="32" t="inlineStr">
        <is>
          <t>По формату занятия</t>
        </is>
      </c>
      <c r="J1570" s="31" t="inlineStr">
        <is>
          <t>Мы сегодня в лагере поужинаем и таким образом укрепим свои силы и добрую традицию — наши друзья празднуют свои дни рождения, а их друзья делают подарки детям. Так «Детям Марии» подарили сертификат на продукцию компании Чикен Фэктори http://www.ch-fc.ru/ И нам прямо в лагерь приве...</t>
        </is>
      </c>
    </row>
    <row r="1571" ht="30" customHeight="1">
      <c r="A1571" s="23" t="n">
        <v>2150</v>
      </c>
      <c r="B1571" s="24" t="inlineStr">
        <is>
          <t>2017-02-23</t>
        </is>
      </c>
      <c r="C1571" s="25">
        <f>HYPERLINK("https://vk.com/wall-1825701_2150", "Открыть пост")</f>
        <v/>
      </c>
      <c r="D1571" s="26" t="inlineStr">
        <is>
          <t>Творческие мастер-классы и художественные студии</t>
        </is>
      </c>
      <c r="E1571" s="26" t="inlineStr">
        <is>
          <t>Творческие мастер-классы и художественные студии</t>
        </is>
      </c>
      <c r="F1571" s="26" t="inlineStr">
        <is>
          <t>Подростки и взрослые с ментальными особенностями и ОВЗ (ПНИ / Социальные дома)</t>
        </is>
      </c>
      <c r="G1571" s="26" t="inlineStr">
        <is>
          <t>Студия фонда / выездная площадка</t>
        </is>
      </c>
      <c r="H1571" s="26" t="inlineStr">
        <is>
          <t>Художественно-прикладные и ремесленные навыки; Артистические, музыкальные и спортивно-игровые навыки; Организационные, ивент- и ярмарочные навыки</t>
        </is>
      </c>
      <c r="I1571" s="27" t="inlineStr">
        <is>
          <t>По формату занятия</t>
        </is>
      </c>
      <c r="J1571" s="26" t="inlineStr">
        <is>
          <t>А в среду студия «Дети Марии» вместе с досуговыми клубами-соседями устроили для жителей дворовый праздник в сквере у Камня. Это между домами 12 и 14 по Малому Каретному переулку. Играли, рисовали, ели блины. На праздник приехали и ребята из ПНИ 11.</t>
        </is>
      </c>
    </row>
    <row r="1572" ht="30" customHeight="1">
      <c r="A1572" s="28" t="n">
        <v>2149</v>
      </c>
      <c r="B1572" s="29" t="inlineStr">
        <is>
          <t>2017-02-23</t>
        </is>
      </c>
      <c r="C1572" s="30">
        <f>HYPERLINK("https://vk.com/wall-1825701_2149", "Открыть пост")</f>
        <v/>
      </c>
      <c r="D1572" s="31" t="inlineStr">
        <is>
          <t>Выездные лагеря, дача и сезонные программы</t>
        </is>
      </c>
      <c r="E1572" s="31" t="inlineStr">
        <is>
          <t>Выездные лагеря, дача и сезонные программы</t>
        </is>
      </c>
      <c r="F1572" s="31" t="inlineStr">
        <is>
          <t>Подопечные фонда «Дети Марии» (общая группа детей и подростков)</t>
        </is>
      </c>
      <c r="G1572" s="31" t="inlineStr">
        <is>
          <t>Студия фонда / выездная площадка</t>
        </is>
      </c>
      <c r="H1572" s="31" t="inlineStr">
        <is>
          <t>Мобильность, выездное сопровождение и автоволонтёрство</t>
        </is>
      </c>
      <c r="I1572" s="32" t="inlineStr">
        <is>
          <t>По формату занятия</t>
        </is>
      </c>
      <c r="J1572" s="31" t="inlineStr">
        <is>
          <t>Сегодня, 23 февраля и в воскресенье, 26го, студия на Делегатской не работает - все уехали в лагерь. 😊</t>
        </is>
      </c>
    </row>
    <row r="1573" ht="30" customHeight="1">
      <c r="A1573" s="23" t="n">
        <v>2147</v>
      </c>
      <c r="B1573" s="24" t="inlineStr">
        <is>
          <t>2017-02-23</t>
        </is>
      </c>
      <c r="C1573" s="25">
        <f>HYPERLINK("https://vk.com/wall-1825701_2147", "Открыть пост")</f>
        <v/>
      </c>
      <c r="D1573" s="26" t="inlineStr">
        <is>
          <t>Выездные лагеря, дача и сезонные программы</t>
        </is>
      </c>
      <c r="E1573" s="26" t="inlineStr">
        <is>
          <t>Выездные лагеря, дача и сезонные программы; Праздники, дни рождения и клубные встречи</t>
        </is>
      </c>
      <c r="F1573" s="26" t="inlineStr">
        <is>
          <t>Подопечные фонда «Дети Марии» (общая группа детей и подростков)</t>
        </is>
      </c>
      <c r="G1573" s="26" t="inlineStr">
        <is>
          <t>Сорочанах</t>
        </is>
      </c>
      <c r="H1573" s="26" t="inlineStr">
        <is>
          <t>Мобильность, выездное сопровождение и автоволонтёрство</t>
        </is>
      </c>
      <c r="I1573" s="27" t="inlineStr">
        <is>
          <t>По формату занятия</t>
        </is>
      </c>
      <c r="J1573" s="26" t="inlineStr">
        <is>
          <t>Масленично-блинная дискотека в зимнем лагере в Сорочанах.</t>
        </is>
      </c>
    </row>
    <row r="1574" ht="30" customHeight="1">
      <c r="A1574" s="28" t="n">
        <v>2146</v>
      </c>
      <c r="B1574" s="29" t="inlineStr">
        <is>
          <t>2017-02-23</t>
        </is>
      </c>
      <c r="C1574" s="30">
        <f>HYPERLINK("https://vk.com/wall-1825701_2146", "Открыть пост")</f>
        <v/>
      </c>
      <c r="D1574" s="31" t="inlineStr">
        <is>
          <t>Выездные лагеря, дача и сезонные программы</t>
        </is>
      </c>
      <c r="E1574" s="31" t="inlineStr">
        <is>
          <t>Выездные лагеря, дача и сезонные программы</t>
        </is>
      </c>
      <c r="F1574" s="31" t="inlineStr">
        <is>
          <t>Подопечные фонда «Дети Марии» (общая группа детей и подростков)</t>
        </is>
      </c>
      <c r="G1574" s="31" t="inlineStr">
        <is>
          <t>Студия фонда / выездная площадка</t>
        </is>
      </c>
      <c r="H1574" s="31" t="inlineStr">
        <is>
          <t>Артистические, музыкальные и спортивно-игровые навыки; Мобильность, выездное сопровождение и автоволонтёрство</t>
        </is>
      </c>
      <c r="I1574" s="32" t="inlineStr">
        <is>
          <t>По формату занятия</t>
        </is>
      </c>
      <c r="J1574" s="31" t="inlineStr">
        <is>
          <t>Какой же лагерь «Детей Марии» без игр — настольных и клоунских!</t>
        </is>
      </c>
    </row>
    <row r="1575" ht="30" customHeight="1">
      <c r="A1575" s="23" t="n">
        <v>2145</v>
      </c>
      <c r="B1575" s="24" t="inlineStr">
        <is>
          <t>2017-02-23</t>
        </is>
      </c>
      <c r="C1575" s="25">
        <f>HYPERLINK("https://vk.com/wall-1825701_2145", "Открыть пост")</f>
        <v/>
      </c>
      <c r="D1575" s="26" t="inlineStr">
        <is>
          <t>Выездные лагеря, дача и сезонные программы</t>
        </is>
      </c>
      <c r="E1575" s="26" t="inlineStr">
        <is>
          <t>Выездные лагеря, дача и сезонные программы</t>
        </is>
      </c>
      <c r="F1575" s="26" t="inlineStr">
        <is>
          <t>Подопечные фонда «Дети Марии» (общая группа детей и подростков)</t>
        </is>
      </c>
      <c r="G1575" s="26" t="inlineStr">
        <is>
          <t>Студия фонда / выездная площадка</t>
        </is>
      </c>
      <c r="H1575" s="26" t="inlineStr">
        <is>
          <t>Мобильность, выездное сопровождение и автоволонтёрство</t>
        </is>
      </c>
      <c r="I1575" s="27" t="inlineStr">
        <is>
          <t>По формату занятия</t>
        </is>
      </c>
      <c r="J1575" s="26" t="inlineStr">
        <is>
          <t>Доблестные герои зимнего лагеря, наши кормильцы и поильцы — шеф-повар Кристина, повара Кирилл, Серёжа, Ангелина, Руслан и их помощники. Все сыты и счастливы! Спасибо, ребята, вы таланты!</t>
        </is>
      </c>
    </row>
    <row r="1576" ht="30" customHeight="1">
      <c r="A1576" s="28" t="n">
        <v>2144</v>
      </c>
      <c r="B1576" s="29" t="inlineStr">
        <is>
          <t>2017-02-22</t>
        </is>
      </c>
      <c r="C1576" s="30">
        <f>HYPERLINK("https://vk.com/wall-1825701_2144", "Открыть пост")</f>
        <v/>
      </c>
      <c r="D1576" s="31" t="inlineStr">
        <is>
          <t>Выездные лагеря, дача и сезонные программы</t>
        </is>
      </c>
      <c r="E1576" s="31" t="inlineStr">
        <is>
          <t>Выездные лагеря, дача и сезонные программы; Творческие мастер-классы и художественные студии</t>
        </is>
      </c>
      <c r="F1576" s="31" t="inlineStr">
        <is>
          <t>Подопечные фонда «Дети Марии» (общая группа детей и подростков)</t>
        </is>
      </c>
      <c r="G1576" s="31" t="inlineStr">
        <is>
          <t>Студия фонда / выездная площадка</t>
        </is>
      </c>
      <c r="H1576" s="31" t="inlineStr">
        <is>
          <t>Мобильность, выездное сопровождение и автоволонтёрство</t>
        </is>
      </c>
      <c r="I1576" s="32" t="inlineStr">
        <is>
          <t>По формату занятия</t>
        </is>
      </c>
      <c r="J1576" s="31" t="inlineStr">
        <is>
          <t>Вечером благодаря Ольге Ивановне в зимнем лагере случился импровизированный мастер-класс по приготовлению пирожков с картошкой.</t>
        </is>
      </c>
    </row>
    <row r="1577" ht="30" customHeight="1">
      <c r="A1577" s="23" t="n">
        <v>2143</v>
      </c>
      <c r="B1577" s="24" t="inlineStr">
        <is>
          <t>2017-02-22</t>
        </is>
      </c>
      <c r="C1577" s="25">
        <f>HYPERLINK("https://vk.com/wall-1825701_2143", "Открыть пост")</f>
        <v/>
      </c>
      <c r="D1577" s="26" t="inlineStr">
        <is>
          <t>Выездные лагеря, дача и сезонные программы</t>
        </is>
      </c>
      <c r="E1577" s="26" t="inlineStr">
        <is>
          <t>Выездные лагеря, дача и сезонные программы</t>
        </is>
      </c>
      <c r="F1577" s="26" t="inlineStr">
        <is>
          <t>Воспитанники ЦССВ, ДДИ и детских домов-интернатов</t>
        </is>
      </c>
      <c r="G1577" s="26" t="inlineStr">
        <is>
          <t>Сорочанах, ЦССВ «Спутник»</t>
        </is>
      </c>
      <c r="H1577" s="26" t="inlineStr">
        <is>
          <t>Артистические, музыкальные и спортивно-игровые навыки; Педагогические и наставнические навыки (кулинария, быт, учёба); Мобильность, выездное сопровождение и автоволонтёрство</t>
        </is>
      </c>
      <c r="I1577" s="27" t="inlineStr">
        <is>
          <t>По формату занятия</t>
        </is>
      </c>
      <c r="J1577" s="26" t="inlineStr">
        <is>
          <t>Начался наш зимний лагерь в Сорочанах. С нами 20 ребят из ЦССВ «Спутник». Учимся кататься на сноубордах, горных лыжах и коньках, сами готовим еду.</t>
        </is>
      </c>
    </row>
    <row r="1578" ht="30" customHeight="1">
      <c r="A1578" s="28" t="n">
        <v>2140</v>
      </c>
      <c r="B1578" s="29" t="inlineStr">
        <is>
          <t>2017-02-21</t>
        </is>
      </c>
      <c r="C1578" s="30">
        <f>HYPERLINK("https://vk.com/wall-1825701_2140", "Открыть пост")</f>
        <v/>
      </c>
      <c r="D1578" s="31" t="inlineStr">
        <is>
          <t>Выездные лагеря, дача и сезонные программы</t>
        </is>
      </c>
      <c r="E1578" s="31" t="inlineStr">
        <is>
          <t>Выездные лагеря, дача и сезонные программы</t>
        </is>
      </c>
      <c r="F1578" s="31" t="inlineStr">
        <is>
          <t>Подопечные фонда «Дети Марии» (общая группа детей и подростков)</t>
        </is>
      </c>
      <c r="G1578" s="31" t="inlineStr">
        <is>
          <t>Студия фонда / выездная площадка</t>
        </is>
      </c>
      <c r="H1578" s="31" t="inlineStr">
        <is>
          <t>Мобильность, выездное сопровождение и автоволонтёрство</t>
        </is>
      </c>
      <c r="I1578" s="32" t="inlineStr">
        <is>
          <t>По формату занятия</t>
        </is>
      </c>
      <c r="J1578" s="31" t="inlineStr">
        <is>
          <t>"Корзина, картина, картонка и маленькая собачонка". Собираемся в зимний лагерь!</t>
        </is>
      </c>
    </row>
    <row r="1579" ht="30" customHeight="1">
      <c r="A1579" s="23" t="n">
        <v>2133</v>
      </c>
      <c r="B1579" s="24" t="inlineStr">
        <is>
          <t>2017-02-19</t>
        </is>
      </c>
      <c r="C1579" s="25">
        <f>HYPERLINK("https://vk.com/wall-1825701_2133", "Открыть пост")</f>
        <v/>
      </c>
      <c r="D1579" s="26" t="inlineStr">
        <is>
          <t>Праздники, дни рождения и клубные встречи</t>
        </is>
      </c>
      <c r="E1579" s="26" t="inlineStr">
        <is>
          <t>Праздники, дни рождения и клубные встречи; Творческие мастер-классы и художественные студии</t>
        </is>
      </c>
      <c r="F1579" s="26" t="inlineStr">
        <is>
          <t>Подопечные фонда «Дети Марии» (общая группа детей и подростков)</t>
        </is>
      </c>
      <c r="G1579" s="26" t="inlineStr">
        <is>
          <t>Студия фонда / выездная площадка</t>
        </is>
      </c>
      <c r="H1579" s="26" t="inlineStr">
        <is>
          <t>Художественно-прикладные и ремесленные навыки</t>
        </is>
      </c>
      <c r="I1579" s="27" t="inlineStr">
        <is>
          <t>По формату занятия</t>
        </is>
      </c>
      <c r="J1579" s="26" t="inlineStr">
        <is>
          <t>В субботу в студии занимались местные дети. Сваляли башню для будущего панно по сказке "Волшебник изумрудного города," рисовали детали для корабельной картины. Впереди - неделя Масленицы.</t>
        </is>
      </c>
    </row>
    <row r="1580" ht="30" customHeight="1">
      <c r="A1580" s="28" t="n">
        <v>2129</v>
      </c>
      <c r="B1580" s="29" t="inlineStr">
        <is>
          <t>2017-02-18</t>
        </is>
      </c>
      <c r="C1580" s="30">
        <f>HYPERLINK("https://vk.com/wall-1825701_2129", "Открыть пост")</f>
        <v/>
      </c>
      <c r="D1580" s="31" t="inlineStr">
        <is>
          <t>Выездные лагеря, дача и сезонные программы</t>
        </is>
      </c>
      <c r="E1580" s="31" t="inlineStr">
        <is>
          <t>Выездные лагеря, дача и сезонные программы; Выставки, экскурсии и культурные выходы</t>
        </is>
      </c>
      <c r="F1580" s="31" t="inlineStr">
        <is>
          <t>Подопечные фонда «Дети Марии» (общая группа детей и подростков)</t>
        </is>
      </c>
      <c r="G1580" s="31" t="inlineStr">
        <is>
          <t>Студия фонда / выездная площадка</t>
        </is>
      </c>
      <c r="H1580" s="31" t="inlineStr">
        <is>
          <t>Артистические, музыкальные и спортивно-игровые навыки; Медиа, фото/видеосъёмка и культурная медиация</t>
        </is>
      </c>
      <c r="I1580" s="32" t="inlineStr">
        <is>
          <t>По формату занятия</t>
        </is>
      </c>
      <c r="J1580" s="31" t="inlineStr">
        <is>
          <t>Проект по созданию галереи портретов наших друзей-клоунов продолжается. На занятиях в загородных мастерских ребята из 28 интерната. Спасибо Кристине за чудесные фотографии.</t>
        </is>
      </c>
    </row>
    <row r="1581" ht="30" customHeight="1">
      <c r="A1581" s="23" t="n">
        <v>2118</v>
      </c>
      <c r="B1581" s="24" t="inlineStr">
        <is>
          <t>2017-02-13</t>
        </is>
      </c>
      <c r="C1581" s="25">
        <f>HYPERLINK("https://vk.com/wall-1825701_2118", "Открыть пост")</f>
        <v/>
      </c>
      <c r="D1581" s="26" t="inlineStr">
        <is>
          <t>Творческие мастер-классы и художественные студии</t>
        </is>
      </c>
      <c r="E1581" s="26" t="inlineStr">
        <is>
          <t>Творческие мастер-классы и художественные студии</t>
        </is>
      </c>
      <c r="F1581" s="26" t="inlineStr">
        <is>
          <t>Воспитанники ЦССВ, ДДИ и детских домов-интернатов</t>
        </is>
      </c>
      <c r="G1581" s="26" t="inlineStr">
        <is>
          <t>Студия фонда / выездная площадка</t>
        </is>
      </c>
      <c r="H1581" s="26" t="inlineStr">
        <is>
          <t>Художественно-прикладные и ремесленные навыки; Организационные, ивент- и ярмарочные навыки</t>
        </is>
      </c>
      <c r="I1581" s="27" t="inlineStr">
        <is>
          <t>По формату занятия</t>
        </is>
      </c>
      <c r="J1581" s="26" t="inlineStr">
        <is>
          <t>В воскресенье ребята из «Спутника» делали открытки к предстоящим праздникам, занимались керамикой и гобеленом.</t>
        </is>
      </c>
    </row>
    <row r="1582" ht="30" customHeight="1">
      <c r="A1582" s="28" t="n">
        <v>2115</v>
      </c>
      <c r="B1582" s="29" t="inlineStr">
        <is>
          <t>2017-02-12</t>
        </is>
      </c>
      <c r="C1582" s="30">
        <f>HYPERLINK("https://vk.com/wall-1825701_2115", "Открыть пост")</f>
        <v/>
      </c>
      <c r="D1582" s="31" t="inlineStr">
        <is>
          <t>Творческие мастер-классы и художественные студии</t>
        </is>
      </c>
      <c r="E1582" s="31" t="inlineStr">
        <is>
          <t>Творческие мастер-классы и художественные студии; Праздники, дни рождения и клубные встречи</t>
        </is>
      </c>
      <c r="F1582" s="31" t="inlineStr">
        <is>
          <t>Подопечные фонда «Дети Марии» (общая группа детей и подростков)</t>
        </is>
      </c>
      <c r="G1582" s="31" t="inlineStr">
        <is>
          <t>Студия фонда / выездная площадка</t>
        </is>
      </c>
      <c r="H1582" s="31" t="inlineStr">
        <is>
          <t>Художественно-прикладные и ремесленные навыки; Организационные, ивент- и ярмарочные навыки</t>
        </is>
      </c>
      <c r="I1582" s="32" t="inlineStr">
        <is>
          <t>По формату занятия</t>
        </is>
      </c>
      <c r="J1582" s="31" t="inlineStr">
        <is>
          <t>В воскресенье первыми приехали в студию наши друзья из АНО «Дети» — дети, которые проходили или проходят сейчас лечение от онкозаболеваний. Так интересно сложилось, что привозят ребят как минимум по двое из семьи — сестрички, брат с сестрой. Сегодня были новички — Саша и Настя, п...</t>
        </is>
      </c>
    </row>
    <row r="1583" ht="30" customHeight="1">
      <c r="A1583" s="23" t="n">
        <v>2114</v>
      </c>
      <c r="B1583" s="24" t="inlineStr">
        <is>
          <t>2017-02-11</t>
        </is>
      </c>
      <c r="C1583" s="25">
        <f>HYPERLINK("https://vk.com/wall-1825701_2114", "Открыть пост")</f>
        <v/>
      </c>
      <c r="D1583" s="26" t="inlineStr">
        <is>
          <t>Творческие мастер-классы и художественные студии</t>
        </is>
      </c>
      <c r="E1583" s="26" t="inlineStr">
        <is>
          <t>Творческие мастер-классы и художественные студии; Ярмарки, фестивали и благотворительные базары; Праздники, дни рождения и клубные встречи</t>
        </is>
      </c>
      <c r="F1583" s="26" t="inlineStr">
        <is>
          <t>Подопечные фонда «Дети Марии» (общая группа детей и подростков)</t>
        </is>
      </c>
      <c r="G1583" s="26" t="inlineStr">
        <is>
          <t>Студия фонда / выездная площадка</t>
        </is>
      </c>
      <c r="H1583" s="26" t="inlineStr">
        <is>
          <t>Художественно-прикладные и ремесленные навыки; Артистические, музыкальные и спортивно-игровые навыки; Организационные, ивент- и ярмарочные навыки</t>
        </is>
      </c>
      <c r="I1583" s="27" t="inlineStr">
        <is>
          <t>По формату занятия</t>
        </is>
      </c>
      <c r="J1583" s="26" t="inlineStr">
        <is>
          <t>Сегодня в студии много ребят из окрестных домов. И каждый успел попробовать себя в разных занятиях. Валяли необыкновенно нежного вида цветы и розовую свинку, а также сердечко для бабушки; выпиливали и раскрашивали оленей, рисовали карту с приключениями и персонажей для коллективн...</t>
        </is>
      </c>
    </row>
    <row r="1584" ht="30" customHeight="1">
      <c r="A1584" s="28" t="n">
        <v>2062</v>
      </c>
      <c r="B1584" s="29" t="inlineStr">
        <is>
          <t>2017-01-26</t>
        </is>
      </c>
      <c r="C1584" s="30">
        <f>HYPERLINK("https://vk.com/wall-1825701_2062", "Открыть пост")</f>
        <v/>
      </c>
      <c r="D1584" s="31" t="inlineStr">
        <is>
          <t>Спектакли, концерты и музыкально-театральные занятия</t>
        </is>
      </c>
      <c r="E1584" s="31" t="inlineStr">
        <is>
          <t>Спектакли, концерты и музыкально-театральные занятия</t>
        </is>
      </c>
      <c r="F1584" s="31" t="inlineStr">
        <is>
          <t>Дети и семьи (в т.ч. приёмные семьи и программа в Беслане)</t>
        </is>
      </c>
      <c r="G1584" s="31" t="inlineStr">
        <is>
          <t>Беслан</t>
        </is>
      </c>
      <c r="H1584" s="31" t="inlineStr">
        <is>
          <t>Артистические, музыкальные и спортивно-игровые навыки</t>
        </is>
      </c>
      <c r="I1584" s="32" t="inlineStr">
        <is>
          <t>По формату занятия</t>
        </is>
      </c>
      <c r="J1584" s="31" t="inlineStr">
        <is>
          <t>Вся страна подключилась к созданию нашего первого кукольного спектакля "Волшебник изумрудного города". В Беслане Ира и Надя Гуриевы делают куклу - главную героиню Элли. Она уже хороша, а обещает стать красавицей)</t>
        </is>
      </c>
    </row>
    <row r="1585" ht="30" customHeight="1">
      <c r="A1585" s="23" t="n">
        <v>2058</v>
      </c>
      <c r="B1585" s="24" t="inlineStr">
        <is>
          <t>2017-01-26</t>
        </is>
      </c>
      <c r="C1585" s="25">
        <f>HYPERLINK("https://vk.com/wall-1825701_2058", "Открыть пост")</f>
        <v/>
      </c>
      <c r="D1585" s="26" t="inlineStr">
        <is>
          <t>Выездные лагеря, дача и сезонные программы</t>
        </is>
      </c>
      <c r="E1585" s="26" t="inlineStr">
        <is>
          <t>Выездные лагеря, дача и сезонные программы</t>
        </is>
      </c>
      <c r="F1585" s="26" t="inlineStr">
        <is>
          <t>Подростки и взрослые с ментальными особенностями и ОВЗ (ПНИ / Социальные дома); Воспитанники ЦССВ, ДДИ и детских домов-интернатов</t>
        </is>
      </c>
      <c r="G1585" s="26" t="inlineStr">
        <is>
          <t>Студия фонда / выездная площадка</t>
        </is>
      </c>
      <c r="H1585" s="26" t="inlineStr">
        <is>
          <t>Артистические, музыкальные и спортивно-игровые навыки</t>
        </is>
      </c>
      <c r="I1585" s="27" t="inlineStr">
        <is>
          <t>По формату занятия</t>
        </is>
      </c>
      <c r="J1585" s="26" t="inlineStr">
        <is>
          <t>В нашей загородной мастерской сегодня состоялась премьера! Ребята из Филимонковского детского дома показали Пластическую сюиту театра костюмов) Это повествование о волшебных изменениях в жизни детей, которые происходят благодаря встрече с искусством. Режиссер - координатор Маша Ц...</t>
        </is>
      </c>
    </row>
    <row r="1586" ht="30" customHeight="1">
      <c r="A1586" s="28" t="n">
        <v>2055</v>
      </c>
      <c r="B1586" s="29" t="inlineStr">
        <is>
          <t>2017-01-25</t>
        </is>
      </c>
      <c r="C1586" s="30">
        <f>HYPERLINK("https://vk.com/wall-1825701_2055", "Открыть пост")</f>
        <v/>
      </c>
      <c r="D1586" s="31" t="inlineStr">
        <is>
          <t>Творческие мастер-классы и художественные студии</t>
        </is>
      </c>
      <c r="E1586" s="31" t="inlineStr">
        <is>
          <t>Творческие мастер-классы и художественные студии; Спектакли, концерты и музыкально-театральные занятия; Праздники, дни рождения и клубные встречи</t>
        </is>
      </c>
      <c r="F1586" s="31" t="inlineStr">
        <is>
          <t>Воспитанники ЦССВ, ДДИ и детских домов-интернатов</t>
        </is>
      </c>
      <c r="G1586" s="31" t="inlineStr">
        <is>
          <t>Студия фонда / выездная площадка</t>
        </is>
      </c>
      <c r="H1586" s="31" t="inlineStr">
        <is>
          <t>Художественно-прикладные и ремесленные навыки; Артистические, музыкальные и спортивно-игровые навыки; Организационные, ивент- и ярмарочные навыки</t>
        </is>
      </c>
      <c r="I1586" s="32" t="inlineStr">
        <is>
          <t>По формату занятия</t>
        </is>
      </c>
      <c r="J1586" s="31" t="inlineStr">
        <is>
          <t>Ребята из 1-ого детского дома приехали в студию после каникул. И сразу окунулись в работу: мастер-класс по керамике, создание фона новой коллективной картины «Большая регата», музыкальное занятие. Но потом самое приятное время в студии - чаепитие с пряничным домиком и солнечными ...</t>
        </is>
      </c>
    </row>
    <row r="1587" ht="30" customHeight="1">
      <c r="A1587" s="23" t="n">
        <v>2051</v>
      </c>
      <c r="B1587" s="24" t="inlineStr">
        <is>
          <t>2017-01-25</t>
        </is>
      </c>
      <c r="C1587" s="25">
        <f>HYPERLINK("https://vk.com/wall-1825701_2051", "Открыть пост")</f>
        <v/>
      </c>
      <c r="D1587" s="26" t="inlineStr">
        <is>
          <t>Кулинарные, образовательные и социально-бытовые занятия</t>
        </is>
      </c>
      <c r="E1587" s="26" t="inlineStr">
        <is>
          <t>Кулинарные, образовательные и социально-бытовые занятия</t>
        </is>
      </c>
      <c r="F1587" s="26" t="inlineStr">
        <is>
          <t>Подростки и взрослые с ментальными особенностями и ОВЗ (ПНИ / Социальные дома); Воспитанники ЦССВ, ДДИ и детских домов-интернатов</t>
        </is>
      </c>
      <c r="G1587" s="26" t="inlineStr">
        <is>
          <t>Студия фонда / выездная площадка</t>
        </is>
      </c>
      <c r="H1587" s="26" t="inlineStr">
        <is>
          <t>Коммуникативные навыки, эмпатия и тьюторское сопровождение; Педагогические и наставнические навыки (кулинария, быт, учёба)</t>
        </is>
      </c>
      <c r="I1587" s="27" t="inlineStr">
        <is>
          <t>По формату занятия</t>
        </is>
      </c>
      <c r="J1587" s="26" t="inlineStr">
        <is>
          <t>Теперь и наши друзья из Филимонковского детского дома-интерната получают два раза в неделю фрукты и овощи в подарок от https://moscowfresh.ru/ Ребятам одинаково необходимы и витамины, и внимание, и занятия по кулинарии, которые дают им возможность развиваться и чувствовать себя к...</t>
        </is>
      </c>
    </row>
    <row r="1588" ht="30" customHeight="1">
      <c r="A1588" s="28" t="n">
        <v>2035</v>
      </c>
      <c r="B1588" s="29" t="inlineStr">
        <is>
          <t>2017-01-13</t>
        </is>
      </c>
      <c r="C1588" s="30">
        <f>HYPERLINK("https://vk.com/wall-1825701_2035", "Открыть пост")</f>
        <v/>
      </c>
      <c r="D1588" s="31" t="inlineStr">
        <is>
          <t>Спектакли, концерты и музыкально-театральные занятия</t>
        </is>
      </c>
      <c r="E1588" s="31" t="inlineStr">
        <is>
          <t>Спектакли, концерты и музыкально-театральные занятия; Творческие мастер-классы и художественные студии</t>
        </is>
      </c>
      <c r="F1588" s="31" t="inlineStr">
        <is>
          <t>Широкая аудитория, гости и благотворители (открытые события); Выпускники интернатов и детских домов (молодые взрослые)</t>
        </is>
      </c>
      <c r="G1588" s="31" t="inlineStr">
        <is>
          <t>Студия фонда / выездная площадка</t>
        </is>
      </c>
      <c r="H1588" s="31" t="inlineStr">
        <is>
          <t>Художественно-прикладные и ремесленные навыки; Артистические, музыкальные и спортивно-игровые навыки; Педагогические и наставнические навыки (кулинария, быт, учёба)</t>
        </is>
      </c>
      <c r="I1588" s="32" t="inlineStr">
        <is>
          <t>По формату занятия</t>
        </is>
      </c>
      <c r="J1588" s="31" t="inlineStr">
        <is>
          <t>Уже с весны в студии зреет проект кукольного театра. Это новое для нас дело, и оно здорово увлекло нескольких выпускников. Под руководством Димы Пономарёва ребята сделали сцену — с занавесом и возможностью играть спектакли — как перчаточными куклами, управляя ими снизу, так и мар...</t>
        </is>
      </c>
    </row>
    <row r="1589" ht="30" customHeight="1">
      <c r="A1589" s="23" t="n">
        <v>2032</v>
      </c>
      <c r="B1589" s="24" t="inlineStr">
        <is>
          <t>2017-01-13</t>
        </is>
      </c>
      <c r="C1589" s="25">
        <f>HYPERLINK("https://vk.com/wall-1825701_2032", "Открыть пост")</f>
        <v/>
      </c>
      <c r="D1589" s="26" t="inlineStr">
        <is>
          <t>Праздники, дни рождения и клубные встречи</t>
        </is>
      </c>
      <c r="E1589" s="26" t="inlineStr">
        <is>
          <t>Праздники, дни рождения и клубные встречи</t>
        </is>
      </c>
      <c r="F1589" s="26" t="inlineStr">
        <is>
          <t>Воспитанники ЦССВ, ДДИ и детских домов-интернатов</t>
        </is>
      </c>
      <c r="G1589" s="26" t="inlineStr">
        <is>
          <t>ЦССВ «Спутник«</t>
        </is>
      </c>
      <c r="H1589" s="26" t="inlineStr">
        <is>
          <t>Организационные, ивент- и ярмарочные навыки</t>
        </is>
      </c>
      <c r="I1589" s="27" t="inlineStr">
        <is>
          <t>По формату занятия</t>
        </is>
      </c>
      <c r="J1589" s="26" t="inlineStr">
        <is>
          <t>Чаепитие с фруктами от MoscowFresh.ru Спасибо Льву Воложу от детей из ЦССВ "Спутник".</t>
        </is>
      </c>
    </row>
    <row r="1590" ht="30" customHeight="1">
      <c r="A1590" s="28" t="n">
        <v>2017</v>
      </c>
      <c r="B1590" s="29" t="inlineStr">
        <is>
          <t>2016-12-23</t>
        </is>
      </c>
      <c r="C1590" s="30">
        <f>HYPERLINK("https://vk.com/wall-1825701_2017", "Открыть пост")</f>
        <v/>
      </c>
      <c r="D1590" s="31" t="inlineStr">
        <is>
          <t>Творческие мастер-классы и художественные студии</t>
        </is>
      </c>
      <c r="E1590" s="31" t="inlineStr">
        <is>
          <t>Творческие мастер-классы и художественные студии</t>
        </is>
      </c>
      <c r="F1590" s="31" t="inlineStr">
        <is>
          <t>Подопечные фонда «Дети Марии» (общая группа детей и подростков)</t>
        </is>
      </c>
      <c r="G1590" s="31" t="inlineStr">
        <is>
          <t>Студия фонда / выездная площадка</t>
        </is>
      </c>
      <c r="H1590" s="31" t="inlineStr">
        <is>
          <t>Коммуникативные навыки, эмпатия и тьюторское сопровождение</t>
        </is>
      </c>
      <c r="I1590" s="32" t="inlineStr">
        <is>
          <t>По формату занятия</t>
        </is>
      </c>
      <c r="J1590" s="31" t="inlineStr">
        <is>
          <t>Петушки к Новому Году в интернет-магазине "Детей Марии", выращены с любовью и заботой на занятиях в студии http://mariaschildren.ru/ru/store/games-and-toys</t>
        </is>
      </c>
    </row>
    <row r="1591" ht="30" customHeight="1">
      <c r="A1591" s="23" t="n">
        <v>2010</v>
      </c>
      <c r="B1591" s="24" t="inlineStr">
        <is>
          <t>2016-12-21</t>
        </is>
      </c>
      <c r="C1591" s="25">
        <f>HYPERLINK("https://vk.com/wall-1825701_2010", "Открыть пост")</f>
        <v/>
      </c>
      <c r="D1591" s="26" t="inlineStr">
        <is>
          <t>Праздники, дни рождения и клубные встречи</t>
        </is>
      </c>
      <c r="E1591" s="26" t="inlineStr">
        <is>
          <t>Праздники, дни рождения и клубные встречи; Творческие мастер-классы и художественные студии</t>
        </is>
      </c>
      <c r="F1591" s="26" t="inlineStr">
        <is>
          <t>Подопечные фонда «Дети Марии» (общая группа детей и подростков)</t>
        </is>
      </c>
      <c r="G1591" s="26" t="inlineStr">
        <is>
          <t>Студия фонда / выездная площадка</t>
        </is>
      </c>
      <c r="H1591" s="26" t="inlineStr">
        <is>
          <t>Организационные, ивент- и ярмарочные навыки</t>
        </is>
      </c>
      <c r="I1591" s="27" t="inlineStr">
        <is>
          <t>По формату занятия</t>
        </is>
      </c>
      <c r="J1591" s="26" t="inlineStr">
        <is>
          <t>В понедельник "Дети Марии" участвовали в Новогоднем празднике Центра социального обслуживания Тверского района. Мы проводили мастер-класс - делали новогодние сувениры из пряжи. Гостьи праздника - пенсионеры района - с увлечением накручивали помпончики, делали из них цыпленка, сне...</t>
        </is>
      </c>
    </row>
    <row r="1592" ht="30" customHeight="1">
      <c r="A1592" s="28" t="n">
        <v>2008</v>
      </c>
      <c r="B1592" s="29" t="inlineStr">
        <is>
          <t>2016-12-19</t>
        </is>
      </c>
      <c r="C1592" s="30">
        <f>HYPERLINK("https://vk.com/wall-1825701_2008", "Открыть пост")</f>
        <v/>
      </c>
      <c r="D1592" s="31" t="inlineStr">
        <is>
          <t>Ярмарки, фестивали и благотворительные базары</t>
        </is>
      </c>
      <c r="E1592" s="31" t="inlineStr">
        <is>
          <t>Ярмарки, фестивали и благотворительные базары</t>
        </is>
      </c>
      <c r="F1592" s="31" t="inlineStr">
        <is>
          <t>Подопечные фонда «Дети Марии» (общая группа детей и подростков)</t>
        </is>
      </c>
      <c r="G1592" s="31" t="inlineStr">
        <is>
          <t>Студия фонда / выездная площадка</t>
        </is>
      </c>
      <c r="H1592" s="31" t="inlineStr">
        <is>
          <t>Коммуникативные навыки, эмпатия и тьюторское сопровождение; Организационные, ивент- и ярмарочные навыки</t>
        </is>
      </c>
      <c r="I1592" s="32" t="inlineStr">
        <is>
          <t>По формату занятия</t>
        </is>
      </c>
      <c r="J1592" s="31" t="inlineStr">
        <is>
          <t>В пятницу на празднике Яндекса в Сокольниках прошла наша ярмарка. Спасибо всем яндексоидам за щедрую поддержку! Наш сбор 43650 рублей.</t>
        </is>
      </c>
    </row>
    <row r="1593" ht="30" customHeight="1">
      <c r="A1593" s="23" t="n">
        <v>2007</v>
      </c>
      <c r="B1593" s="24" t="inlineStr">
        <is>
          <t>2016-12-13</t>
        </is>
      </c>
      <c r="C1593" s="25">
        <f>HYPERLINK("https://vk.com/wall-1825701_2007", "Открыть пост")</f>
        <v/>
      </c>
      <c r="D1593" s="26" t="inlineStr">
        <is>
          <t>Ярмарки, фестивали и благотворительные базары</t>
        </is>
      </c>
      <c r="E1593" s="26" t="inlineStr">
        <is>
          <t>Ярмарки, фестивали и благотворительные базары; Выездные лагеря, дача и сезонные программы</t>
        </is>
      </c>
      <c r="F1593" s="26" t="inlineStr">
        <is>
          <t>Выпускники интернатов и детских домов (молодые взрослые)</t>
        </is>
      </c>
      <c r="G1593" s="26" t="inlineStr">
        <is>
          <t>Студия фонда / выездная площадка</t>
        </is>
      </c>
      <c r="H1593" s="26" t="inlineStr">
        <is>
          <t>Организационные, ивент- и ярмарочные навыки; Мобильность, выездное сопровождение и автоволонтёрство</t>
        </is>
      </c>
      <c r="I1593" s="27" t="inlineStr">
        <is>
          <t>По формату занятия</t>
        </is>
      </c>
      <c r="J1593" s="26" t="inlineStr">
        <is>
          <t>Сегодня на ярмарке в БЦ Дукат Плейс на ул. Гашека, которую организовал фонд "Дорога вместе" нам пожертвовали 26 850 рублей. Спасибо! Все собранные средства будут израсходованы на зимний лагерь для детей из интерната и выпускников интернатов в феврале 2017г.</t>
        </is>
      </c>
    </row>
    <row r="1594" ht="30" customHeight="1">
      <c r="A1594" s="28" t="n">
        <v>2006</v>
      </c>
      <c r="B1594" s="29" t="inlineStr">
        <is>
          <t>2016-12-13</t>
        </is>
      </c>
      <c r="C1594" s="30">
        <f>HYPERLINK("https://vk.com/wall-1825701_2006", "Открыть пост")</f>
        <v/>
      </c>
      <c r="D1594" s="31" t="inlineStr">
        <is>
          <t>Ярмарки, фестивали и благотворительные базары</t>
        </is>
      </c>
      <c r="E1594" s="31" t="inlineStr">
        <is>
          <t>Ярмарки, фестивали и благотворительные базары</t>
        </is>
      </c>
      <c r="F1594" s="31" t="inlineStr">
        <is>
          <t>Подопечные фонда «Дети Марии» (общая группа детей и подростков)</t>
        </is>
      </c>
      <c r="G1594" s="31" t="inlineStr">
        <is>
          <t>Студия фонда / выездная площадка</t>
        </is>
      </c>
      <c r="H1594" s="31" t="inlineStr">
        <is>
          <t>Организационные, ивент- и ярмарочные навыки</t>
        </is>
      </c>
      <c r="I1594" s="32" t="inlineStr">
        <is>
          <t>По формату занятия</t>
        </is>
      </c>
      <c r="J1594" s="31" t="inlineStr">
        <is>
          <t>Наш результат - 78 400 рублей. Спасибо всем, кто жертвовал, и всем, кто помогал до ярмарки, во время и после! Ура!</t>
        </is>
      </c>
    </row>
    <row r="1595" ht="30" customHeight="1">
      <c r="A1595" s="23" t="n">
        <v>2002</v>
      </c>
      <c r="B1595" s="24" t="inlineStr">
        <is>
          <t>2016-12-01</t>
        </is>
      </c>
      <c r="C1595" s="25">
        <f>HYPERLINK("https://vk.com/wall-1825701_2002", "Открыть пост")</f>
        <v/>
      </c>
      <c r="D1595" s="26" t="inlineStr">
        <is>
          <t>Кулинарные, образовательные и социально-бытовые занятия</t>
        </is>
      </c>
      <c r="E1595" s="26" t="inlineStr">
        <is>
          <t>Кулинарные, образовательные и социально-бытовые занятия</t>
        </is>
      </c>
      <c r="F1595" s="26" t="inlineStr">
        <is>
          <t>Подростки и взрослые с ментальными особенностями и ОВЗ (ПНИ / Социальные дома)</t>
        </is>
      </c>
      <c r="G1595" s="26" t="inlineStr">
        <is>
          <t>Студия фонда / выездная площадка</t>
        </is>
      </c>
      <c r="H1595" s="26" t="inlineStr">
        <is>
          <t>Педагогические и наставнические навыки (кулинария, быт, учёба); Организационные, ивент- и ярмарочные навыки</t>
        </is>
      </c>
      <c r="I1595" s="27" t="inlineStr">
        <is>
          <t>По формату занятия</t>
        </is>
      </c>
      <c r="J1595" s="26" t="inlineStr">
        <is>
          <t>Наши ребята из ПНИ 16 в субботу были в Pokeville кафе на Большой Грузинской. Пишет соцпедагог Алла Тягунова: "Ребята очень довольны. Ездили ребята, которые занимаются в интернате в кулинарной группе, учатся готовить. Никто не ожидал, но для них устроили настоящий праздник, просто...</t>
        </is>
      </c>
    </row>
    <row r="1596" ht="30" customHeight="1">
      <c r="A1596" s="28" t="n">
        <v>1987</v>
      </c>
      <c r="B1596" s="29" t="inlineStr">
        <is>
          <t>2016-11-17</t>
        </is>
      </c>
      <c r="C1596" s="30">
        <f>HYPERLINK("https://vk.com/wall-1825701_1987", "Открыть пост")</f>
        <v/>
      </c>
      <c r="D1596" s="31" t="inlineStr">
        <is>
          <t>Творческие мастер-классы и художественные студии</t>
        </is>
      </c>
      <c r="E1596" s="31" t="inlineStr">
        <is>
          <t>Творческие мастер-классы и художественные студии; Спортивные и активные мероприятия</t>
        </is>
      </c>
      <c r="F1596" s="31" t="inlineStr">
        <is>
          <t>Воспитанники ЦССВ, ДДИ и детских домов-интернатов</t>
        </is>
      </c>
      <c r="G1596" s="31" t="inlineStr">
        <is>
          <t>ЦССВ «Радуга», ЦССВ «Спутник»</t>
        </is>
      </c>
      <c r="H1596" s="31" t="inlineStr">
        <is>
          <t>Художественно-прикладные и ремесленные навыки; Артистические, музыкальные и спортивно-игровые навыки</t>
        </is>
      </c>
      <c r="I1596" s="32" t="inlineStr">
        <is>
          <t>По формату занятия</t>
        </is>
      </c>
      <c r="J1596" s="31" t="inlineStr">
        <is>
          <t>Две субботы подряд наши ребята бывают в PokeVille Cafe на Баррикадной, где их ждёт игровая развлекательная программа, а также вкусная еда. 5 ноября в кафе приходили дети из ЦССВ «Радуга», а 12 ноября — из ЦССВ «Спутник». Рисовали, играли, пели, танцевали, делали «покемонские» гам...</t>
        </is>
      </c>
    </row>
    <row r="1597" ht="30" customHeight="1">
      <c r="A1597" s="23" t="n">
        <v>1976</v>
      </c>
      <c r="B1597" s="24" t="inlineStr">
        <is>
          <t>2016-10-07</t>
        </is>
      </c>
      <c r="C1597" s="25">
        <f>HYPERLINK("https://vk.com/wall-1825701_1976", "Открыть пост")</f>
        <v/>
      </c>
      <c r="D1597" s="26" t="inlineStr">
        <is>
          <t>Творческие мастер-классы и художественные студии</t>
        </is>
      </c>
      <c r="E1597" s="26" t="inlineStr">
        <is>
          <t>Творческие мастер-классы и художественные студии</t>
        </is>
      </c>
      <c r="F1597" s="26" t="inlineStr">
        <is>
          <t>Выпускники интернатов и детских домов (молодые взрослые)</t>
        </is>
      </c>
      <c r="G1597" s="26" t="inlineStr">
        <is>
          <t>Студия фонда / выездная площадка</t>
        </is>
      </c>
      <c r="H1597" s="26" t="inlineStr">
        <is>
          <t>Коммуникативные навыки, эмпатия и тьюторское сопровождение</t>
        </is>
      </c>
      <c r="I1597" s="27" t="inlineStr">
        <is>
          <t>Да (в тексте)</t>
        </is>
      </c>
      <c r="J1597" s="26" t="inlineStr">
        <is>
          <t>Сегодня, в пятницу, в 16.00 в студии на Делегатской - мастер-класс по мультфильмам. Приглашаем всех желающих выпускников, старшеклассников. Проводит волонтёр Ирина.</t>
        </is>
      </c>
    </row>
    <row r="1598" ht="30" customHeight="1">
      <c r="A1598" s="28" t="n">
        <v>1975</v>
      </c>
      <c r="B1598" s="29" t="inlineStr">
        <is>
          <t>2016-10-03</t>
        </is>
      </c>
      <c r="C1598" s="30">
        <f>HYPERLINK("https://vk.com/wall-1825701_1975", "Открыть пост")</f>
        <v/>
      </c>
      <c r="D1598" s="31" t="inlineStr">
        <is>
          <t>Выездные лагеря, дача и сезонные программы</t>
        </is>
      </c>
      <c r="E1598" s="31" t="inlineStr">
        <is>
          <t>Выездные лагеря, дача и сезонные программы</t>
        </is>
      </c>
      <c r="F1598" s="31" t="inlineStr">
        <is>
          <t>Подопечные фонда «Дети Марии» (общая группа детей и подростков)</t>
        </is>
      </c>
      <c r="G1598" s="31" t="inlineStr">
        <is>
          <t>Студия фонда / выездная площадка</t>
        </is>
      </c>
      <c r="H1598" s="31" t="inlineStr">
        <is>
          <t>Коммуникативные навыки, эмпатия и тьюторское сопровождение; Артистические, музыкальные и спортивно-игровые навыки; Мобильность, выездное сопровождение и автоволонтёрство</t>
        </is>
      </c>
      <c r="I1598" s="32" t="inlineStr">
        <is>
          <t>По формату занятия</t>
        </is>
      </c>
      <c r="J1598" s="31" t="inlineStr">
        <is>
          <t>Друзья и родные, а нажмите, пожалуйста, зелёную кнопочку по ссылке, чтобы оценить нашу заявку на грант Комитета общественных связей. Мы подали Ежедневные творческие и развивающие занятия для ребят из интернатов в студии "Дети Марии", а также наши Зимний и Летний творческо-спортив...</t>
        </is>
      </c>
    </row>
    <row r="1599" ht="30" customHeight="1">
      <c r="A1599" s="23" t="n">
        <v>1973</v>
      </c>
      <c r="B1599" s="24" t="inlineStr">
        <is>
          <t>2016-09-20</t>
        </is>
      </c>
      <c r="C1599" s="25">
        <f>HYPERLINK("https://vk.com/wall-1825701_1973", "Открыть пост")</f>
        <v/>
      </c>
      <c r="D1599" s="26" t="inlineStr">
        <is>
          <t>Творческие мастер-классы и художественные студии</t>
        </is>
      </c>
      <c r="E1599" s="26" t="inlineStr">
        <is>
          <t>Творческие мастер-классы и художественные студии; Выставки, экскурсии и культурные выходы; Кулинарные, образовательные и социально-бытовые занятия; Праздники, дни рождения и клубные встречи</t>
        </is>
      </c>
      <c r="F1599" s="26" t="inlineStr">
        <is>
          <t>Подопечные фонда «Дети Марии» (общая группа детей и подростков)</t>
        </is>
      </c>
      <c r="G1599" s="26" t="inlineStr">
        <is>
          <t>Студия фонда / выездная площадка</t>
        </is>
      </c>
      <c r="H1599"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t>
        </is>
      </c>
      <c r="I1599" s="27" t="inlineStr">
        <is>
          <t>По формату занятия</t>
        </is>
      </c>
      <c r="J1599" s="26" t="inlineStr">
        <is>
          <t>Не первый год наша студия дружит с подопечными АНО «Дети», которое объединяет семьи с детьми, находящимися на реабилитации после онкозаболеваний. В воскресенье, 18 сентября, прошло первое занятие в этом учебном году. Приехали и старые знакомые, и новенькие. В керамической мастерс...</t>
        </is>
      </c>
    </row>
    <row r="1600" ht="30" customHeight="1">
      <c r="A1600" s="28" t="n">
        <v>1963</v>
      </c>
      <c r="B1600" s="29" t="inlineStr">
        <is>
          <t>2016-09-08</t>
        </is>
      </c>
      <c r="C1600" s="30">
        <f>HYPERLINK("https://vk.com/wall-1825701_1963", "Открыть пост")</f>
        <v/>
      </c>
      <c r="D1600" s="31" t="inlineStr">
        <is>
          <t>Ярмарки, фестивали и благотворительные базары</t>
        </is>
      </c>
      <c r="E1600" s="31" t="inlineStr">
        <is>
          <t>Ярмарки, фестивали и благотворительные базары</t>
        </is>
      </c>
      <c r="F1600" s="31" t="inlineStr">
        <is>
          <t>Подопечные фонда «Дети Марии» (общая группа детей и подростков)</t>
        </is>
      </c>
      <c r="G1600" s="31" t="inlineStr">
        <is>
          <t>Студия фонда / выездная площадка</t>
        </is>
      </c>
      <c r="H1600" s="31" t="inlineStr">
        <is>
          <t>Организационные, ивент- и ярмарочные навыки</t>
        </is>
      </c>
      <c r="I1600" s="32" t="inlineStr">
        <is>
          <t>По формату занятия</t>
        </is>
      </c>
      <c r="J1600" s="31" t="inlineStr">
        <is>
          <t>В этом году «Душевный Bazar» состоится в седьмой раз. 11 декабря (занесите дату в свои календари!) площадкой проведения крупнейшей в России новогодней благотворительной ярмарки станет Гостиный двор в Москве. На празднике для всей семьи будут представлены 35 тыс. уникальных сувени...</t>
        </is>
      </c>
    </row>
    <row r="1601" ht="30" customHeight="1">
      <c r="A1601" s="23" t="n">
        <v>1961</v>
      </c>
      <c r="B1601" s="24" t="inlineStr">
        <is>
          <t>2016-09-08</t>
        </is>
      </c>
      <c r="C1601" s="25">
        <f>HYPERLINK("https://vk.com/wall-1825701_1961", "Открыть пост")</f>
        <v/>
      </c>
      <c r="D1601" s="26" t="inlineStr">
        <is>
          <t>Творческие мастер-классы и художественные студии</t>
        </is>
      </c>
      <c r="E1601" s="26" t="inlineStr">
        <is>
          <t>Творческие мастер-классы и художественные студии</t>
        </is>
      </c>
      <c r="F1601" s="26" t="inlineStr">
        <is>
          <t>Подростки и взрослые с ментальными особенностями и ОВЗ (ПНИ / Социальные дома); Воспитанники ЦССВ, ДДИ и детских домов-интернатов</t>
        </is>
      </c>
      <c r="G1601" s="26" t="inlineStr">
        <is>
          <t>интернате № 16</t>
        </is>
      </c>
      <c r="H1601" s="26" t="inlineStr">
        <is>
          <t>Художественно-прикладные и ремесленные навыки</t>
        </is>
      </c>
      <c r="I1601" s="27" t="inlineStr">
        <is>
          <t>Да (в тексте)</t>
        </is>
      </c>
      <c r="J1601" s="26" t="inlineStr">
        <is>
          <t>Продолжаются занятия живописью в психоневрологическом интернате № 16 для взрослых подопечных, которые ведёт наша художница Наталья Пушкина. Желающих заниматься гораздо больше, чем Наташа может охватить, нам очень нужны волонтеры для помощи в занятиях. Сегодня тема была сезонная -...</t>
        </is>
      </c>
    </row>
    <row r="1602" ht="30" customHeight="1">
      <c r="A1602" s="28" t="n">
        <v>1958</v>
      </c>
      <c r="B1602" s="29" t="inlineStr">
        <is>
          <t>2016-08-26</t>
        </is>
      </c>
      <c r="C1602" s="30">
        <f>HYPERLINK("https://vk.com/wall-1825701_1958", "Открыть пост")</f>
        <v/>
      </c>
      <c r="D1602" s="31" t="inlineStr">
        <is>
          <t>Выездные лагеря, дача и сезонные программы</t>
        </is>
      </c>
      <c r="E1602" s="31" t="inlineStr">
        <is>
          <t>Выездные лагеря, дача и сезонные программы; Творческие мастер-классы и художественные студии</t>
        </is>
      </c>
      <c r="F1602" s="31" t="inlineStr">
        <is>
          <t>Подопечные фонда «Дети Марии» (общая группа детей и подростков)</t>
        </is>
      </c>
      <c r="G1602" s="31" t="inlineStr">
        <is>
          <t>Студия фонда / выездная площадка</t>
        </is>
      </c>
      <c r="H1602" s="31" t="inlineStr">
        <is>
          <t>Мобильность, выездное сопровождение и автоволонтёрство</t>
        </is>
      </c>
      <c r="I1602" s="32" t="inlineStr">
        <is>
          <t>По формату занятия</t>
        </is>
      </c>
      <c r="J1602" s="31" t="inlineStr">
        <is>
          <t>Принцесса-ведьма - фильм снят на мастер-классе в летнем лагере.</t>
        </is>
      </c>
    </row>
    <row r="1603" ht="30" customHeight="1">
      <c r="A1603" s="23" t="n">
        <v>1957</v>
      </c>
      <c r="B1603" s="24" t="inlineStr">
        <is>
          <t>2016-08-19</t>
        </is>
      </c>
      <c r="C1603" s="25">
        <f>HYPERLINK("https://vk.com/wall-1825701_1957", "Открыть пост")</f>
        <v/>
      </c>
      <c r="D1603" s="26" t="inlineStr">
        <is>
          <t>Творческие мастер-классы и художественные студии</t>
        </is>
      </c>
      <c r="E1603" s="26" t="inlineStr">
        <is>
          <t>Творческие мастер-классы и художественные студии</t>
        </is>
      </c>
      <c r="F1603" s="26" t="inlineStr">
        <is>
          <t>Подопечные фонда «Дети Марии» (общая группа детей и подростков)</t>
        </is>
      </c>
      <c r="G1603" s="26" t="inlineStr">
        <is>
          <t>Студия фонда / выездная площадка</t>
        </is>
      </c>
      <c r="H1603" s="26" t="inlineStr">
        <is>
          <t>Коммуникативные навыки, эмпатия и тьюторское сопровождение</t>
        </is>
      </c>
      <c r="I1603" s="27" t="inlineStr">
        <is>
          <t>Да (в тексте)</t>
        </is>
      </c>
      <c r="J1603" s="26" t="inlineStr">
        <is>
          <t>Мы тоже знакомы с волонтерами из AbbVie, они проводят для наших детей познавательные и увлекательные мастер-классы. Всегда тщательно готовятся к своему приходу, советуются с нами, и занятие получается ярким и запоминающимся. Спасибо! http://riaami.ru/read/sotrudniki-abbvie-v-ross...</t>
        </is>
      </c>
    </row>
    <row r="1604" ht="30" customHeight="1">
      <c r="A1604" s="28" t="n">
        <v>1956</v>
      </c>
      <c r="B1604" s="29" t="inlineStr">
        <is>
          <t>2016-08-17</t>
        </is>
      </c>
      <c r="C1604" s="30">
        <f>HYPERLINK("https://vk.com/wall-1825701_1956", "Открыть пост")</f>
        <v/>
      </c>
      <c r="D1604" s="31" t="inlineStr">
        <is>
          <t>Творческие мастер-классы и художественные студии</t>
        </is>
      </c>
      <c r="E1604" s="31" t="inlineStr">
        <is>
          <t>Творческие мастер-классы и художественные студии</t>
        </is>
      </c>
      <c r="F1604" s="31" t="inlineStr">
        <is>
          <t>Воспитанники ЦССВ, ДДИ и детских домов-интернатов</t>
        </is>
      </c>
      <c r="G1604" s="31" t="inlineStr">
        <is>
          <t>ЦССВ «Юнона«</t>
        </is>
      </c>
      <c r="H1604"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t>
        </is>
      </c>
      <c r="I1604" s="32" t="inlineStr">
        <is>
          <t>По формату занятия</t>
        </is>
      </c>
      <c r="J1604" s="31" t="inlineStr">
        <is>
          <t>Обычный день в студии. Днём приезжали на занятия дети из ЦССВ "Юнона", рисовали, учились готовить. А вечером у нас гости - музыканты Елена Ивановна, Лиза и Настя. Они рассказали о том, что музыка - это универсальное средство общения, которое понимают все люди. А также, что, в при...</t>
        </is>
      </c>
    </row>
    <row r="1605" ht="30" customHeight="1">
      <c r="A1605" s="23" t="n">
        <v>1952</v>
      </c>
      <c r="B1605" s="24" t="inlineStr">
        <is>
          <t>2016-08-13</t>
        </is>
      </c>
      <c r="C1605" s="25">
        <f>HYPERLINK("https://vk.com/wall-1825701_1952", "Открыть пост")</f>
        <v/>
      </c>
      <c r="D1605" s="26" t="inlineStr">
        <is>
          <t>Выездные лагеря, дача и сезонные программы</t>
        </is>
      </c>
      <c r="E1605" s="26" t="inlineStr">
        <is>
          <t>Выездные лагеря, дача и сезонные программы</t>
        </is>
      </c>
      <c r="F1605" s="26" t="inlineStr">
        <is>
          <t>Подопечные фонда «Дети Марии» (общая группа детей и подростков)</t>
        </is>
      </c>
      <c r="G1605" s="26" t="inlineStr">
        <is>
          <t>Студия фонда / выездная площадка</t>
        </is>
      </c>
      <c r="H1605" s="26" t="inlineStr">
        <is>
          <t>Мобильность, выездное сопровождение и автоволонтёрство</t>
        </is>
      </c>
      <c r="I1605" s="27" t="inlineStr">
        <is>
          <t>По формату занятия</t>
        </is>
      </c>
      <c r="J1605" s="26" t="inlineStr">
        <is>
          <t>В лагере мы снимали фильмы. Смотрите и наслаждайтесь. "Покемоны" - фильм семьи Слонов</t>
        </is>
      </c>
    </row>
    <row r="1606" ht="30" customHeight="1">
      <c r="A1606" s="28" t="n">
        <v>1950</v>
      </c>
      <c r="B1606" s="29" t="inlineStr">
        <is>
          <t>2016-08-12</t>
        </is>
      </c>
      <c r="C1606" s="30">
        <f>HYPERLINK("https://vk.com/wall-1825701_1950", "Открыть пост")</f>
        <v/>
      </c>
      <c r="D1606" s="31" t="inlineStr">
        <is>
          <t>Выездные лагеря, дача и сезонные программы</t>
        </is>
      </c>
      <c r="E1606" s="31" t="inlineStr">
        <is>
          <t>Выездные лагеря, дача и сезонные программы</t>
        </is>
      </c>
      <c r="F1606" s="31" t="inlineStr">
        <is>
          <t>Подопечные фонда «Дети Марии» (общая группа детей и подростков)</t>
        </is>
      </c>
      <c r="G1606" s="31" t="inlineStr">
        <is>
          <t>Студия фонда / выездная площадка</t>
        </is>
      </c>
      <c r="H1606" s="31" t="inlineStr">
        <is>
          <t>Артистические, музыкальные и спортивно-игровые навыки; Мобильность, выездное сопровождение и автоволонтёрство; Медиа, фото/видеосъёмка и культурная медиация</t>
        </is>
      </c>
      <c r="I1606" s="32" t="inlineStr">
        <is>
          <t>По формату занятия</t>
        </is>
      </c>
      <c r="J1606" s="31" t="inlineStr">
        <is>
          <t>Небольшое видео про Большую Игру в нашем летнем лагере. Спасибо Паше Швайковскому! https://www.youtube.com/watch?v=BiGU3fd7ZJc&amp;feature=youtu.be</t>
        </is>
      </c>
    </row>
    <row r="1607" ht="30" customHeight="1">
      <c r="A1607" s="23" t="n">
        <v>1949</v>
      </c>
      <c r="B1607" s="24" t="inlineStr">
        <is>
          <t>2016-08-12</t>
        </is>
      </c>
      <c r="C1607" s="25">
        <f>HYPERLINK("https://vk.com/wall-1825701_1949", "Открыть пост")</f>
        <v/>
      </c>
      <c r="D1607" s="26" t="inlineStr">
        <is>
          <t>Выездные лагеря, дача и сезонные программы</t>
        </is>
      </c>
      <c r="E1607" s="26" t="inlineStr">
        <is>
          <t>Выездные лагеря, дача и сезонные программы</t>
        </is>
      </c>
      <c r="F1607" s="26" t="inlineStr">
        <is>
          <t>Подопечные фонда «Дети Марии» (общая группа детей и подростков)</t>
        </is>
      </c>
      <c r="G1607" s="26" t="inlineStr">
        <is>
          <t>Студия фонда / выездная площадка</t>
        </is>
      </c>
      <c r="H1607" s="26" t="inlineStr">
        <is>
          <t>Мобильность, выездное сопровождение и автоволонтёрство</t>
        </is>
      </c>
      <c r="I1607" s="27" t="inlineStr">
        <is>
          <t>По формату занятия</t>
        </is>
      </c>
      <c r="J1607" s="26" t="inlineStr">
        <is>
          <t>Много фоток из лагеря здесь. Смотрите, вспоминайте, наслаждайтесь. https://fotki.yandex.ru/users/mariaschildren/album/157489/</t>
        </is>
      </c>
    </row>
    <row r="1608" ht="30" customHeight="1">
      <c r="A1608" s="28" t="n">
        <v>1948</v>
      </c>
      <c r="B1608" s="29" t="inlineStr">
        <is>
          <t>2016-08-05</t>
        </is>
      </c>
      <c r="C1608" s="30">
        <f>HYPERLINK("https://vk.com/wall-1825701_1948", "Открыть пост")</f>
        <v/>
      </c>
      <c r="D1608" s="31" t="inlineStr">
        <is>
          <t>Выездные лагеря, дача и сезонные программы</t>
        </is>
      </c>
      <c r="E1608" s="31" t="inlineStr">
        <is>
          <t>Выездные лагеря, дача и сезонные программы; Творческие мастер-классы и художественные студии</t>
        </is>
      </c>
      <c r="F1608" s="31" t="inlineStr">
        <is>
          <t>Подопечные фонда «Дети Марии» (общая группа детей и подростков)</t>
        </is>
      </c>
      <c r="G1608" s="31" t="inlineStr">
        <is>
          <t>Студия фонда / выездная площадка</t>
        </is>
      </c>
      <c r="H1608" s="31" t="inlineStr">
        <is>
          <t>Мобильность, выездное сопровождение и автоволонтёрство</t>
        </is>
      </c>
      <c r="I1608" s="32" t="inlineStr">
        <is>
          <t>По формату занятия</t>
        </is>
      </c>
      <c r="J1608" s="31" t="inlineStr">
        <is>
          <t>Подсвечники, расписанные за мастер-классах в летнем лагере теперь можно купить в нашем интенет-магазине</t>
        </is>
      </c>
    </row>
    <row r="1609" ht="30" customHeight="1">
      <c r="A1609" s="23" t="n">
        <v>1947</v>
      </c>
      <c r="B1609" s="24" t="inlineStr">
        <is>
          <t>2016-07-19</t>
        </is>
      </c>
      <c r="C1609" s="25">
        <f>HYPERLINK("https://vk.com/wall-1825701_1947", "Открыть пост")</f>
        <v/>
      </c>
      <c r="D1609" s="26" t="inlineStr">
        <is>
          <t>Выездные лагеря, дача и сезонные программы</t>
        </is>
      </c>
      <c r="E1609" s="26" t="inlineStr">
        <is>
          <t>Выездные лагеря, дача и сезонные программы; Творческие мастер-классы и художественные студии</t>
        </is>
      </c>
      <c r="F1609" s="26" t="inlineStr">
        <is>
          <t>Воспитанники ЦССВ, ДДИ и детских домов-интернатов; Дети и семьи (в т.ч. приёмные семьи и программа в Беслане)</t>
        </is>
      </c>
      <c r="G1609" s="26" t="inlineStr">
        <is>
          <t>Сорочанах, ЦССВ «Юнона«, Беслан</t>
        </is>
      </c>
      <c r="H1609" s="26" t="inlineStr">
        <is>
          <t>Мобильность, выездное сопровождение и автоволонтёрство</t>
        </is>
      </c>
      <c r="I1609" s="27" t="inlineStr">
        <is>
          <t>По формату занятия</t>
        </is>
      </c>
      <c r="J1609" s="26" t="inlineStr">
        <is>
          <t>Вот уже второй день продолжается наш летний лагерь в Сорочанах. С нами дети из Филимонок, ЦССВ "Юнона" и из Беслана. Утром они занимаются на мастер-классах.</t>
        </is>
      </c>
    </row>
    <row r="1610" ht="30" customHeight="1">
      <c r="A1610" s="28" t="n">
        <v>1936</v>
      </c>
      <c r="B1610" s="29" t="inlineStr">
        <is>
          <t>2016-06-27</t>
        </is>
      </c>
      <c r="C1610" s="30">
        <f>HYPERLINK("https://vk.com/wall-1825701_1936", "Открыть пост")</f>
        <v/>
      </c>
      <c r="D1610" s="31" t="inlineStr">
        <is>
          <t>Выездные лагеря, дача и сезонные программы</t>
        </is>
      </c>
      <c r="E1610" s="31" t="inlineStr">
        <is>
          <t>Выездные лагеря, дача и сезонные программы</t>
        </is>
      </c>
      <c r="F1610" s="31" t="inlineStr">
        <is>
          <t>Подопечные фонда «Дети Марии» (общая группа детей и подростков)</t>
        </is>
      </c>
      <c r="G1610" s="31" t="inlineStr">
        <is>
          <t>Студия фонда / выездная площадка</t>
        </is>
      </c>
      <c r="H1610" s="31" t="inlineStr">
        <is>
          <t>Педагогические и наставнические навыки (кулинария, быт, учёба); Мобильность, выездное сопровождение и автоволонтёрство</t>
        </is>
      </c>
      <c r="I1610" s="32" t="inlineStr">
        <is>
          <t>По формату занятия</t>
        </is>
      </c>
      <c r="J1610" s="31" t="inlineStr">
        <is>
          <t>На Сардинии в лагере для детей из Филимонок, который проводит сейчас наш фонд «Пеликан», Дима учит ребят снорклингу.</t>
        </is>
      </c>
    </row>
    <row r="1611" ht="30" customHeight="1">
      <c r="A1611" s="23" t="n">
        <v>1935</v>
      </c>
      <c r="B1611" s="24" t="inlineStr">
        <is>
          <t>2016-06-27</t>
        </is>
      </c>
      <c r="C1611" s="25">
        <f>HYPERLINK("https://vk.com/wall-1825701_1935", "Открыть пост")</f>
        <v/>
      </c>
      <c r="D1611" s="26" t="inlineStr">
        <is>
          <t>Творческие мастер-классы и художественные студии</t>
        </is>
      </c>
      <c r="E1611" s="26" t="inlineStr">
        <is>
          <t>Творческие мастер-классы и художественные студии</t>
        </is>
      </c>
      <c r="F1611" s="26" t="inlineStr">
        <is>
          <t>Подопечные фонда «Дети Марии» (общая группа детей и подростков)</t>
        </is>
      </c>
      <c r="G1611" s="26" t="inlineStr">
        <is>
          <t>Студия фонда / выездная площадка</t>
        </is>
      </c>
      <c r="H1611" s="26" t="inlineStr">
        <is>
          <t>Артистические, музыкальные и спортивно-игровые навыки</t>
        </is>
      </c>
      <c r="I1611" s="27" t="inlineStr">
        <is>
          <t>По формату занятия</t>
        </is>
      </c>
      <c r="J1611" s="26" t="inlineStr">
        <is>
          <t>На Сардинии у детей из Филимонок мастер-классы Марлин и Гийома по актерскому мастерству и клоунаде.</t>
        </is>
      </c>
    </row>
    <row r="1612" ht="30" customHeight="1">
      <c r="A1612" s="28" t="n">
        <v>1932</v>
      </c>
      <c r="B1612" s="29" t="inlineStr">
        <is>
          <t>2016-06-27</t>
        </is>
      </c>
      <c r="C1612" s="30">
        <f>HYPERLINK("https://vk.com/wall-1825701_1932", "Открыть пост")</f>
        <v/>
      </c>
      <c r="D1612" s="31" t="inlineStr">
        <is>
          <t>Выездные лагеря, дача и сезонные программы</t>
        </is>
      </c>
      <c r="E1612" s="31" t="inlineStr">
        <is>
          <t>Выездные лагеря, дача и сезонные программы; Кулинарные, образовательные и социально-бытовые занятия</t>
        </is>
      </c>
      <c r="F1612" s="31" t="inlineStr">
        <is>
          <t>Подопечные фонда «Дети Марии» (общая группа детей и подростков)</t>
        </is>
      </c>
      <c r="G1612" s="31" t="inlineStr">
        <is>
          <t>Студия фонда / выездная площадка</t>
        </is>
      </c>
      <c r="H1612" s="31" t="inlineStr">
        <is>
          <t>Педагогические и наставнические навыки (кулинария, быт, учёба); Мобильность, выездное сопровождение и автоволонтёрство</t>
        </is>
      </c>
      <c r="I1612" s="32" t="inlineStr">
        <is>
          <t>По формату занятия</t>
        </is>
      </c>
      <c r="J1612" s="31" t="inlineStr">
        <is>
          <t>Первые уроки серфинга у детей из Филимонок в лагере нашего фонда «Пеликан» на Сардинии. С нами Фабио - чудесный учитель серфа и любимец всех детей.</t>
        </is>
      </c>
    </row>
    <row r="1613" ht="30" customHeight="1">
      <c r="A1613" s="23" t="n">
        <v>1931</v>
      </c>
      <c r="B1613" s="24" t="inlineStr">
        <is>
          <t>2016-06-27</t>
        </is>
      </c>
      <c r="C1613" s="25">
        <f>HYPERLINK("https://vk.com/wall-1825701_1931", "Открыть пост")</f>
        <v/>
      </c>
      <c r="D1613" s="26" t="inlineStr">
        <is>
          <t>Выездные лагеря, дача и сезонные программы</t>
        </is>
      </c>
      <c r="E1613" s="26" t="inlineStr">
        <is>
          <t>Выездные лагеря, дача и сезонные программы</t>
        </is>
      </c>
      <c r="F1613" s="26" t="inlineStr">
        <is>
          <t>Подопечные фонда «Дети Марии» (общая группа детей и подростков)</t>
        </is>
      </c>
      <c r="G1613" s="26" t="inlineStr">
        <is>
          <t>Студия фонда / выездная площадка</t>
        </is>
      </c>
      <c r="H1613" s="26" t="inlineStr">
        <is>
          <t>Организационные, ивент- и ярмарочные навыки; Мобильность, выездное сопровождение и автоволонтёрство</t>
        </is>
      </c>
      <c r="I1613" s="27" t="inlineStr">
        <is>
          <t>По формату занятия</t>
        </is>
      </c>
      <c r="J1613" s="26" t="inlineStr">
        <is>
          <t>Продолжается лагерь на Сардинии нашего фонда «Пеликан» для детей из Филимонок. Ребята побывали на красочном празднике в городе Пуле. Быки везли статую святого Джованни. Следом за ними шли местные жители в национальных костюмах и посыпали всех лепестками роз, шествие закончилось о...</t>
        </is>
      </c>
    </row>
    <row r="1614" ht="30" customHeight="1">
      <c r="A1614" s="28" t="n">
        <v>1930</v>
      </c>
      <c r="B1614" s="29" t="inlineStr">
        <is>
          <t>2016-06-25</t>
        </is>
      </c>
      <c r="C1614" s="30">
        <f>HYPERLINK("https://vk.com/wall-1825701_1930", "Открыть пост")</f>
        <v/>
      </c>
      <c r="D1614" s="31" t="inlineStr">
        <is>
          <t>Творческие мастер-классы и художественные студии</t>
        </is>
      </c>
      <c r="E1614" s="31" t="inlineStr">
        <is>
          <t>Творческие мастер-классы и художественные студии; Выездные лагеря, дача и сезонные программы</t>
        </is>
      </c>
      <c r="F1614" s="31" t="inlineStr">
        <is>
          <t>Подростки и взрослые с ментальными особенностями и ОВЗ (ПНИ / Социальные дома); Воспитанники ЦССВ, ДДИ и детских домов-интернатов; Выпускники интернатов и детских домов (молодые взрослые)</t>
        </is>
      </c>
      <c r="G1614" s="31" t="inlineStr">
        <is>
          <t>Студия фонда / выездная площадка</t>
        </is>
      </c>
      <c r="H1614" s="31" t="inlineStr">
        <is>
          <t>Художественно-прикладные и ремесленные навыки; Мобильность, выездное сопровождение и автоволонтёрство</t>
        </is>
      </c>
      <c r="I1614" s="32" t="inlineStr">
        <is>
          <t>По формату занятия</t>
        </is>
      </c>
      <c r="J1614" s="31" t="inlineStr">
        <is>
          <t>Вчера начался лагерь на Сардинии, в Италии, для детей из подмосковного детского дома пос. Филимонки и выпускников интернатов -— это программа нашего фонда «Пеликан». На фото — мастер-класс по живописи.</t>
        </is>
      </c>
    </row>
    <row r="1615" ht="30" customHeight="1">
      <c r="A1615" s="23" t="n">
        <v>1928</v>
      </c>
      <c r="B1615" s="24" t="inlineStr">
        <is>
          <t>2016-06-22</t>
        </is>
      </c>
      <c r="C1615" s="25">
        <f>HYPERLINK("https://vk.com/wall-1825701_1928", "Открыть пост")</f>
        <v/>
      </c>
      <c r="D1615" s="26" t="inlineStr">
        <is>
          <t>Творческие мастер-классы и художественные студии</t>
        </is>
      </c>
      <c r="E1615" s="26" t="inlineStr">
        <is>
          <t>Творческие мастер-классы и художественные студии; Кулинарные, образовательные и социально-бытовые занятия</t>
        </is>
      </c>
      <c r="F1615" s="26" t="inlineStr">
        <is>
          <t>Воспитанники ЦССВ, ДДИ и детских домов-интернатов</t>
        </is>
      </c>
      <c r="G1615" s="26" t="inlineStr">
        <is>
          <t>ЦССВ «Юнона»</t>
        </is>
      </c>
      <c r="H1615" s="26"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t>
        </is>
      </c>
      <c r="I1615" s="27" t="inlineStr">
        <is>
          <t>Да (в тексте)</t>
        </is>
      </c>
      <c r="J1615" s="26" t="inlineStr">
        <is>
          <t>http://mariaschildren.ru/ru/news/2016/6/22/ZWQ1MTgzO Сегодня к нам приходили волонтеры одной из дружественных компаний. Они уже были у нас год назад, познакомились с ребятами из ЦССВ «Юнона» и провели кулинарный мастер-класс. Сегодня волонтеров пришло больше, и было два мастер-кл...</t>
        </is>
      </c>
    </row>
    <row r="1616" ht="30" customHeight="1">
      <c r="A1616" s="28" t="n">
        <v>1916</v>
      </c>
      <c r="B1616" s="29" t="inlineStr">
        <is>
          <t>2016-05-29</t>
        </is>
      </c>
      <c r="C1616" s="30">
        <f>HYPERLINK("https://vk.com/wall-1825701_1916", "Открыть пост")</f>
        <v/>
      </c>
      <c r="D1616" s="31" t="inlineStr">
        <is>
          <t>Творческие мастер-классы и художественные студии</t>
        </is>
      </c>
      <c r="E1616" s="31" t="inlineStr">
        <is>
          <t>Творческие мастер-классы и художественные студии; Выездные лагеря, дача и сезонные программы</t>
        </is>
      </c>
      <c r="F1616" s="31" t="inlineStr">
        <is>
          <t>Подопечные фонда «Дети Марии» (общая группа детей и подростков)</t>
        </is>
      </c>
      <c r="G1616" s="31" t="inlineStr">
        <is>
          <t>Студия фонда / выездная площадка</t>
        </is>
      </c>
      <c r="H1616" s="31" t="inlineStr">
        <is>
          <t>Художественно-прикладные и ремесленные навыки; Артистические, музыкальные и спортивно-игровые навыки; Мобильность, выездное сопровождение и автоволонтёрство</t>
        </is>
      </c>
      <c r="I1616" s="32" t="inlineStr">
        <is>
          <t>По формату занятия</t>
        </is>
      </c>
      <c r="J1616" s="31" t="inlineStr">
        <is>
          <t>Вот и состоялось последнее в этом учебном году воскресное занятие в студии на Делегатской для ребят, живущих по соседству с нами. Летом по воскресеньям занятий не будет - семьи, как правило, проводят выходные за городом. Сегодня мы лепили из глины, за чаем делились планами на кан...</t>
        </is>
      </c>
    </row>
    <row r="1617" ht="30" customHeight="1">
      <c r="A1617" s="23" t="n">
        <v>1905</v>
      </c>
      <c r="B1617" s="24" t="inlineStr">
        <is>
          <t>2016-05-16</t>
        </is>
      </c>
      <c r="C1617" s="25">
        <f>HYPERLINK("https://vk.com/wall-1825701_1905", "Открыть пост")</f>
        <v/>
      </c>
      <c r="D1617" s="26" t="inlineStr">
        <is>
          <t>Выездные лагеря, дача и сезонные программы</t>
        </is>
      </c>
      <c r="E1617" s="26" t="inlineStr">
        <is>
          <t>Выездные лагеря, дача и сезонные программы; Творческие мастер-классы и художественные студии</t>
        </is>
      </c>
      <c r="F1617" s="26" t="inlineStr">
        <is>
          <t>Подопечные фонда «Дети Марии» (общая группа детей и подростков)</t>
        </is>
      </c>
      <c r="G1617" s="26" t="inlineStr">
        <is>
          <t>Студия фонда / выездная площадка</t>
        </is>
      </c>
      <c r="H1617" s="26" t="inlineStr">
        <is>
          <t>Мобильность, выездное сопровождение и автоволонтёрство</t>
        </is>
      </c>
      <c r="I1617" s="27" t="inlineStr">
        <is>
          <t>По формату занятия</t>
        </is>
      </c>
      <c r="J1617" s="26" t="inlineStr">
        <is>
          <t>Ученики школы № 1236 и их родители сделали нам замечательный подарок - несколько коробок материалов для творчества: краски, бумагу, мелки, фломастеры, альбомы, наклейки, тетрадки, линейки... Спасибо, дорогие друзья! Нам очень пригодятся ваши подарки для ежедневных занятий в студи...</t>
        </is>
      </c>
    </row>
    <row r="1618" ht="30" customHeight="1">
      <c r="A1618" s="28" t="n">
        <v>1903</v>
      </c>
      <c r="B1618" s="29" t="inlineStr">
        <is>
          <t>2016-04-30</t>
        </is>
      </c>
      <c r="C1618" s="30">
        <f>HYPERLINK("https://vk.com/wall-1825701_1903", "Открыть пост")</f>
        <v/>
      </c>
      <c r="D1618" s="31" t="inlineStr">
        <is>
          <t>Выставки, экскурсии и культурные выходы</t>
        </is>
      </c>
      <c r="E1618" s="31" t="inlineStr">
        <is>
          <t>Выставки, экскурсии и культурные выходы</t>
        </is>
      </c>
      <c r="F1618" s="31" t="inlineStr">
        <is>
          <t>Подопечные фонда «Дети Марии» (общая группа детей и подростков)</t>
        </is>
      </c>
      <c r="G1618" s="31" t="inlineStr">
        <is>
          <t>Студия фонда / выездная площадка</t>
        </is>
      </c>
      <c r="H1618" s="31" t="inlineStr">
        <is>
          <t>Коммуникативные навыки, эмпатия и тьюторское сопровождение</t>
        </is>
      </c>
      <c r="I1618" s="32" t="inlineStr">
        <is>
          <t>По формату занятия</t>
        </is>
      </c>
      <c r="J1618" s="31" t="inlineStr">
        <is>
          <t>Вчера состоялось открытие выставки фонда «Подари жизнь» «Мой Ковчег» (http://art.podari-zhizn.ru/2016), на которой дети, подопечные фонда, представляли свои художественные работы. В нашей студии тоже занимаются ребята, победившие онкологические заболевания, из АНО «Дети» — они пр...</t>
        </is>
      </c>
    </row>
    <row r="1619" ht="30" customHeight="1">
      <c r="A1619" s="23" t="n">
        <v>1898</v>
      </c>
      <c r="B1619" s="24" t="inlineStr">
        <is>
          <t>2016-04-26</t>
        </is>
      </c>
      <c r="C1619" s="25">
        <f>HYPERLINK("https://vk.com/wall-1825701_1898", "Открыть пост")</f>
        <v/>
      </c>
      <c r="D1619" s="26" t="inlineStr">
        <is>
          <t>Спектакли, концерты и музыкально-театральные занятия</t>
        </is>
      </c>
      <c r="E1619" s="26" t="inlineStr">
        <is>
          <t>Спектакли, концерты и музыкально-театральные занятия</t>
        </is>
      </c>
      <c r="F1619" s="26" t="inlineStr">
        <is>
          <t>Подростки и взрослые с ментальными особенностями и ОВЗ (ПНИ / Социальные дома)</t>
        </is>
      </c>
      <c r="G1619" s="26" t="inlineStr">
        <is>
          <t>ПНИ №16</t>
        </is>
      </c>
      <c r="H1619" s="26" t="inlineStr">
        <is>
          <t>Артистические, музыкальные и спортивно-игровые навыки</t>
        </is>
      </c>
      <c r="I1619" s="27" t="inlineStr">
        <is>
          <t>По формату занятия</t>
        </is>
      </c>
      <c r="J1619" s="26" t="inlineStr">
        <is>
          <t>Сегодня занятие ребят из ПНИ №16 закончилось спектаклем "Тарас Бульба", его сыграли актеры Театра.doc Алексей Богачук и Михаил Скачков. Спасибо за вдохновенную игру!</t>
        </is>
      </c>
    </row>
    <row r="1620" ht="30" customHeight="1">
      <c r="A1620" s="28" t="n">
        <v>1887</v>
      </c>
      <c r="B1620" s="29" t="inlineStr">
        <is>
          <t>2016-04-19</t>
        </is>
      </c>
      <c r="C1620" s="30">
        <f>HYPERLINK("https://vk.com/wall-1825701_1887", "Открыть пост")</f>
        <v/>
      </c>
      <c r="D1620" s="31" t="inlineStr">
        <is>
          <t>Праздники, дни рождения и клубные встречи</t>
        </is>
      </c>
      <c r="E1620" s="31" t="inlineStr">
        <is>
          <t>Праздники, дни рождения и клубные встречи; Спектакли, концерты и музыкально-театральные занятия</t>
        </is>
      </c>
      <c r="F1620" s="31" t="inlineStr">
        <is>
          <t>Воспитанники ЦССВ, ДДИ и детских домов-интернатов; Выпускники интернатов и детских домов (молодые взрослые)</t>
        </is>
      </c>
      <c r="G1620" s="31" t="inlineStr">
        <is>
          <t>Студия фонда / выездная площадка</t>
        </is>
      </c>
      <c r="H1620" s="31" t="inlineStr">
        <is>
          <t>Артистические, музыкальные и спортивно-игровые навыки; Педагогические и наставнические навыки (кулинария, быт, учёба)</t>
        </is>
      </c>
      <c r="I1620" s="32" t="inlineStr">
        <is>
          <t>Да (в тексте)</t>
        </is>
      </c>
      <c r="J1620" s="31" t="inlineStr">
        <is>
          <t>Сегодня вечером в студии на Дмитровке прошла последняя репетиция наших ребят с режиссёром Егором. Завтра утром шесть детей из «Спутника», трое выпускников, волонтеры и воспитатели вылетает в Англию, чтобы принять участие в праздновании 452 Дня Рождения Шекспира вместе с актерами,...</t>
        </is>
      </c>
    </row>
    <row r="1621" ht="30" customHeight="1">
      <c r="A1621" s="23" t="n">
        <v>1883</v>
      </c>
      <c r="B1621" s="24" t="inlineStr">
        <is>
          <t>2016-04-19</t>
        </is>
      </c>
      <c r="C1621" s="25">
        <f>HYPERLINK("https://vk.com/wall-1825701_1883", "Открыть пост")</f>
        <v/>
      </c>
      <c r="D1621" s="26" t="inlineStr">
        <is>
          <t>Кулинарные, образовательные и социально-бытовые занятия</t>
        </is>
      </c>
      <c r="E1621" s="26" t="inlineStr">
        <is>
          <t>Кулинарные, образовательные и социально-бытовые занятия</t>
        </is>
      </c>
      <c r="F1621" s="26" t="inlineStr">
        <is>
          <t>Подростки и взрослые с ментальными особенностями и ОВЗ (ПНИ / Социальные дома); Воспитанники ЦССВ, ДДИ и детских домов-интернатов; Выпускники интернатов и детских домов (молодые взрослые)</t>
        </is>
      </c>
      <c r="G1621" s="26" t="inlineStr">
        <is>
          <t>ЦССВ «Спутник«»</t>
        </is>
      </c>
      <c r="H1621" s="26" t="inlineStr">
        <is>
          <t>Коммуникативные навыки, эмпатия и тьюторское сопровождение; Педагогические и наставнические навыки (кулинария, быт, учёба); Медиа, фото/видеосъёмка и культурная медиация</t>
        </is>
      </c>
      <c r="I1621" s="27" t="inlineStr">
        <is>
          <t>По формату занятия</t>
        </is>
      </c>
      <c r="J1621" s="26" t="inlineStr">
        <is>
          <t>На прошлой неделе один наш добрый друг и донор подарил студии 50 билетов на выступление Ника Вуйчича. На встречу с Ником отправились наши выпускники (участники фонда «Пеликан»), старшеклассники из ЦССВ «Спутник"» и 31й школы-интерната для детей с нарушениями опорно-двигательного ...</t>
        </is>
      </c>
    </row>
    <row r="1622" ht="30" customHeight="1">
      <c r="A1622" s="28" t="n">
        <v>1874</v>
      </c>
      <c r="B1622" s="29" t="inlineStr">
        <is>
          <t>2016-04-09</t>
        </is>
      </c>
      <c r="C1622" s="30">
        <f>HYPERLINK("https://vk.com/wall-1825701_1874", "Открыть пост")</f>
        <v/>
      </c>
      <c r="D1622" s="31" t="inlineStr">
        <is>
          <t>Спектакли, концерты и музыкально-театральные занятия</t>
        </is>
      </c>
      <c r="E1622" s="31" t="inlineStr">
        <is>
          <t>Спектакли, концерты и музыкально-театральные занятия; Творческие мастер-классы и художественные студии</t>
        </is>
      </c>
      <c r="F1622" s="31" t="inlineStr">
        <is>
          <t>Воспитанники ЦССВ, ДДИ и детских домов-интернатов; Дети и семьи (в т.ч. приёмные семьи и программа в Беслане)</t>
        </is>
      </c>
      <c r="G1622" s="31" t="inlineStr">
        <is>
          <t>Беслан, беслан</t>
        </is>
      </c>
      <c r="H1622" s="31"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t>
        </is>
      </c>
      <c r="I1622" s="32" t="inlineStr">
        <is>
          <t>По формату занятия</t>
        </is>
      </c>
      <c r="J1622" s="31" t="inlineStr">
        <is>
          <t>Новости из Беслана: Команда «Детей Марии» побывала в гостях у детского дома «Надежда» в селе Дур-Дур Северной Осетии. Нас приняли очень тепло. Мы общались, играли, рисовали маски на лицах, клоуничали. Дети исполнили перед нами осетинский народный танец «Хонга». На обратной дороге...</t>
        </is>
      </c>
    </row>
    <row r="1623" ht="30" customHeight="1">
      <c r="A1623" s="23" t="n">
        <v>1871</v>
      </c>
      <c r="B1623" s="24" t="inlineStr">
        <is>
          <t>2016-04-07</t>
        </is>
      </c>
      <c r="C1623" s="25">
        <f>HYPERLINK("https://vk.com/wall-1825701_1871", "Открыть пост")</f>
        <v/>
      </c>
      <c r="D1623" s="26" t="inlineStr">
        <is>
          <t>Творческие мастер-классы и художественные студии</t>
        </is>
      </c>
      <c r="E1623" s="26" t="inlineStr">
        <is>
          <t>Творческие мастер-классы и художественные студии; Кулинарные, образовательные и социально-бытовые занятия</t>
        </is>
      </c>
      <c r="F1623" s="26" t="inlineStr">
        <is>
          <t>Подростки и взрослые с ментальными особенностями и ОВЗ (ПНИ / Социальные дома); Воспитанники ЦССВ, ДДИ и детских домов-интернатов; Дети и семьи (в т.ч. приёмные семьи и программа в Беслане)</t>
        </is>
      </c>
      <c r="G1623" s="26" t="inlineStr">
        <is>
          <t>Беслан</t>
        </is>
      </c>
      <c r="H1623"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Мобильность, выездное сопровождение и автоволонтёрство</t>
        </is>
      </c>
      <c r="I1623" s="27" t="inlineStr">
        <is>
          <t>Да (в тексте)</t>
        </is>
      </c>
      <c r="J1623" s="26" t="inlineStr">
        <is>
          <t>«Дети Марии» во главе с Марией Елисеевой и волонтерами из фонда «Пеликан», с друзьями и клоунами из разных стран приехали в Беслан в Первую школу к любимым детям и учителям. Уже десятый год ежегодная поездка продолжительностью в неделю включает в себя множество событий. Творчески...</t>
        </is>
      </c>
    </row>
    <row r="1624" ht="30" customHeight="1">
      <c r="A1624" s="28" t="n">
        <v>1866</v>
      </c>
      <c r="B1624" s="29" t="inlineStr">
        <is>
          <t>2016-03-28</t>
        </is>
      </c>
      <c r="C1624" s="30">
        <f>HYPERLINK("https://vk.com/wall-1825701_1866", "Открыть пост")</f>
        <v/>
      </c>
      <c r="D1624" s="31" t="inlineStr">
        <is>
          <t>Творческие мастер-классы и художественные студии</t>
        </is>
      </c>
      <c r="E1624" s="31" t="inlineStr">
        <is>
          <t>Творческие мастер-классы и художественные студии</t>
        </is>
      </c>
      <c r="F1624" s="31" t="inlineStr">
        <is>
          <t>Широкая аудитория, гости и благотворители (открытые события)</t>
        </is>
      </c>
      <c r="G1624" s="31" t="inlineStr">
        <is>
          <t>Студия фонда / выездная площадка</t>
        </is>
      </c>
      <c r="H1624" s="31" t="inlineStr">
        <is>
          <t>Коммуникативные навыки, эмпатия и тьюторское сопровождение</t>
        </is>
      </c>
      <c r="I1624" s="32" t="inlineStr">
        <is>
          <t>По формату занятия</t>
        </is>
      </c>
      <c r="J1624" s="31" t="inlineStr">
        <is>
          <t>В субботу 26 марта на Делегатской гости студии Анна и Ирина провели мастер-класс по декорированию фоторамок. Ребята украшали рамки морскими ракушками, шнурами, шелковыми цветами, бусинами и даже кусочками газет и комиксов. Всем участникам мастер-классов на память мы подарили фото...</t>
        </is>
      </c>
    </row>
    <row r="1625" ht="30" customHeight="1">
      <c r="A1625" s="23" t="n">
        <v>1863</v>
      </c>
      <c r="B1625" s="24" t="inlineStr">
        <is>
          <t>2016-03-21</t>
        </is>
      </c>
      <c r="C1625" s="25">
        <f>HYPERLINK("https://vk.com/wall-1825701_1863", "Открыть пост")</f>
        <v/>
      </c>
      <c r="D1625" s="26" t="inlineStr">
        <is>
          <t>Творческие мастер-классы и художественные студии</t>
        </is>
      </c>
      <c r="E1625" s="26" t="inlineStr">
        <is>
          <t>Творческие мастер-классы и художественные студии; Выставки, экскурсии и культурные выходы</t>
        </is>
      </c>
      <c r="F1625" s="26" t="inlineStr">
        <is>
          <t>Подопечные фонда «Дети Марии» (общая группа детей и подростков)</t>
        </is>
      </c>
      <c r="G1625" s="26" t="inlineStr">
        <is>
          <t>Студия фонда / выездная площадка</t>
        </is>
      </c>
      <c r="H1625" s="26"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 Мобильность, выездное сопровождение и автоволонтёрство</t>
        </is>
      </c>
      <c r="I1625" s="27" t="inlineStr">
        <is>
          <t>Да (в тексте)</t>
        </is>
      </c>
      <c r="J1625" s="26" t="inlineStr">
        <is>
          <t>Международный день счастья, который празднуется во всем мире 20 марта в нашей студии в воскресенье тоже сбылся! Первое событие — мы готовы к выставке БФ "Подари жизнь" — сделали валяное панно, дорисовали коллективную картину. Второе — вместе с дружной командой волонтеров Internat...</t>
        </is>
      </c>
    </row>
    <row r="1626" ht="30" customHeight="1">
      <c r="A1626" s="28" t="n">
        <v>1860</v>
      </c>
      <c r="B1626" s="29" t="inlineStr">
        <is>
          <t>2016-03-20</t>
        </is>
      </c>
      <c r="C1626" s="30">
        <f>HYPERLINK("https://vk.com/wall-1825701_1860", "Открыть пост")</f>
        <v/>
      </c>
      <c r="D1626" s="31" t="inlineStr">
        <is>
          <t>Кулинарные, образовательные и социально-бытовые занятия</t>
        </is>
      </c>
      <c r="E1626" s="31" t="inlineStr">
        <is>
          <t>Кулинарные, образовательные и социально-бытовые занятия</t>
        </is>
      </c>
      <c r="F1626" s="31" t="inlineStr">
        <is>
          <t>Подопечные фонда «Дети Марии» (общая группа детей и подростков)</t>
        </is>
      </c>
      <c r="G1626" s="31" t="inlineStr">
        <is>
          <t>Студия фонда / выездная площадка</t>
        </is>
      </c>
      <c r="H1626" s="31" t="inlineStr">
        <is>
          <t>Педагогические и наставнические навыки (кулинария, быт, учёба)</t>
        </is>
      </c>
      <c r="I1626" s="32" t="inlineStr">
        <is>
          <t>Да (в тексте)</t>
        </is>
      </c>
      <c r="J1626" s="31" t="inlineStr">
        <is>
          <t>В пятницу в студии на Дмитровке прошла презентация нового литературно-кулинарного проекта нашего разносторонне талантливого волонтера Александра Шишова. Саша начал читать нам свой цикл рассказов, в которых тесно переплелись истории приготовления вкусных кушаний и история студии. ...</t>
        </is>
      </c>
    </row>
    <row r="1627" ht="30" customHeight="1">
      <c r="A1627" s="23" t="n">
        <v>1855</v>
      </c>
      <c r="B1627" s="24" t="inlineStr">
        <is>
          <t>2016-03-17</t>
        </is>
      </c>
      <c r="C1627" s="25">
        <f>HYPERLINK("https://vk.com/wall-1825701_1855", "Открыть пост")</f>
        <v/>
      </c>
      <c r="D1627" s="26" t="inlineStr">
        <is>
          <t>Выездные лагеря, дача и сезонные программы</t>
        </is>
      </c>
      <c r="E1627" s="26" t="inlineStr">
        <is>
          <t>Выездные лагеря, дача и сезонные программы; Спектакли, концерты и музыкально-театральные занятия; Творческие мастер-классы и художественные студии</t>
        </is>
      </c>
      <c r="F1627" s="26" t="inlineStr">
        <is>
          <t>Выпускники интернатов и детских домов (молодые взрослые)</t>
        </is>
      </c>
      <c r="G1627" s="26" t="inlineStr">
        <is>
          <t>Сорочанах</t>
        </is>
      </c>
      <c r="H1627" s="26" t="inlineStr">
        <is>
          <t>Художественно-прикладные и ремесленные навыки; Артистические, музыкальные и спортивно-игровые навыки; Педагогические и наставнические навыки (кулинария, быт, учёба); Мобильность, выездное сопровождение и автоволонтёрство</t>
        </is>
      </c>
      <c r="I1627" s="27" t="inlineStr">
        <is>
          <t>Да (в тексте)</t>
        </is>
      </c>
      <c r="J1627" s="26" t="inlineStr">
        <is>
          <t>Дорогие друзья, недавно завершился наш ежегодный зимний лагерь в Сорочанах для детей из интернатов и выпускников. Как обычно, мы с детьми занимались многими разными важными делами: рисовали, готовили еду, разыгрывали спектакли и т.п. Но главное – мы с ними катались на горных лыжа...</t>
        </is>
      </c>
    </row>
    <row r="1628" ht="30" customHeight="1">
      <c r="A1628" s="28" t="n">
        <v>1851</v>
      </c>
      <c r="B1628" s="29" t="inlineStr">
        <is>
          <t>2016-03-13</t>
        </is>
      </c>
      <c r="C1628" s="30">
        <f>HYPERLINK("https://vk.com/wall-1825701_1851", "Открыть пост")</f>
        <v/>
      </c>
      <c r="D1628" s="31" t="inlineStr">
        <is>
          <t>Праздники, дни рождения и клубные встречи</t>
        </is>
      </c>
      <c r="E1628" s="31" t="inlineStr">
        <is>
          <t>Праздники, дни рождения и клубные встречи; Творческие мастер-классы и художественные студии; Выставки, экскурсии и культурные выходы; Кулинарные, образовательные и социально-бытовые занятия</t>
        </is>
      </c>
      <c r="F1628" s="31" t="inlineStr">
        <is>
          <t>Воспитанники ЦССВ, ДДИ и детских домов-интернатов</t>
        </is>
      </c>
      <c r="G1628" s="31" t="inlineStr">
        <is>
          <t>ЦССВ «Спутник»</t>
        </is>
      </c>
      <c r="H1628" s="31" t="inlineStr">
        <is>
          <t>Художественно-прикладные и ремесленные навыки; Педагогические и наставнические навыки (кулинария, быт, учёба)</t>
        </is>
      </c>
      <c r="I1628" s="32" t="inlineStr">
        <is>
          <t>По формату занятия</t>
        </is>
      </c>
      <c r="J1628" s="31" t="inlineStr">
        <is>
          <t>Сегодня на занятиях в студии на Делегатской рисовали фон для коллективной картины, продолжали большое валяное панно, которое наши дети готовят для выставки БФ «Подари жизнь». Ребята из АНО «Дети» и их мамы пришли с домашними заготовками — масленичными блинами, у каждой хозяйки бл...</t>
        </is>
      </c>
    </row>
    <row r="1629" ht="30" customHeight="1">
      <c r="A1629" s="23" t="n">
        <v>1848</v>
      </c>
      <c r="B1629" s="24" t="inlineStr">
        <is>
          <t>2016-03-07</t>
        </is>
      </c>
      <c r="C1629" s="25">
        <f>HYPERLINK("https://vk.com/wall-1825701_1848", "Открыть пост")</f>
        <v/>
      </c>
      <c r="D1629" s="26" t="inlineStr">
        <is>
          <t>Выездные лагеря, дача и сезонные программы</t>
        </is>
      </c>
      <c r="E1629" s="26" t="inlineStr">
        <is>
          <t>Выездные лагеря, дача и сезонные программы</t>
        </is>
      </c>
      <c r="F1629" s="26" t="inlineStr">
        <is>
          <t>Подопечные фонда «Дети Марии» (общая группа детей и подростков)</t>
        </is>
      </c>
      <c r="G1629" s="26" t="inlineStr">
        <is>
          <t>Студия фонда / выездная площадка</t>
        </is>
      </c>
      <c r="H1629" s="26" t="inlineStr">
        <is>
          <t>Мобильность, выездное сопровождение и автоволонтёрство</t>
        </is>
      </c>
      <c r="I1629" s="27" t="inlineStr">
        <is>
          <t>По формату занятия</t>
        </is>
      </c>
      <c r="J1629" s="26" t="inlineStr">
        <is>
          <t>Много фото из зимнего лагеря тут https://fotki.yandex.ru/users/mariaschildren/album/156322/</t>
        </is>
      </c>
    </row>
    <row r="1630" ht="30" customHeight="1">
      <c r="A1630" s="28" t="n">
        <v>1838</v>
      </c>
      <c r="B1630" s="29" t="inlineStr">
        <is>
          <t>2016-02-28</t>
        </is>
      </c>
      <c r="C1630" s="30">
        <f>HYPERLINK("https://vk.com/wall-1825701_1838", "Открыть пост")</f>
        <v/>
      </c>
      <c r="D1630" s="31" t="inlineStr">
        <is>
          <t>Творческие мастер-классы и художественные студии</t>
        </is>
      </c>
      <c r="E1630" s="31" t="inlineStr">
        <is>
          <t>Творческие мастер-классы и художественные студии; Выездные лагеря, дача и сезонные программы; Кулинарные, образовательные и социально-бытовые занятия</t>
        </is>
      </c>
      <c r="F1630" s="31" t="inlineStr">
        <is>
          <t>Воспитанники ЦССВ, ДДИ и детских домов-интернатов</t>
        </is>
      </c>
      <c r="G1630" s="31" t="inlineStr">
        <is>
          <t>ЦССВ «Спутник»</t>
        </is>
      </c>
      <c r="H1630" s="31" t="inlineStr">
        <is>
          <t>Художественно-прикладные и ремесленные навыки; Коммуникативные навыки, эмпатия и тьюторское сопровождение; Педагогические и наставнические навыки (кулинария, быт, учёба); Мобильность, выездное сопровождение и автоволонтёрство</t>
        </is>
      </c>
      <c r="I1630" s="32" t="inlineStr">
        <is>
          <t>Да (в тексте)</t>
        </is>
      </c>
      <c r="J1630" s="31" t="inlineStr">
        <is>
          <t>Такие насыщенные дни сейчас: и в зимнем лагере каждый день полон событий, и в студии тоже интересно: новые идеи, новые люди, творчество и вкусные запахи! Так, в субботу в студию на Делегатской приезжали ребята из ЦССВ «Спутник». Как всегда, они могли выбрать занятие по душе: рисо...</t>
        </is>
      </c>
    </row>
    <row r="1631" ht="30" customHeight="1">
      <c r="A1631" s="23" t="n">
        <v>1837</v>
      </c>
      <c r="B1631" s="24" t="inlineStr">
        <is>
          <t>2016-02-26</t>
        </is>
      </c>
      <c r="C1631" s="25">
        <f>HYPERLINK("https://vk.com/wall-1825701_1837", "Открыть пост")</f>
        <v/>
      </c>
      <c r="D1631" s="26" t="inlineStr">
        <is>
          <t>Творческие мастер-классы и художественные студии</t>
        </is>
      </c>
      <c r="E1631" s="26" t="inlineStr">
        <is>
          <t>Творческие мастер-классы и художественные студии; Выездные лагеря, дача и сезонные программы</t>
        </is>
      </c>
      <c r="F1631" s="26" t="inlineStr">
        <is>
          <t>Подопечные фонда «Дети Марии» (общая группа детей и подростков)</t>
        </is>
      </c>
      <c r="G1631" s="26" t="inlineStr">
        <is>
          <t>Студия фонда / выездная площадка</t>
        </is>
      </c>
      <c r="H1631" s="26" t="inlineStr">
        <is>
          <t>Художественно-прикладные и ремесленные навыки; Педагогические и наставнические навыки (кулинария, быт, учёба); Мобильность, выездное сопровождение и автоволонтёрство</t>
        </is>
      </c>
      <c r="I1631" s="27" t="inlineStr">
        <is>
          <t>По формату занятия</t>
        </is>
      </c>
      <c r="J1631" s="26" t="inlineStr">
        <is>
          <t>Сегодня в нашем зимнем лагере Даша Каменская проводит мастер-класс по батику, продолжаем рисовать детали для большой картины, готовим и катаемся с утра до вечера. А после обеда вышли делать коллективное фото, кто-то сказал: «Жалко, снег не идёт», — и тут как повалит снегопад, нео...</t>
        </is>
      </c>
    </row>
    <row r="1632" ht="30" customHeight="1">
      <c r="A1632" s="28" t="n">
        <v>1836</v>
      </c>
      <c r="B1632" s="29" t="inlineStr">
        <is>
          <t>2016-02-25</t>
        </is>
      </c>
      <c r="C1632" s="30">
        <f>HYPERLINK("https://vk.com/wall-1825701_1836", "Открыть пост")</f>
        <v/>
      </c>
      <c r="D1632" s="31" t="inlineStr">
        <is>
          <t>Выездные лагеря, дача и сезонные программы</t>
        </is>
      </c>
      <c r="E1632" s="31" t="inlineStr">
        <is>
          <t>Выездные лагеря, дача и сезонные программы</t>
        </is>
      </c>
      <c r="F1632" s="31" t="inlineStr">
        <is>
          <t>Подопечные фонда «Дети Марии» (общая группа детей и подростков)</t>
        </is>
      </c>
      <c r="G1632" s="31" t="inlineStr">
        <is>
          <t>Студия фонда / выездная площадка</t>
        </is>
      </c>
      <c r="H1632" s="31" t="inlineStr">
        <is>
          <t>Мобильность, выездное сопровождение и автоволонтёрство</t>
        </is>
      </c>
      <c r="I1632" s="32" t="inlineStr">
        <is>
          <t>По формату занятия</t>
        </is>
      </c>
      <c r="J1632" s="31" t="inlineStr">
        <is>
          <t>В зимнем лагере празднуем день рождения Иры Скимбаторь #mariaschildren #pelicanfund</t>
        </is>
      </c>
    </row>
    <row r="1633" ht="30" customHeight="1">
      <c r="A1633" s="23" t="n">
        <v>1835</v>
      </c>
      <c r="B1633" s="24" t="inlineStr">
        <is>
          <t>2016-02-24</t>
        </is>
      </c>
      <c r="C1633" s="25">
        <f>HYPERLINK("https://vk.com/wall-1825701_1835", "Открыть пост")</f>
        <v/>
      </c>
      <c r="D1633" s="26" t="inlineStr">
        <is>
          <t>Выездные лагеря, дача и сезонные программы</t>
        </is>
      </c>
      <c r="E1633" s="26" t="inlineStr">
        <is>
          <t>Выездные лагеря, дача и сезонные программы</t>
        </is>
      </c>
      <c r="F1633" s="26" t="inlineStr">
        <is>
          <t>Подопечные фонда «Дети Марии» (общая группа детей и подростков)</t>
        </is>
      </c>
      <c r="G1633" s="26" t="inlineStr">
        <is>
          <t>Студия фонда / выездная площадка</t>
        </is>
      </c>
      <c r="H1633" s="26" t="inlineStr">
        <is>
          <t>Педагогические и наставнические навыки (кулинария, быт, учёба); Мобильность, выездное сопровождение и автоволонтёрство</t>
        </is>
      </c>
      <c r="I1633" s="27" t="inlineStr">
        <is>
          <t>По формату занятия</t>
        </is>
      </c>
      <c r="J1633" s="26" t="inlineStr">
        <is>
          <t>Будни в зимнем лагере. Катаемся, рисуем, готовим #mariaschildren #pelicanfund</t>
        </is>
      </c>
    </row>
    <row r="1634" ht="30" customHeight="1">
      <c r="A1634" s="28" t="n">
        <v>1834</v>
      </c>
      <c r="B1634" s="29" t="inlineStr">
        <is>
          <t>2016-02-23</t>
        </is>
      </c>
      <c r="C1634" s="30">
        <f>HYPERLINK("https://vk.com/wall-1825701_1834", "Открыть пост")</f>
        <v/>
      </c>
      <c r="D1634" s="31" t="inlineStr">
        <is>
          <t>Выездные лагеря, дача и сезонные программы</t>
        </is>
      </c>
      <c r="E1634" s="31" t="inlineStr">
        <is>
          <t>Выездные лагеря, дача и сезонные программы; Кулинарные, образовательные и социально-бытовые занятия; Творческие мастер-классы и художественные студии</t>
        </is>
      </c>
      <c r="F1634" s="31" t="inlineStr">
        <is>
          <t>Воспитанники ЦССВ, ДДИ и детских домов-интернатов; Выпускники интернатов и детских домов (молодые взрослые)</t>
        </is>
      </c>
      <c r="G1634" s="31" t="inlineStr">
        <is>
          <t>Сорочанах, ЦССВ «Спутник»</t>
        </is>
      </c>
      <c r="H1634" s="31" t="inlineStr">
        <is>
          <t>Художественно-прикладные и ремесленные навыки; Артистические, музыкальные и спортивно-игровые навыки; Педагогические и наставнические навыки (кулинария, быт, учёба); Мобильность, выездное сопровождение и автоволонтёрство</t>
        </is>
      </c>
      <c r="I1634" s="32" t="inlineStr">
        <is>
          <t>Да (в тексте)</t>
        </is>
      </c>
      <c r="J1634" s="31" t="inlineStr">
        <is>
          <t>У нас сейчас зимний лагерь в Сорочанах. С нами 20 детей из ЦССВ «Спутник», выпускники, волонтеры. Мы осваиваем сноуборды и горные лыжи, премудрости кулинарии и валяния. Погода хорошая, снежная. #mariaschildren #pelicanfund</t>
        </is>
      </c>
    </row>
    <row r="1635" ht="30" customHeight="1">
      <c r="A1635" s="23" t="n">
        <v>1828</v>
      </c>
      <c r="B1635" s="24" t="inlineStr">
        <is>
          <t>2016-02-12</t>
        </is>
      </c>
      <c r="C1635" s="25">
        <f>HYPERLINK("https://vk.com/wall-1825701_1828", "Открыть пост")</f>
        <v/>
      </c>
      <c r="D1635" s="26" t="inlineStr">
        <is>
          <t>Выездные лагеря, дача и сезонные программы</t>
        </is>
      </c>
      <c r="E1635" s="26" t="inlineStr">
        <is>
          <t>Выездные лагеря, дача и сезонные программы; Ярмарки, фестивали и благотворительные базары; Спектакли, концерты и музыкально-театральные занятия; Спортивные и активные мероприятия; Творческие мастер-классы и художественные студии</t>
        </is>
      </c>
      <c r="F1635" s="26" t="inlineStr">
        <is>
          <t>Воспитанники ЦССВ, ДДИ и детских домов-интернатов; Выпускники интернатов и детских домов (молодые взрослые)</t>
        </is>
      </c>
      <c r="G1635" s="26" t="inlineStr">
        <is>
          <t>Сорочанах, ЦССВ «Спутник»</t>
        </is>
      </c>
      <c r="H1635" s="26" t="inlineStr">
        <is>
          <t>Художественно-прикладные и ремесленные навыки; Коммуникативные навыки, эмпатия и тьюторское сопровождение; 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 Мобильность, выездное сопровождение и автоволонтёрство</t>
        </is>
      </c>
      <c r="I1635" s="27" t="inlineStr">
        <is>
          <t>По формату занятия</t>
        </is>
      </c>
      <c r="J1635" s="26" t="inlineStr">
        <is>
          <t>Сегодня, в канун Дня влюбленных, мы собирали пожертвования на двух ярмарках. В Башне на Набережной (организованной КПМГ) наш сбор — 14550 рублей, а в М2М банке — 32900 рублей. Все средства будут использованы на проведение зимнего лагеря в Сорочанах, в котором дети из ЦССВ «Спутни...</t>
        </is>
      </c>
    </row>
    <row r="1636" ht="30" customHeight="1">
      <c r="A1636" s="28" t="n">
        <v>1818</v>
      </c>
      <c r="B1636" s="29" t="inlineStr">
        <is>
          <t>2016-01-31</t>
        </is>
      </c>
      <c r="C1636" s="30">
        <f>HYPERLINK("https://vk.com/wall-1825701_1818", "Открыть пост")</f>
        <v/>
      </c>
      <c r="D1636" s="31" t="inlineStr">
        <is>
          <t>Творческие мастер-классы и художественные студии</t>
        </is>
      </c>
      <c r="E1636" s="31" t="inlineStr">
        <is>
          <t>Творческие мастер-классы и художественные студии; Ярмарки, фестивали и благотворительные базары; Праздники, дни рождения и клубные встречи</t>
        </is>
      </c>
      <c r="F1636" s="31" t="inlineStr">
        <is>
          <t>Подопечные фонда «Дети Марии» (общая группа детей и подростков)</t>
        </is>
      </c>
      <c r="G1636" s="31" t="inlineStr">
        <is>
          <t>Студия фонда / выездная площадка</t>
        </is>
      </c>
      <c r="H1636" s="31" t="inlineStr">
        <is>
          <t>Художественно-прикладные и ремесленные навыки; Организационные, ивент- и ярмарочные навыки</t>
        </is>
      </c>
      <c r="I1636" s="32" t="inlineStr">
        <is>
          <t>По формату занятия</t>
        </is>
      </c>
      <c r="J1636" s="31" t="inlineStr">
        <is>
          <t>В студии на Делегатской со среды затишье. В интернатах объявлен карантин по гриппу. А нам так хотелось открыть и рассмотреть с ребятами приз с замечательным названием «Волшебный чемодан художника»! Его вручили Художественному центру «Дети Марии» на IX Московском городском фестива...</t>
        </is>
      </c>
    </row>
    <row r="1637" ht="30" customHeight="1">
      <c r="A1637" s="23" t="n">
        <v>1810</v>
      </c>
      <c r="B1637" s="24" t="inlineStr">
        <is>
          <t>2016-01-25</t>
        </is>
      </c>
      <c r="C1637" s="25">
        <f>HYPERLINK("https://vk.com/wall-1825701_1810", "Открыть пост")</f>
        <v/>
      </c>
      <c r="D1637" s="26" t="inlineStr">
        <is>
          <t>Спектакли, концерты и музыкально-театральные занятия</t>
        </is>
      </c>
      <c r="E1637" s="26" t="inlineStr">
        <is>
          <t>Спектакли, концерты и музыкально-театральные занятия</t>
        </is>
      </c>
      <c r="F1637" s="26" t="inlineStr">
        <is>
          <t>Подопечные фонда «Дети Марии» (общая группа детей и подростков)</t>
        </is>
      </c>
      <c r="G1637" s="26" t="inlineStr">
        <is>
          <t>Студия фонда / выездная площадка</t>
        </is>
      </c>
      <c r="H1637" s="26" t="inlineStr">
        <is>
          <t>Артистические, музыкальные и спортивно-игровые навыки</t>
        </is>
      </c>
      <c r="I1637" s="27" t="inlineStr">
        <is>
          <t>По формату занятия</t>
        </is>
      </c>
      <c r="J1637" s="26" t="inlineStr">
        <is>
          <t>Возобновились занятия музыкой в студии на Делегатской, и проводит их Любовь Ивановна, всем нам знакомая Любочка — сестра Веры Ивановны, много лет проводившей музыкальные занятия с нашими ребятами. Мы любим музыку и наших чудесных Верочку и Любочку! #mariaschildren</t>
        </is>
      </c>
    </row>
    <row r="1638" ht="30" customHeight="1">
      <c r="A1638" s="28" t="n">
        <v>1799</v>
      </c>
      <c r="B1638" s="29" t="inlineStr">
        <is>
          <t>2016-01-21</t>
        </is>
      </c>
      <c r="C1638" s="30">
        <f>HYPERLINK("https://vk.com/wall-1825701_1799", "Открыть пост")</f>
        <v/>
      </c>
      <c r="D1638" s="31" t="inlineStr">
        <is>
          <t>Выставки, экскурсии и культурные выходы</t>
        </is>
      </c>
      <c r="E1638" s="31" t="inlineStr">
        <is>
          <t>Выставки, экскурсии и культурные выходы</t>
        </is>
      </c>
      <c r="F1638" s="31" t="inlineStr">
        <is>
          <t>Подопечные фонда «Дети Марии» (общая группа детей и подростков)</t>
        </is>
      </c>
      <c r="G1638" s="31" t="inlineStr">
        <is>
          <t>Студия фонда / выездная площадка</t>
        </is>
      </c>
      <c r="H1638" s="31" t="inlineStr">
        <is>
          <t>Коммуникативные навыки, эмпатия и тьюторское сопровождение</t>
        </is>
      </c>
      <c r="I1638" s="32" t="inlineStr">
        <is>
          <t>По формату занятия</t>
        </is>
      </c>
      <c r="J1638" s="31" t="inlineStr">
        <is>
          <t>http://mariaschildren.ru/ru/news/2016/1/20/YzBkNjFmM Мы побывали в музее-квартире Сергея Образцова #mariaschildren</t>
        </is>
      </c>
    </row>
    <row r="1639" ht="30" customHeight="1">
      <c r="A1639" s="23" t="n">
        <v>1761</v>
      </c>
      <c r="B1639" s="24" t="inlineStr">
        <is>
          <t>2015-12-27</t>
        </is>
      </c>
      <c r="C1639" s="25">
        <f>HYPERLINK("https://vk.com/wall-1825701_1761", "Открыть пост")</f>
        <v/>
      </c>
      <c r="D1639" s="26" t="inlineStr">
        <is>
          <t>Творческие мастер-классы и художественные студии</t>
        </is>
      </c>
      <c r="E1639" s="26" t="inlineStr">
        <is>
          <t>Творческие мастер-классы и художественные студии</t>
        </is>
      </c>
      <c r="F1639" s="26" t="inlineStr">
        <is>
          <t>Подростки и взрослые с ментальными особенностями и ОВЗ (ПНИ / Социальные дома)</t>
        </is>
      </c>
      <c r="G1639" s="26" t="inlineStr">
        <is>
          <t>ПНИ №16</t>
        </is>
      </c>
      <c r="H1639" s="26" t="inlineStr">
        <is>
          <t>Художественно-прикладные и ремесленные навыки</t>
        </is>
      </c>
      <c r="I1639" s="27" t="inlineStr">
        <is>
          <t>По формату занятия</t>
        </is>
      </c>
      <c r="J1639" s="26" t="inlineStr">
        <is>
          <t>Последнее занятие в уходящем году с ребятами из ПНИ №16, в пятницу утром. Новогодние картины, роспись шариков для ёлки, Дед Мороз с подарками.</t>
        </is>
      </c>
    </row>
    <row r="1640" ht="30" customHeight="1">
      <c r="A1640" s="28" t="n">
        <v>1749</v>
      </c>
      <c r="B1640" s="29" t="inlineStr">
        <is>
          <t>2015-12-07</t>
        </is>
      </c>
      <c r="C1640" s="30">
        <f>HYPERLINK("https://vk.com/wall-1825701_1749", "Открыть пост")</f>
        <v/>
      </c>
      <c r="D1640" s="31" t="inlineStr">
        <is>
          <t>Выставки, экскурсии и культурные выходы</t>
        </is>
      </c>
      <c r="E1640" s="31" t="inlineStr">
        <is>
          <t>Выставки, экскурсии и культурные выходы; Творческие мастер-классы и художественные студии</t>
        </is>
      </c>
      <c r="F1640" s="31" t="inlineStr">
        <is>
          <t>Воспитанники ЦССВ, ДДИ и детских домов-интернатов; Выпускники интернатов и детских домов (молодые взрослые)</t>
        </is>
      </c>
      <c r="G1640" s="31" t="inlineStr">
        <is>
          <t>ЦССВ «Радуга«</t>
        </is>
      </c>
      <c r="H1640" s="31" t="inlineStr">
        <is>
          <t>Художественно-прикладные и ремесленные навыки; Мобильность, выездное сопровождение и автоволонтёрство</t>
        </is>
      </c>
      <c r="I1640" s="32" t="inlineStr">
        <is>
          <t>По формату занятия</t>
        </is>
      </c>
      <c r="J1640" s="31" t="inlineStr">
        <is>
          <t>http://mariaschildren.ru/ru/news/2015/12/7/YjNmMmMyM Недавно у нас появились новые друзья из компании Аква Лого, которая производит и продает аквариумы и всё, что в аквариумах обычно бывает. Наши выпускники из фонда "Пеликан" уже побывали на экскурсии в компании, а сегодня Жанна ...</t>
        </is>
      </c>
    </row>
    <row r="1641" ht="30" customHeight="1">
      <c r="A1641" s="23" t="n">
        <v>1739</v>
      </c>
      <c r="B1641" s="24" t="inlineStr">
        <is>
          <t>2015-11-27</t>
        </is>
      </c>
      <c r="C1641" s="25">
        <f>HYPERLINK("https://vk.com/wall-1825701_1739", "Открыть пост")</f>
        <v/>
      </c>
      <c r="D1641" s="26" t="inlineStr">
        <is>
          <t>Ярмарки, фестивали и благотворительные базары</t>
        </is>
      </c>
      <c r="E1641" s="26" t="inlineStr">
        <is>
          <t>Ярмарки, фестивали и благотворительные базары</t>
        </is>
      </c>
      <c r="F1641" s="26" t="inlineStr">
        <is>
          <t>Подопечные фонда «Дети Марии» (общая группа детей и подростков)</t>
        </is>
      </c>
      <c r="G1641" s="26" t="inlineStr">
        <is>
          <t>Студия фонда / выездная площадка</t>
        </is>
      </c>
      <c r="H1641" s="26" t="inlineStr">
        <is>
          <t>Организационные, ивент- и ярмарочные навыки</t>
        </is>
      </c>
      <c r="I1641" s="27" t="inlineStr">
        <is>
          <t>По формату занятия</t>
        </is>
      </c>
      <c r="J1641" s="26" t="inlineStr">
        <is>
          <t>13 декабря приглашаем всех друзей на Душевный базар</t>
        </is>
      </c>
    </row>
    <row r="1642" ht="30" customHeight="1">
      <c r="A1642" s="28" t="n">
        <v>1738</v>
      </c>
      <c r="B1642" s="29" t="inlineStr">
        <is>
          <t>2015-11-26</t>
        </is>
      </c>
      <c r="C1642" s="30">
        <f>HYPERLINK("https://vk.com/wall-1825701_1738", "Открыть пост")</f>
        <v/>
      </c>
      <c r="D1642" s="31" t="inlineStr">
        <is>
          <t>Выездные лагеря, дача и сезонные программы</t>
        </is>
      </c>
      <c r="E1642" s="31" t="inlineStr">
        <is>
          <t>Выездные лагеря, дача и сезонные программы; Творческие мастер-классы и художественные студии</t>
        </is>
      </c>
      <c r="F1642" s="31" t="inlineStr">
        <is>
          <t>Подопечные фонда «Дети Марии» (общая группа детей и подростков)</t>
        </is>
      </c>
      <c r="G1642" s="31" t="inlineStr">
        <is>
          <t>Студия фонда / выездная площадка</t>
        </is>
      </c>
      <c r="H1642" s="31" t="inlineStr">
        <is>
          <t>Коммуникативные навыки, эмпатия и тьюторское сопровождение; Организационные, ивент- и ярмарочные навыки; Мобильность, выездное сопровождение и автоволонтёрство</t>
        </is>
      </c>
      <c r="I1642" s="32" t="inlineStr">
        <is>
          <t>По формату занятия</t>
        </is>
      </c>
      <c r="J1642" s="31" t="inlineStr">
        <is>
          <t>День-другой-третий, и голосование на сайте "Дикси" http://dixy.ru/dixypoll закончится. Мы очень просим вас и ваших друзей поддержать "Художественный центр "Дети Марии", пожалуйста! У нас есть шанс получить очень хороший грант! Да, чуть дольше, чем раньше (надо сообщить адрес свое...</t>
        </is>
      </c>
    </row>
    <row r="1643" ht="30" customHeight="1">
      <c r="A1643" s="23" t="n">
        <v>1736</v>
      </c>
      <c r="B1643" s="24" t="inlineStr">
        <is>
          <t>2015-11-26</t>
        </is>
      </c>
      <c r="C1643" s="25">
        <f>HYPERLINK("https://vk.com/wall-1825701_1736", "Открыть пост")</f>
        <v/>
      </c>
      <c r="D1643" s="26" t="inlineStr">
        <is>
          <t>Выставки, экскурсии и культурные выходы</t>
        </is>
      </c>
      <c r="E1643" s="26" t="inlineStr">
        <is>
          <t>Выставки, экскурсии и культурные выходы</t>
        </is>
      </c>
      <c r="F1643" s="26" t="inlineStr">
        <is>
          <t>Подопечные фонда «Дети Марии» (общая группа детей и подростков)</t>
        </is>
      </c>
      <c r="G1643" s="26" t="inlineStr">
        <is>
          <t>Студия фонда / выездная площадка</t>
        </is>
      </c>
      <c r="H1643" s="26" t="inlineStr">
        <is>
          <t>Коммуникативные навыки, эмпатия и тьюторское сопровождение</t>
        </is>
      </c>
      <c r="I1643" s="27" t="inlineStr">
        <is>
          <t>По формату занятия</t>
        </is>
      </c>
      <c r="J1643" s="26" t="inlineStr">
        <is>
          <t>О нашей выставке, завершившейся в ЦДХ http://mariaschildren.ru/ru/news/2015/11/12/NjQ1ZWUzY About our Annual Exhibition at the Central house of artists http://mariaschildren.ru/en/news/2015/11/12/NjQ1ZWUzY</t>
        </is>
      </c>
    </row>
    <row r="1644" ht="30" customHeight="1">
      <c r="A1644" s="28" t="n">
        <v>1734</v>
      </c>
      <c r="B1644" s="29" t="inlineStr">
        <is>
          <t>2015-11-20</t>
        </is>
      </c>
      <c r="C1644" s="30">
        <f>HYPERLINK("https://vk.com/wall-1825701_1734", "Открыть пост")</f>
        <v/>
      </c>
      <c r="D1644" s="31" t="inlineStr">
        <is>
          <t>Ярмарки, фестивали и благотворительные базары</t>
        </is>
      </c>
      <c r="E1644" s="31" t="inlineStr">
        <is>
          <t>Ярмарки, фестивали и благотворительные базары; Выездные лагеря, дача и сезонные программы</t>
        </is>
      </c>
      <c r="F1644" s="31" t="inlineStr">
        <is>
          <t>Выпускники интернатов и детских домов (молодые взрослые)</t>
        </is>
      </c>
      <c r="G1644" s="31" t="inlineStr">
        <is>
          <t>Студия фонда / выездная площадка</t>
        </is>
      </c>
      <c r="H1644" s="31" t="inlineStr">
        <is>
          <t>Коммуникативные навыки, эмпатия и тьюторское сопровождение; Организационные, ивент- и ярмарочные навыки; Мобильность, выездное сопровождение и автоволонтёрство</t>
        </is>
      </c>
      <c r="I1644" s="32" t="inlineStr">
        <is>
          <t>По формату занятия</t>
        </is>
      </c>
      <c r="J1644" s="31" t="inlineStr">
        <is>
          <t>В дружественных компаниях начались новогодние благотворительные ярмарки. На этой неделе прошла ярмарка в Англо-американкой школе (наш сбор 19400 рублей) и в компании Альстом (4750 рублей). Спасибо, друзья! Все собранные средства будут использованы на оплату нашего зимнего лагеря ...</t>
        </is>
      </c>
    </row>
    <row r="1645" ht="30" customHeight="1">
      <c r="A1645" s="23" t="n">
        <v>1723</v>
      </c>
      <c r="B1645" s="24" t="inlineStr">
        <is>
          <t>2015-11-07</t>
        </is>
      </c>
      <c r="C1645" s="25">
        <f>HYPERLINK("https://vk.com/wall-1825701_1723", "Открыть пост")</f>
        <v/>
      </c>
      <c r="D1645" s="26" t="inlineStr">
        <is>
          <t>Выставки, экскурсии и культурные выходы</t>
        </is>
      </c>
      <c r="E1645" s="26" t="inlineStr">
        <is>
          <t>Выставки, экскурсии и культурные выходы</t>
        </is>
      </c>
      <c r="F1645" s="26" t="inlineStr">
        <is>
          <t>Подростки и взрослые с ментальными особенностями и ОВЗ (ПНИ / Социальные дома)</t>
        </is>
      </c>
      <c r="G1645" s="26" t="inlineStr">
        <is>
          <t>ПНИ № 16</t>
        </is>
      </c>
      <c r="H1645" s="26" t="inlineStr">
        <is>
          <t>Мобильность, выездное сопровождение и автоволонтёрство</t>
        </is>
      </c>
      <c r="I1645" s="27" t="inlineStr">
        <is>
          <t>По формату занятия</t>
        </is>
      </c>
      <c r="J1645" s="26" t="inlineStr">
        <is>
          <t>Одна из участниц выставки - Маша Орехова. Она живет в ПНИ № 16 и передвигается на инвалидной коляске. У нас в студии Маша занимается только первый год, она рисует с огромным желанием и очень способная. Вот лишь одна картина Маши "Балерина" по мотивам Дега. Другие работы вы сможет...</t>
        </is>
      </c>
    </row>
    <row r="1646" ht="30" customHeight="1">
      <c r="A1646" s="28" t="n">
        <v>1722</v>
      </c>
      <c r="B1646" s="29" t="inlineStr">
        <is>
          <t>2015-11-05</t>
        </is>
      </c>
      <c r="C1646" s="30">
        <f>HYPERLINK("https://vk.com/wall-1825701_1722", "Открыть пост")</f>
        <v/>
      </c>
      <c r="D1646" s="31" t="inlineStr">
        <is>
          <t>Выставки, экскурсии и культурные выходы</t>
        </is>
      </c>
      <c r="E1646" s="31" t="inlineStr">
        <is>
          <t>Выставки, экскурсии и культурные выходы; Спектакли, концерты и музыкально-театральные занятия</t>
        </is>
      </c>
      <c r="F1646" s="31" t="inlineStr">
        <is>
          <t>Подопечные фонда «Дети Марии» (общая группа детей и подростков)</t>
        </is>
      </c>
      <c r="G1646" s="31" t="inlineStr">
        <is>
          <t>Студия фонда / выездная площадка</t>
        </is>
      </c>
      <c r="H1646" s="31" t="inlineStr">
        <is>
          <t>Артистические, музыкальные и спортивно-игровые навыки</t>
        </is>
      </c>
      <c r="I1646" s="32" t="inlineStr">
        <is>
          <t>По формату занятия</t>
        </is>
      </c>
      <c r="J1646" s="31" t="inlineStr">
        <is>
          <t>К открытию выставки в ЦДХ ребята в "Пеликане" репетируют небольшой спектакль. Так как "Вильяма нашего Шекспира" нам не привыкать играть, то на этот раз мы замахнулись на отечественного классика драматургии - Антона Палыча Чехова. Режиссируют Ярослав и Галя.</t>
        </is>
      </c>
    </row>
    <row r="1647" ht="30" customHeight="1">
      <c r="A1647" s="23" t="n">
        <v>1715</v>
      </c>
      <c r="B1647" s="24" t="inlineStr">
        <is>
          <t>2015-10-23</t>
        </is>
      </c>
      <c r="C1647" s="25">
        <f>HYPERLINK("https://vk.com/wall-1825701_1715", "Открыть пост")</f>
        <v/>
      </c>
      <c r="D1647" s="26" t="inlineStr">
        <is>
          <t>Творческие мастер-классы и художественные студии</t>
        </is>
      </c>
      <c r="E1647" s="26" t="inlineStr">
        <is>
          <t>Творческие мастер-классы и художественные студии</t>
        </is>
      </c>
      <c r="F1647" s="26" t="inlineStr">
        <is>
          <t>Подопечные фонда «Дети Марии» (общая группа детей и подростков)</t>
        </is>
      </c>
      <c r="G1647" s="26" t="inlineStr">
        <is>
          <t>Студия фонда / выездная площадка</t>
        </is>
      </c>
      <c r="H1647" s="26" t="inlineStr">
        <is>
          <t>Коммуникативные навыки, эмпатия и тьюторское сопровождение</t>
        </is>
      </c>
      <c r="I1647" s="27" t="inlineStr">
        <is>
          <t>По формату занятия</t>
        </is>
      </c>
      <c r="J1647" s="26" t="inlineStr">
        <is>
          <t>И на ночь глядя: у нас в студии на Дмитровке теперь есть мастер-класс, где ребята делают "ловцов снов". Ведет занятия Даша Дроздова. Сны ловят по средам вечером, кто захочет присоединиться, звоните 8(495)6921447 #mariaschildren #pelicanfund Помочь: https://vmeste.yandex.ru/marias...</t>
        </is>
      </c>
    </row>
    <row r="1648" ht="30" customHeight="1">
      <c r="A1648" s="28" t="n">
        <v>1714</v>
      </c>
      <c r="B1648" s="29" t="inlineStr">
        <is>
          <t>2015-10-23</t>
        </is>
      </c>
      <c r="C1648" s="30">
        <f>HYPERLINK("https://vk.com/wall-1825701_1714", "Открыть пост")</f>
        <v/>
      </c>
      <c r="D1648" s="31" t="inlineStr">
        <is>
          <t>Выездные лагеря, дача и сезонные программы</t>
        </is>
      </c>
      <c r="E1648" s="31" t="inlineStr">
        <is>
          <t>Выездные лагеря, дача и сезонные программы; Творческие мастер-классы и художественные студии</t>
        </is>
      </c>
      <c r="F1648" s="31" t="inlineStr">
        <is>
          <t>Подопечные фонда «Дети Марии» (общая группа детей и подростков)</t>
        </is>
      </c>
      <c r="G1648" s="31" t="inlineStr">
        <is>
          <t>Студия фонда / выездная площадка</t>
        </is>
      </c>
      <c r="H1648" s="31" t="inlineStr">
        <is>
          <t>Художественно-прикладные и ремесленные навыки; Мобильность, выездное сопровождение и автоволонтёрство</t>
        </is>
      </c>
      <c r="I1648" s="32" t="inlineStr">
        <is>
          <t>По формату занятия</t>
        </is>
      </c>
      <c r="J1648" s="31" t="inlineStr">
        <is>
          <t>Продолжаем делать большое панно из маленьких помпончиков (ведет занятия Ира Гуриева). Началась эта история ещё в летнем лагере, куда Ира приехала с новым для нас мастер-классом. За время лагеря родились четыре небольших "помпоночных" картины - со Слоном, Львом, Зеброй и Жирафом. ...</t>
        </is>
      </c>
    </row>
    <row r="1649" ht="30" customHeight="1">
      <c r="A1649" s="23" t="n">
        <v>1713</v>
      </c>
      <c r="B1649" s="24" t="inlineStr">
        <is>
          <t>2015-10-23</t>
        </is>
      </c>
      <c r="C1649" s="25">
        <f>HYPERLINK("https://vk.com/wall-1825701_1713", "Открыть пост")</f>
        <v/>
      </c>
      <c r="D1649" s="26" t="inlineStr">
        <is>
          <t>Творческие мастер-классы и художественные студии</t>
        </is>
      </c>
      <c r="E1649" s="26" t="inlineStr">
        <is>
          <t>Творческие мастер-классы и художественные студии; Кулинарные, образовательные и социально-бытовые занятия</t>
        </is>
      </c>
      <c r="F1649" s="26" t="inlineStr">
        <is>
          <t>Воспитанники ЦССВ, ДДИ и детских домов-интернатов</t>
        </is>
      </c>
      <c r="G1649" s="26" t="inlineStr">
        <is>
          <t>Студия фонда / выездная площадка</t>
        </is>
      </c>
      <c r="H1649" s="26" t="inlineStr">
        <is>
          <t>Художественно-прикладные и ремесленные навыки; Артистические, музыкальные и спортивно-игровые навыки; Педагогические и наставнические навыки (кулинария, быт, учёба); Мобильность, выездное сопровождение и автоволонтёрство</t>
        </is>
      </c>
      <c r="I1649" s="27" t="inlineStr">
        <is>
          <t>По формату занятия</t>
        </is>
      </c>
      <c r="J1649" s="26" t="inlineStr">
        <is>
          <t>http://mariaschildren.ru/ru/news/2015/10/22/YmZjODNhY В сентябре в студии на Дмитровском прошла грузинская неделя, а теперь настала пора недели Армении. Знакомство с искусством Армении мы начали со смешных армянских мультфильмов ("Ух ты, говорящая рыба", "Кто расскажет небылицу",...</t>
        </is>
      </c>
    </row>
    <row r="1650" ht="30" customHeight="1">
      <c r="A1650" s="28" t="n">
        <v>1712</v>
      </c>
      <c r="B1650" s="29" t="inlineStr">
        <is>
          <t>2015-10-23</t>
        </is>
      </c>
      <c r="C1650" s="30">
        <f>HYPERLINK("https://vk.com/wall-1825701_1712", "Открыть пост")</f>
        <v/>
      </c>
      <c r="D1650" s="31" t="inlineStr">
        <is>
          <t>Ярмарки, фестивали и благотворительные базары</t>
        </is>
      </c>
      <c r="E1650" s="31" t="inlineStr">
        <is>
          <t>Ярмарки, фестивали и благотворительные базары</t>
        </is>
      </c>
      <c r="F1650" s="31" t="inlineStr">
        <is>
          <t>Воспитанники ЦССВ, ДДИ и детских домов-интернатов</t>
        </is>
      </c>
      <c r="G1650" s="31" t="inlineStr">
        <is>
          <t>ДДИ №7</t>
        </is>
      </c>
      <c r="H1650" s="31" t="inlineStr">
        <is>
          <t>Педагогические и наставнические навыки (кулинария, быт, учёба); Организационные, ивент- и ярмарочные навыки</t>
        </is>
      </c>
      <c r="I1650" s="32" t="inlineStr">
        <is>
          <t>По формату занятия</t>
        </is>
      </c>
      <c r="J1650" s="31" t="inlineStr">
        <is>
          <t>Готовимся к новогодним ярмаркам, особенно к #Душевныйбазар Новинка - стеклянные подсвечники, декорированные листьями туи. Делают ребята из ДДИ №7, учит их Галя Петрова #mariaschildren Помочь: https://vmeste.yandex.ru/mariaschildren</t>
        </is>
      </c>
    </row>
    <row r="1651" ht="30" customHeight="1">
      <c r="A1651" s="23" t="n">
        <v>1705</v>
      </c>
      <c r="B1651" s="24" t="inlineStr">
        <is>
          <t>2015-10-22</t>
        </is>
      </c>
      <c r="C1651" s="25">
        <f>HYPERLINK("https://vk.com/wall-1825701_1705", "Открыть пост")</f>
        <v/>
      </c>
      <c r="D1651" s="26" t="inlineStr">
        <is>
          <t>Ярмарки, фестивали и благотворительные базары</t>
        </is>
      </c>
      <c r="E1651" s="26" t="inlineStr">
        <is>
          <t>Ярмарки, фестивали и благотворительные базары; Выездные лагеря, дача и сезонные программы</t>
        </is>
      </c>
      <c r="F1651" s="26" t="inlineStr">
        <is>
          <t>Дети и семьи (в т.ч. приёмные семьи и программа в Беслане)</t>
        </is>
      </c>
      <c r="G1651" s="26" t="inlineStr">
        <is>
          <t>Беслан</t>
        </is>
      </c>
      <c r="H1651" s="26" t="inlineStr">
        <is>
          <t>Организационные, ивент- и ярмарочные навыки; Мобильность, выездное сопровождение и автоволонтёрство</t>
        </is>
      </c>
      <c r="I1651" s="27" t="inlineStr">
        <is>
          <t>По формату занятия</t>
        </is>
      </c>
      <c r="J1651" s="26" t="inlineStr">
        <is>
          <t>В студии "Пеликан" на Дмитровке ребята строят дом. Правда, не очень большой, для кукол, но совсем как настоящий. Делают окна, "кладут" плитку на кухне и паркет в комнатах. Дом будет выставлен "на торги" во время аукциона на нашем балу в ноябре. Руководит постройкой Тина Деева - х...</t>
        </is>
      </c>
    </row>
    <row r="1652" ht="30" customHeight="1">
      <c r="A1652" s="28" t="n">
        <v>1698</v>
      </c>
      <c r="B1652" s="29" t="inlineStr">
        <is>
          <t>2015-10-12</t>
        </is>
      </c>
      <c r="C1652" s="30">
        <f>HYPERLINK("https://vk.com/wall-1825701_1698", "Открыть пост")</f>
        <v/>
      </c>
      <c r="D1652" s="31" t="inlineStr">
        <is>
          <t>Творческие мастер-классы и художественные студии</t>
        </is>
      </c>
      <c r="E1652" s="31" t="inlineStr">
        <is>
          <t>Творческие мастер-классы и художественные студии</t>
        </is>
      </c>
      <c r="F1652" s="31" t="inlineStr">
        <is>
          <t>Подопечные фонда «Дети Марии» (общая группа детей и подростков)</t>
        </is>
      </c>
      <c r="G1652" s="31" t="inlineStr">
        <is>
          <t>Студия фонда / выездная площадка</t>
        </is>
      </c>
      <c r="H1652" s="31" t="inlineStr">
        <is>
          <t>Художественно-прикладные и ремесленные навыки</t>
        </is>
      </c>
      <c r="I1652" s="32" t="inlineStr">
        <is>
          <t>По формату занятия</t>
        </is>
      </c>
      <c r="J1652" s="31" t="inlineStr">
        <is>
          <t>Мандарин — традиционный символ Нового Года. Теперь вы можете купить валяные мандарины в нашем интернет-магазине, подарить друзьям, повесить на ёлку или просто украсить дом. Их сделали ребята на занятиях по валянию с педагогом Марьей Ивановной Пименовой. http://mariaschildren.ru/r...</t>
        </is>
      </c>
    </row>
    <row r="1653" ht="30" customHeight="1">
      <c r="A1653" s="23" t="n">
        <v>1697</v>
      </c>
      <c r="B1653" s="24" t="inlineStr">
        <is>
          <t>2015-10-09</t>
        </is>
      </c>
      <c r="C1653" s="25">
        <f>HYPERLINK("https://vk.com/wall-1825701_1697", "Открыть пост")</f>
        <v/>
      </c>
      <c r="D1653" s="26" t="inlineStr">
        <is>
          <t>Творческие мастер-классы и художественные студии</t>
        </is>
      </c>
      <c r="E1653" s="26" t="inlineStr">
        <is>
          <t>Творческие мастер-классы и художественные студии; Выставки, экскурсии и культурные выходы; Кулинарные, образовательные и социально-бытовые занятия</t>
        </is>
      </c>
      <c r="F1653" s="26" t="inlineStr">
        <is>
          <t>Воспитанники ЦССВ, ДДИ и детских домов-интернатов; Выпускники интернатов и детских домов (молодые взрослые)</t>
        </is>
      </c>
      <c r="G1653" s="26" t="inlineStr">
        <is>
          <t>Студия фонда / выездная площадка</t>
        </is>
      </c>
      <c r="H1653" s="26" t="inlineStr">
        <is>
          <t>Художественно-прикладные и ремесленные навыки; Педагогические и наставнические навыки (кулинария, быт, учёба)</t>
        </is>
      </c>
      <c r="I1653" s="27" t="inlineStr">
        <is>
          <t>Да (в тексте)</t>
        </is>
      </c>
      <c r="J1653" s="26" t="inlineStr">
        <is>
          <t>Дети из Спасо-Талицы в гостях у «Детей Марии» http://mariaschildren.ru/ru/news/2015/10/8/MGI0ZWUwY Вчера к нам в студию на Делегатскую пришли наши старые друзья - дети из Спасо-Талицкого детского дома Кировской области. Они приехали на каникулы в Москву и, по старой традиции, поб...</t>
        </is>
      </c>
    </row>
    <row r="1654" ht="30" customHeight="1">
      <c r="A1654" s="28" t="n">
        <v>1689</v>
      </c>
      <c r="B1654" s="29" t="inlineStr">
        <is>
          <t>2015-09-21</t>
        </is>
      </c>
      <c r="C1654" s="30">
        <f>HYPERLINK("https://vk.com/wall-1825701_1689", "Открыть пост")</f>
        <v/>
      </c>
      <c r="D1654" s="31" t="inlineStr">
        <is>
          <t>Творческие мастер-классы и художественные студии</t>
        </is>
      </c>
      <c r="E1654" s="31" t="inlineStr">
        <is>
          <t>Творческие мастер-классы и художественные студии</t>
        </is>
      </c>
      <c r="F1654" s="31" t="inlineStr">
        <is>
          <t>Подопечные фонда «Дети Марии» (общая группа детей и подростков)</t>
        </is>
      </c>
      <c r="G1654" s="31" t="inlineStr">
        <is>
          <t>Студия фонда / выездная площадка</t>
        </is>
      </c>
      <c r="H1654" s="31" t="inlineStr">
        <is>
          <t>Художественно-прикладные и ремесленные навыки; Организационные, ивент- и ярмарочные навыки</t>
        </is>
      </c>
      <c r="I1654" s="32" t="inlineStr">
        <is>
          <t>По формату занятия</t>
        </is>
      </c>
      <c r="J1654" s="31" t="inlineStr">
        <is>
          <t>День "Детей Марии" в "Лавке радостей" в ЭТУ СРЕДУ 23 СЕНТЯБРЯ с 11 до 21 часа. Адрес: Малый Сухаревский пер., дом 7, метро Цветной бульвар. Все средства от продаж всего того, чем обычно торгует "Лавка" (уникальные и неповторимые вещи - одежда, обувь, аксессуары...) в этот день по...</t>
        </is>
      </c>
    </row>
    <row r="1655" ht="30" customHeight="1">
      <c r="A1655" s="23" t="n">
        <v>1688</v>
      </c>
      <c r="B1655" s="24" t="inlineStr">
        <is>
          <t>2015-09-18</t>
        </is>
      </c>
      <c r="C1655" s="25">
        <f>HYPERLINK("https://vk.com/wall-1825701_1688", "Открыть пост")</f>
        <v/>
      </c>
      <c r="D1655" s="26" t="inlineStr">
        <is>
          <t>Выставки, экскурсии и культурные выходы</t>
        </is>
      </c>
      <c r="E1655" s="26" t="inlineStr">
        <is>
          <t>Выставки, экскурсии и культурные выходы</t>
        </is>
      </c>
      <c r="F1655" s="26" t="inlineStr">
        <is>
          <t>Подопечные фонда «Дети Марии» (общая группа детей и подростков)</t>
        </is>
      </c>
      <c r="G1655" s="26" t="inlineStr">
        <is>
          <t>Студия фонда / выездная площадка</t>
        </is>
      </c>
      <c r="H1655" s="26" t="inlineStr">
        <is>
          <t>Художественно-прикладные и ремесленные навыки; Медиа, фото/видеосъёмка и культурная медиация</t>
        </is>
      </c>
      <c r="I1655" s="27" t="inlineStr">
        <is>
          <t>По формату занятия</t>
        </is>
      </c>
      <c r="J1655" s="26" t="inlineStr">
        <is>
          <t>Сегодня у нас в студии на Дмитровском переулке прошла выставка работ которые делали из глины младшие ребята, а расписывали и покрывали глазурью - старшие. Каждый выбрал по две понравившиеся работы, которые ребята будут фотографировать, обсуждать получившиеся фотографии и постигат...</t>
        </is>
      </c>
    </row>
    <row r="1656" ht="30" customHeight="1">
      <c r="A1656" s="28" t="n">
        <v>1683</v>
      </c>
      <c r="B1656" s="29" t="inlineStr">
        <is>
          <t>2015-09-10</t>
        </is>
      </c>
      <c r="C1656" s="30">
        <f>HYPERLINK("https://vk.com/wall-1825701_1683", "Открыть пост")</f>
        <v/>
      </c>
      <c r="D1656" s="31" t="inlineStr">
        <is>
          <t>Творческие мастер-классы и художественные студии</t>
        </is>
      </c>
      <c r="E1656" s="31" t="inlineStr">
        <is>
          <t>Творческие мастер-классы и художественные студии</t>
        </is>
      </c>
      <c r="F1656" s="31" t="inlineStr">
        <is>
          <t>Подопечные фонда «Дети Марии» (общая группа детей и подростков)</t>
        </is>
      </c>
      <c r="G1656" s="31" t="inlineStr">
        <is>
          <t>Студия фонда / выездная площадка</t>
        </is>
      </c>
      <c r="H1656" s="31" t="inlineStr">
        <is>
          <t>Коммуникативные навыки, эмпатия и тьюторское сопровождение</t>
        </is>
      </c>
      <c r="I1656" s="32" t="inlineStr">
        <is>
          <t>По формату занятия</t>
        </is>
      </c>
      <c r="J1656" s="31" t="inlineStr">
        <is>
          <t>Обе наши студии, и Делегатская, и Дмитровка уже вовсю работают, расписание занятий с сентября есть на сайте http://mariaschildren.ru/ru/programs/schedule Приходите, и дети, и взрослые! На фото: мастер-класс по стеклу в стиле "Тиффани" проводит Юля Подколзина, мы делаем очень крас...</t>
        </is>
      </c>
    </row>
    <row r="1657" ht="30" customHeight="1">
      <c r="A1657" s="23" t="n">
        <v>1681</v>
      </c>
      <c r="B1657" s="24" t="inlineStr">
        <is>
          <t>2015-09-06</t>
        </is>
      </c>
      <c r="C1657" s="25">
        <f>HYPERLINK("https://vk.com/wall-1825701_1681", "Открыть пост")</f>
        <v/>
      </c>
      <c r="D1657" s="26" t="inlineStr">
        <is>
          <t>Ярмарки, фестивали и благотворительные базары</t>
        </is>
      </c>
      <c r="E1657" s="26" t="inlineStr">
        <is>
          <t>Ярмарки, фестивали и благотворительные базары</t>
        </is>
      </c>
      <c r="F1657" s="26" t="inlineStr">
        <is>
          <t>Подопечные фонда «Дети Марии» (общая группа детей и подростков)</t>
        </is>
      </c>
      <c r="G1657" s="26" t="inlineStr">
        <is>
          <t>Студия фонда / выездная площадка</t>
        </is>
      </c>
      <c r="H1657" s="26" t="inlineStr">
        <is>
          <t>Организационные, ивент- и ярмарочные навыки</t>
        </is>
      </c>
      <c r="I1657" s="27" t="inlineStr">
        <is>
          <t>По формату занятия</t>
        </is>
      </c>
      <c r="J1657" s="26" t="inlineStr">
        <is>
          <t>Итоги ярмарки в день города http://mariaschildren.ru/ru/news/2015/9/6/ZDk0NDc2N</t>
        </is>
      </c>
    </row>
    <row r="1658" ht="30" customHeight="1">
      <c r="A1658" s="28" t="n">
        <v>1680</v>
      </c>
      <c r="B1658" s="29" t="inlineStr">
        <is>
          <t>2015-09-03</t>
        </is>
      </c>
      <c r="C1658" s="30">
        <f>HYPERLINK("https://vk.com/wall-1825701_1680", "Открыть пост")</f>
        <v/>
      </c>
      <c r="D1658" s="31" t="inlineStr">
        <is>
          <t>Ярмарки, фестивали и благотворительные базары</t>
        </is>
      </c>
      <c r="E1658" s="31" t="inlineStr">
        <is>
          <t>Ярмарки, фестивали и благотворительные базары</t>
        </is>
      </c>
      <c r="F1658" s="31" t="inlineStr">
        <is>
          <t>Подопечные фонда «Дети Марии» (общая группа детей и подростков)</t>
        </is>
      </c>
      <c r="G1658" s="31" t="inlineStr">
        <is>
          <t>Студия фонда / выездная площадка</t>
        </is>
      </c>
      <c r="H1658" s="31" t="inlineStr">
        <is>
          <t>Организационные, ивент- и ярмарочные навыки</t>
        </is>
      </c>
      <c r="I1658" s="32" t="inlineStr">
        <is>
          <t>По формату занятия</t>
        </is>
      </c>
      <c r="J1658" s="31" t="inlineStr">
        <is>
          <t>В это воскресенье с 11 до 20 часов на Цветном бульваре проходит фестиваль "Добрая Москва", в котором участвуют и "Дети Марии", и много других замечательных организаций, приглашаем всех. Вот карта мероприятия, наш номер 44, мы недалеко от фонтана))</t>
        </is>
      </c>
    </row>
    <row r="1659" ht="30" customHeight="1">
      <c r="A1659" s="23" t="n">
        <v>1678</v>
      </c>
      <c r="B1659" s="24" t="inlineStr">
        <is>
          <t>2015-08-22</t>
        </is>
      </c>
      <c r="C1659" s="25">
        <f>HYPERLINK("https://vk.com/wall-1825701_1678", "Открыть пост")</f>
        <v/>
      </c>
      <c r="D1659" s="26" t="inlineStr">
        <is>
          <t>Творческие мастер-классы и художественные студии</t>
        </is>
      </c>
      <c r="E1659" s="26" t="inlineStr">
        <is>
          <t>Творческие мастер-классы и художественные студии; Выставки, экскурсии и культурные выходы</t>
        </is>
      </c>
      <c r="F1659" s="26" t="inlineStr">
        <is>
          <t>Воспитанники ЦССВ, ДДИ и детских домов-интернатов</t>
        </is>
      </c>
      <c r="G1659" s="26" t="inlineStr">
        <is>
          <t>ДДИ №7</t>
        </is>
      </c>
      <c r="H1659" s="26" t="inlineStr">
        <is>
          <t>Художественно-прикладные и ремесленные навыки; Педагогические и наставнические навыки (кулинария, быт, учёба)</t>
        </is>
      </c>
      <c r="I1659" s="27" t="inlineStr">
        <is>
          <t>По формату занятия</t>
        </is>
      </c>
      <c r="J1659" s="26" t="inlineStr">
        <is>
          <t>http://mariaschildren.ru/ru/news/2015/8/22/NTY3YWIyM Август в студии насыщен пленэрами в самых красивых местах Москвы. С группой детей из ДДИ №7 мы рисовали в Музей-усадьбе Царицыно, в Коломенском и Главном ботаническом саду. Мы побывали в Дарвиновском музее вместе с нашими препо...</t>
        </is>
      </c>
    </row>
    <row r="1660" ht="30" customHeight="1">
      <c r="A1660" s="28" t="n">
        <v>1676</v>
      </c>
      <c r="B1660" s="29" t="inlineStr">
        <is>
          <t>2015-08-07</t>
        </is>
      </c>
      <c r="C1660" s="30">
        <f>HYPERLINK("https://vk.com/wall-1825701_1676", "Открыть пост")</f>
        <v/>
      </c>
      <c r="D1660" s="31" t="inlineStr">
        <is>
          <t>Выездные лагеря, дача и сезонные программы</t>
        </is>
      </c>
      <c r="E1660" s="31" t="inlineStr">
        <is>
          <t>Выездные лагеря, дача и сезонные программы; Творческие мастер-классы и художественные студии</t>
        </is>
      </c>
      <c r="F1660" s="31" t="inlineStr">
        <is>
          <t>Подростки и взрослые с ментальными особенностями и ОВЗ (ПНИ / Социальные дома)</t>
        </is>
      </c>
      <c r="G1660" s="31" t="inlineStr">
        <is>
          <t>ПНИ № 16</t>
        </is>
      </c>
      <c r="H1660" s="31" t="inlineStr">
        <is>
          <t>Художественно-прикладные и ремесленные навыки; Мобильность, выездное сопровождение и автоволонтёрство</t>
        </is>
      </c>
      <c r="I1660" s="32" t="inlineStr">
        <is>
          <t>По формату занятия</t>
        </is>
      </c>
      <c r="J1660" s="31" t="inlineStr">
        <is>
          <t>Если кто еще не знает - это вот Сережа Комов, он живет в ПНИ № 16, почти не слышит и не умеет ни говорить, ни читать, но у него совершенно золотые руки, он потрясающе талантливо делает самые разные вещи - плетет косы и делает стрижки, лепит из глины, шьет кукол, а в этом году в н...</t>
        </is>
      </c>
    </row>
    <row r="1661" ht="30" customHeight="1">
      <c r="A1661" s="23" t="n">
        <v>1675</v>
      </c>
      <c r="B1661" s="24" t="inlineStr">
        <is>
          <t>2015-08-06</t>
        </is>
      </c>
      <c r="C1661" s="25">
        <f>HYPERLINK("https://vk.com/wall-1825701_1675", "Открыть пост")</f>
        <v/>
      </c>
      <c r="D1661" s="26" t="inlineStr">
        <is>
          <t>Выездные лагеря, дача и сезонные программы</t>
        </is>
      </c>
      <c r="E1661" s="26" t="inlineStr">
        <is>
          <t>Выездные лагеря, дача и сезонные программы; Творческие мастер-классы и художественные студии</t>
        </is>
      </c>
      <c r="F1661" s="26" t="inlineStr">
        <is>
          <t>Подопечные фонда «Дети Марии» (общая группа детей и подростков)</t>
        </is>
      </c>
      <c r="G1661" s="26" t="inlineStr">
        <is>
          <t>Студия фонда / выездная площадка</t>
        </is>
      </c>
      <c r="H1661" s="26" t="inlineStr">
        <is>
          <t>Мобильность, выездное сопровождение и автоволонтёрство</t>
        </is>
      </c>
      <c r="I1661" s="27" t="inlineStr">
        <is>
          <t>По формату занятия</t>
        </is>
      </c>
      <c r="J1661" s="26" t="inlineStr">
        <is>
          <t>Шедевры, созданные на мастер-классах в летнем лагере, продолжают пополнять и украшать прилавок нашего интернет-магазина. На это раз новинки - блокноты и записные книжки с обложками, оформленными детьми в технике пейп-арт на занятиях с Наташей Сидоровой. http://mariaschildren.ru/r...</t>
        </is>
      </c>
    </row>
    <row r="1662" ht="30" customHeight="1">
      <c r="A1662" s="28" t="n">
        <v>1673</v>
      </c>
      <c r="B1662" s="29" t="inlineStr">
        <is>
          <t>2015-08-05</t>
        </is>
      </c>
      <c r="C1662" s="30">
        <f>HYPERLINK("https://vk.com/wall-1825701_1673", "Открыть пост")</f>
        <v/>
      </c>
      <c r="D1662" s="31" t="inlineStr">
        <is>
          <t>Выездные лагеря, дача и сезонные программы</t>
        </is>
      </c>
      <c r="E1662" s="31" t="inlineStr">
        <is>
          <t>Выездные лагеря, дача и сезонные программы</t>
        </is>
      </c>
      <c r="F1662" s="31" t="inlineStr">
        <is>
          <t>Подопечные фонда «Дети Марии» (общая группа детей и подростков)</t>
        </is>
      </c>
      <c r="G1662" s="31" t="inlineStr">
        <is>
          <t>Студия фонда / выездная площадка</t>
        </is>
      </c>
      <c r="H1662" s="31" t="inlineStr">
        <is>
          <t>Мобильность, выездное сопровождение и автоволонтёрство</t>
        </is>
      </c>
      <c r="I1662" s="32" t="inlineStr">
        <is>
          <t>По формату занятия</t>
        </is>
      </c>
      <c r="J1662" s="31" t="inlineStr">
        <is>
          <t>Летний лагерь "Наша семейка" http://mariaschildren.ru/ru/news/2015/7/30/YTAzZDJjY</t>
        </is>
      </c>
    </row>
    <row r="1663" ht="30" customHeight="1">
      <c r="A1663" s="23" t="n">
        <v>1670</v>
      </c>
      <c r="B1663" s="24" t="inlineStr">
        <is>
          <t>2015-08-04</t>
        </is>
      </c>
      <c r="C1663" s="25">
        <f>HYPERLINK("https://vk.com/wall-1825701_1670", "Открыть пост")</f>
        <v/>
      </c>
      <c r="D1663" s="26" t="inlineStr">
        <is>
          <t>Творческие мастер-классы и художественные студии</t>
        </is>
      </c>
      <c r="E1663" s="26" t="inlineStr">
        <is>
          <t>Творческие мастер-классы и художественные студии; Выездные лагеря, дача и сезонные программы</t>
        </is>
      </c>
      <c r="F1663" s="26" t="inlineStr">
        <is>
          <t>Подопечные фонда «Дети Марии» (общая группа детей и подростков)</t>
        </is>
      </c>
      <c r="G1663" s="26" t="inlineStr">
        <is>
          <t>Студия фонда / выездная площадка</t>
        </is>
      </c>
      <c r="H1663" s="26" t="inlineStr">
        <is>
          <t>Художественно-прикладные и ремесленные навыки; Мобильность, выездное сопровождение и автоволонтёрство</t>
        </is>
      </c>
      <c r="I1663" s="27" t="inlineStr">
        <is>
          <t>По формату занятия</t>
        </is>
      </c>
      <c r="J1663" s="26" t="inlineStr">
        <is>
          <t>В нашем летнем лагере очень популярен у детей был мастер-класс по лепке бус из полимерной глины, который проводили Аня Дроздова и Аня Сметанина. Некоторые произведения теперь можно купить в нашем интернет-магазине. http://mariaschildren.ru/ru/store/accessories</t>
        </is>
      </c>
    </row>
    <row r="1664" ht="30" customHeight="1">
      <c r="A1664" s="28" t="n">
        <v>1669</v>
      </c>
      <c r="B1664" s="29" t="inlineStr">
        <is>
          <t>2015-08-02</t>
        </is>
      </c>
      <c r="C1664" s="30">
        <f>HYPERLINK("https://vk.com/wall-1825701_1669", "Открыть пост")</f>
        <v/>
      </c>
      <c r="D1664" s="31" t="inlineStr">
        <is>
          <t>Выездные лагеря, дача и сезонные программы</t>
        </is>
      </c>
      <c r="E1664" s="31" t="inlineStr">
        <is>
          <t>Выездные лагеря, дача и сезонные программы</t>
        </is>
      </c>
      <c r="F1664" s="31" t="inlineStr">
        <is>
          <t>Подопечные фонда «Дети Марии» (общая группа детей и подростков)</t>
        </is>
      </c>
      <c r="G1664" s="31" t="inlineStr">
        <is>
          <t>Студия фонда / выездная площадка</t>
        </is>
      </c>
      <c r="H1664" s="31" t="inlineStr">
        <is>
          <t>Мобильность, выездное сопровождение и автоволонтёрство</t>
        </is>
      </c>
      <c r="I1664" s="32" t="inlineStr">
        <is>
          <t>По формату занятия</t>
        </is>
      </c>
      <c r="J1664" s="31" t="inlineStr">
        <is>
          <t>Фото из летнего лагеря размещены здесь, будут еще добавляться https://fotki.yandex.ru/users/mariaschildren/album/154347/</t>
        </is>
      </c>
    </row>
    <row r="1665" ht="30" customHeight="1">
      <c r="A1665" s="23" t="n">
        <v>1668</v>
      </c>
      <c r="B1665" s="24" t="inlineStr">
        <is>
          <t>2015-07-30</t>
        </is>
      </c>
      <c r="C1665" s="25">
        <f>HYPERLINK("https://vk.com/wall-1825701_1668", "Открыть пост")</f>
        <v/>
      </c>
      <c r="D1665" s="26" t="inlineStr">
        <is>
          <t>Выездные лагеря, дача и сезонные программы</t>
        </is>
      </c>
      <c r="E1665" s="26" t="inlineStr">
        <is>
          <t>Выездные лагеря, дача и сезонные программы</t>
        </is>
      </c>
      <c r="F1665" s="26" t="inlineStr">
        <is>
          <t>Подопечные фонда «Дети Марии» (общая группа детей и подростков)</t>
        </is>
      </c>
      <c r="G1665" s="26" t="inlineStr">
        <is>
          <t>Студия фонда / выездная площадка</t>
        </is>
      </c>
      <c r="H1665" s="26" t="inlineStr">
        <is>
          <t>Мобильность, выездное сопровождение и автоволонтёрство</t>
        </is>
      </c>
      <c r="I1665" s="27" t="inlineStr">
        <is>
          <t>По формату занятия</t>
        </is>
      </c>
      <c r="J1665" s="26" t="inlineStr">
        <is>
          <t>Фильм семьи Львов из только что прошедшего летнего лагеря http://vk.com/videos-1825701?section=all&amp;z=video-1825701_171097790%2Fclub1825701%2Calbum-1825701</t>
        </is>
      </c>
    </row>
    <row r="1666" ht="30" customHeight="1">
      <c r="A1666" s="28" t="n">
        <v>1663</v>
      </c>
      <c r="B1666" s="29" t="inlineStr">
        <is>
          <t>2015-06-29</t>
        </is>
      </c>
      <c r="C1666" s="30">
        <f>HYPERLINK("https://vk.com/wall-1825701_1663", "Открыть пост")</f>
        <v/>
      </c>
      <c r="D1666" s="31" t="inlineStr">
        <is>
          <t>Выездные лагеря, дача и сезонные программы</t>
        </is>
      </c>
      <c r="E1666" s="31" t="inlineStr">
        <is>
          <t>Выездные лагеря, дача и сезонные программы; Кулинарные, образовательные и социально-бытовые занятия</t>
        </is>
      </c>
      <c r="F1666" s="31" t="inlineStr">
        <is>
          <t>Воспитанники ЦССВ, ДДИ и детских домов-интернатов</t>
        </is>
      </c>
      <c r="G1666" s="31" t="inlineStr">
        <is>
          <t>Сорочанах</t>
        </is>
      </c>
      <c r="H1666" s="31" t="inlineStr">
        <is>
          <t>Педагогические и наставнические навыки (кулинария, быт, учёба); Мобильность, выездное сопровождение и автоволонтёрство</t>
        </is>
      </c>
      <c r="I1666" s="32" t="inlineStr">
        <is>
          <t>По формату занятия</t>
        </is>
      </c>
      <c r="J1666" s="31" t="inlineStr">
        <is>
          <t>Тем временем на Сардинии начались уроки по виндсерфингу. Все прошли инструктаж, попробовали управлять мачтой на берегу и некоторые уже "вышли в море". С большим парусом наш учитель Фабио. После такой школы наши виндсерферы смогут обучать в июле в летнем лагере детей из детских до...</t>
        </is>
      </c>
    </row>
    <row r="1667" ht="30" customHeight="1">
      <c r="A1667" s="23" t="n">
        <v>1662</v>
      </c>
      <c r="B1667" s="24" t="inlineStr">
        <is>
          <t>2015-06-29</t>
        </is>
      </c>
      <c r="C1667" s="25">
        <f>HYPERLINK("https://vk.com/wall-1825701_1662", "Открыть пост")</f>
        <v/>
      </c>
      <c r="D1667" s="26" t="inlineStr">
        <is>
          <t>Творческие мастер-классы и художественные студии</t>
        </is>
      </c>
      <c r="E1667" s="26" t="inlineStr">
        <is>
          <t>Творческие мастер-классы и художественные студии</t>
        </is>
      </c>
      <c r="F1667" s="26" t="inlineStr">
        <is>
          <t>Подопечные фонда «Дети Марии» (общая группа детей и подростков)</t>
        </is>
      </c>
      <c r="G1667" s="26" t="inlineStr">
        <is>
          <t>Студия фонда / выездная площадка</t>
        </is>
      </c>
      <c r="H1667" s="26" t="inlineStr">
        <is>
          <t>Коммуникативные навыки, эмпатия и тьюторское сопровождение</t>
        </is>
      </c>
      <c r="I1667" s="27" t="inlineStr">
        <is>
          <t>По формату занятия</t>
        </is>
      </c>
      <c r="J1667" s="26" t="inlineStr">
        <is>
          <t>Арт-мастерская на Сардинии продолжает работу. Мастер-класс по тирамису и пасте с фисташками ведет Нарина Минасян. Участвуют все!</t>
        </is>
      </c>
    </row>
    <row r="1668" ht="30" customHeight="1">
      <c r="A1668" s="28" t="n">
        <v>1658</v>
      </c>
      <c r="B1668" s="29" t="inlineStr">
        <is>
          <t>2015-06-27</t>
        </is>
      </c>
      <c r="C1668" s="30">
        <f>HYPERLINK("https://vk.com/wall-1825701_1658", "Открыть пост")</f>
        <v/>
      </c>
      <c r="D1668" s="31" t="inlineStr">
        <is>
          <t>Творческие мастер-классы и художественные студии</t>
        </is>
      </c>
      <c r="E1668" s="31" t="inlineStr">
        <is>
          <t>Творческие мастер-классы и художественные студии; Выездные лагеря, дача и сезонные программы</t>
        </is>
      </c>
      <c r="F1668" s="31" t="inlineStr">
        <is>
          <t>Воспитанники ЦССВ, ДДИ и детских домов-интернатов; Дети и семьи (в т.ч. приёмные семьи и программа в Беслане)</t>
        </is>
      </c>
      <c r="G1668" s="31" t="inlineStr">
        <is>
          <t>Беслан</t>
        </is>
      </c>
      <c r="H1668" s="31" t="inlineStr">
        <is>
          <t>Художественно-прикладные и ремесленные навыки; Мобильность, выездное сопровождение и автоволонтёрство</t>
        </is>
      </c>
      <c r="I1668" s="32" t="inlineStr">
        <is>
          <t>По формату занятия</t>
        </is>
      </c>
      <c r="J1668" s="31" t="inlineStr">
        <is>
          <t>Бисер, стеклярус, марблз, пайетки - если эти слова вызывают отклик в вашей душе, значит, вы тоже когда-то занимались рукоделием, развивали мелкую моторику и создавали рукотворную красоту. Если у вас с тех пор остались ненужные уже материалы, указанные выше, а также: - радующие гл...</t>
        </is>
      </c>
    </row>
    <row r="1669" ht="30" customHeight="1">
      <c r="A1669" s="23" t="n">
        <v>1655</v>
      </c>
      <c r="B1669" s="24" t="inlineStr">
        <is>
          <t>2015-06-13</t>
        </is>
      </c>
      <c r="C1669" s="25">
        <f>HYPERLINK("https://vk.com/wall-1825701_1655", "Открыть пост")</f>
        <v/>
      </c>
      <c r="D1669" s="26" t="inlineStr">
        <is>
          <t>Выездные лагеря, дача и сезонные программы</t>
        </is>
      </c>
      <c r="E1669" s="26" t="inlineStr">
        <is>
          <t>Выездные лагеря, дача и сезонные программы</t>
        </is>
      </c>
      <c r="F1669" s="26" t="inlineStr">
        <is>
          <t>Подопечные фонда «Дети Марии» (общая группа детей и подростков)</t>
        </is>
      </c>
      <c r="G1669" s="26" t="inlineStr">
        <is>
          <t>Студия фонда / выездная площадка</t>
        </is>
      </c>
      <c r="H1669" s="26" t="inlineStr">
        <is>
          <t>Мобильность, выездное сопровождение и автоволонтёрство</t>
        </is>
      </c>
      <c r="I1669" s="27" t="inlineStr">
        <is>
          <t>По формату занятия</t>
        </is>
      </c>
      <c r="J1669" s="26" t="inlineStr">
        <is>
          <t>Арт-лагерь в студии на Делегатской http://mariaschildren.ru/ru/news/2015/6/12/N2Y1NzUyM</t>
        </is>
      </c>
    </row>
    <row r="1670" ht="30" customHeight="1">
      <c r="A1670" s="28" t="n">
        <v>1654</v>
      </c>
      <c r="B1670" s="29" t="inlineStr">
        <is>
          <t>2015-06-13</t>
        </is>
      </c>
      <c r="C1670" s="30">
        <f>HYPERLINK("https://vk.com/wall-1825701_1654", "Открыть пост")</f>
        <v/>
      </c>
      <c r="D1670" s="31" t="inlineStr">
        <is>
          <t>Кулинарные, образовательные и социально-бытовые занятия</t>
        </is>
      </c>
      <c r="E1670" s="31" t="inlineStr">
        <is>
          <t>Кулинарные, образовательные и социально-бытовые занятия; Творческие мастер-классы и художественные студии</t>
        </is>
      </c>
      <c r="F1670" s="31" t="inlineStr">
        <is>
          <t>Воспитанники ЦССВ, ДДИ и детских домов-интернатов</t>
        </is>
      </c>
      <c r="G1670" s="31" t="inlineStr">
        <is>
          <t>ДДИ №7</t>
        </is>
      </c>
      <c r="H1670" s="31" t="inlineStr">
        <is>
          <t>Педагогические и наставнические навыки (кулинария, быт, учёба)</t>
        </is>
      </c>
      <c r="I1670" s="32" t="inlineStr">
        <is>
          <t>По формату занятия</t>
        </is>
      </c>
      <c r="J1670" s="31" t="inlineStr">
        <is>
          <t>Кулинарный мастер-класс с детьми из ДДИ №7 http://mariaschildren.ru/ru/news/2015/6/12/NTI0YmYwM</t>
        </is>
      </c>
    </row>
    <row r="1671" ht="30" customHeight="1">
      <c r="A1671" s="23" t="n">
        <v>1653</v>
      </c>
      <c r="B1671" s="24" t="inlineStr">
        <is>
          <t>2015-06-09</t>
        </is>
      </c>
      <c r="C1671" s="25">
        <f>HYPERLINK("https://vk.com/wall-1825701_1653", "Открыть пост")</f>
        <v/>
      </c>
      <c r="D1671" s="26" t="inlineStr">
        <is>
          <t>Творческие мастер-классы и художественные студии</t>
        </is>
      </c>
      <c r="E1671" s="26" t="inlineStr">
        <is>
          <t>Творческие мастер-классы и художественные студии</t>
        </is>
      </c>
      <c r="F1671" s="26" t="inlineStr">
        <is>
          <t>Выпускники интернатов и детских домов (молодые взрослые)</t>
        </is>
      </c>
      <c r="G1671" s="26" t="inlineStr">
        <is>
          <t>Студия фонда / выездная площадка</t>
        </is>
      </c>
      <c r="H1671" s="26" t="inlineStr">
        <is>
          <t>Коммуникативные навыки, эмпатия и тьюторское сопровождение</t>
        </is>
      </c>
      <c r="I1671" s="27" t="inlineStr">
        <is>
          <t>Да (в тексте)</t>
        </is>
      </c>
      <c r="J1671" s="26" t="inlineStr">
        <is>
          <t>В студии на Дмитровском у выпускников продолжаются мастер-классы по стеклу в стиле Тиффани, которые проводит волонтер Юлия Подколзина. Первое знакомство с техникой работы со стеклом прошло в конце апреля, и за месяц ребята успели сделать много разноцветных фигурок, которые решили...</t>
        </is>
      </c>
    </row>
    <row r="1672" ht="30" customHeight="1">
      <c r="A1672" s="28" t="n">
        <v>1645</v>
      </c>
      <c r="B1672" s="29" t="inlineStr">
        <is>
          <t>2015-05-20</t>
        </is>
      </c>
      <c r="C1672" s="30">
        <f>HYPERLINK("https://vk.com/wall-1825701_1645", "Открыть пост")</f>
        <v/>
      </c>
      <c r="D1672" s="31" t="inlineStr">
        <is>
          <t>Творческие мастер-классы и художественные студии</t>
        </is>
      </c>
      <c r="E1672" s="31" t="inlineStr">
        <is>
          <t>Творческие мастер-классы и художественные студии</t>
        </is>
      </c>
      <c r="F1672" s="31" t="inlineStr">
        <is>
          <t>Подопечные фонда «Дети Марии» (общая группа детей и подростков)</t>
        </is>
      </c>
      <c r="G1672" s="31" t="inlineStr">
        <is>
          <t>Студия фонда / выездная площадка</t>
        </is>
      </c>
      <c r="H1672" s="31" t="inlineStr">
        <is>
          <t>Художественно-прикладные и ремесленные навыки; Педагогические и наставнические навыки (кулинария, быт, учёба)</t>
        </is>
      </c>
      <c r="I1672" s="32" t="inlineStr">
        <is>
          <t>По формату занятия</t>
        </is>
      </c>
      <c r="J1672" s="31" t="inlineStr">
        <is>
          <t>На этой неделе на занятиях в студии на Делегатской ребята под руководством преподавателя Анны Андреевой делали коллажи из журнальных вырезок. Это простой и доступный способ сделать необычную картину, ведь всё, что нужно — старые журналы, бумага, клей и немного идей и вдохновения.</t>
        </is>
      </c>
    </row>
    <row r="1673" ht="30" customHeight="1">
      <c r="A1673" s="23" t="n">
        <v>1639</v>
      </c>
      <c r="B1673" s="24" t="inlineStr">
        <is>
          <t>2015-05-12</t>
        </is>
      </c>
      <c r="C1673" s="25">
        <f>HYPERLINK("https://vk.com/wall-1825701_1639", "Открыть пост")</f>
        <v/>
      </c>
      <c r="D1673" s="26" t="inlineStr">
        <is>
          <t>Выездные лагеря, дача и сезонные программы</t>
        </is>
      </c>
      <c r="E1673" s="26" t="inlineStr">
        <is>
          <t>Выездные лагеря, дача и сезонные программы; Творческие мастер-классы и художественные студии</t>
        </is>
      </c>
      <c r="F1673" s="26" t="inlineStr">
        <is>
          <t>Воспитанники ЦССВ, ДДИ и детских домов-интернатов</t>
        </is>
      </c>
      <c r="G1673" s="26" t="inlineStr">
        <is>
          <t>ДДИ №28</t>
        </is>
      </c>
      <c r="H1673" s="26" t="inlineStr">
        <is>
          <t>Художественно-прикладные и ремесленные навыки</t>
        </is>
      </c>
      <c r="I1673" s="27" t="inlineStr">
        <is>
          <t>По формату занятия</t>
        </is>
      </c>
      <c r="J1673" s="26" t="inlineStr">
        <is>
          <t>Занятия в загородных мастерских 9 мая. Мозаика из смальты. Дети из ДДИ №28. Ведут занятия Руслан Ларцев и Кристина Черенкова.</t>
        </is>
      </c>
    </row>
    <row r="1674" ht="30" customHeight="1">
      <c r="A1674" s="28" t="n">
        <v>1637</v>
      </c>
      <c r="B1674" s="29" t="inlineStr">
        <is>
          <t>2015-05-08</t>
        </is>
      </c>
      <c r="C1674" s="30">
        <f>HYPERLINK("https://vk.com/wall-1825701_1637", "Открыть пост")</f>
        <v/>
      </c>
      <c r="D1674" s="31" t="inlineStr">
        <is>
          <t>Творческие мастер-классы и художественные студии</t>
        </is>
      </c>
      <c r="E1674" s="31" t="inlineStr">
        <is>
          <t>Творческие мастер-классы и художественные студии</t>
        </is>
      </c>
      <c r="F1674" s="31" t="inlineStr">
        <is>
          <t>Подопечные фонда «Дети Марии» (общая группа детей и подростков)</t>
        </is>
      </c>
      <c r="G1674" s="31" t="inlineStr">
        <is>
          <t>Студия фонда / выездная площадка</t>
        </is>
      </c>
      <c r="H1674" s="31" t="inlineStr">
        <is>
          <t>Художественно-прикладные и ремесленные навыки</t>
        </is>
      </c>
      <c r="I1674" s="32" t="inlineStr">
        <is>
          <t>По формату занятия</t>
        </is>
      </c>
      <c r="J1674" s="31" t="inlineStr">
        <is>
          <t>С утра до вечера насыщенная творческая атмосфера царит в студии на Дмитровке, где работает с молодежью наш БФ "Пеликан". Вчера, например, в то время как в рисовальной с Галей и Олегом репетировали сказку (которую потом покажут детям на кораблике), в гончарной шла роспись керамики...</t>
        </is>
      </c>
    </row>
    <row r="1675" ht="30" customHeight="1">
      <c r="A1675" s="23" t="n">
        <v>1636</v>
      </c>
      <c r="B1675" s="24" t="inlineStr">
        <is>
          <t>2015-05-07</t>
        </is>
      </c>
      <c r="C1675" s="25">
        <f>HYPERLINK("https://vk.com/wall-1825701_1636", "Открыть пост")</f>
        <v/>
      </c>
      <c r="D1675" s="26" t="inlineStr">
        <is>
          <t>Кулинарные, образовательные и социально-бытовые занятия</t>
        </is>
      </c>
      <c r="E1675" s="26" t="inlineStr">
        <is>
          <t>Кулинарные, образовательные и социально-бытовые занятия; Творческие мастер-классы и художественные студии</t>
        </is>
      </c>
      <c r="F1675" s="26" t="inlineStr">
        <is>
          <t>Воспитанники ЦССВ, ДДИ и детских домов-интернатов</t>
        </is>
      </c>
      <c r="G1675" s="26" t="inlineStr">
        <is>
          <t>ЦССВ «Спутник«</t>
        </is>
      </c>
      <c r="H1675" s="26" t="inlineStr">
        <is>
          <t>Педагогические и наставнические навыки (кулинария, быт, учёба)</t>
        </is>
      </c>
      <c r="I1675" s="27" t="inlineStr">
        <is>
          <t>По формату занятия</t>
        </is>
      </c>
      <c r="J1675" s="26" t="inlineStr">
        <is>
          <t>Вчера в 3-ей группе ЦССВ "Спутник" прошел очередной мастер-класс по кулинарии. Дубинский Сергей, Карамов Миша, Паршин Егор, Борисов Вова под руководством нашего преподавателя Кристины Черенковой и воспитателя Нины Васильевны учились готовить мясную запеканку.</t>
        </is>
      </c>
    </row>
    <row r="1676" ht="30" customHeight="1">
      <c r="A1676" s="28" t="n">
        <v>1632</v>
      </c>
      <c r="B1676" s="29" t="inlineStr">
        <is>
          <t>2015-04-30</t>
        </is>
      </c>
      <c r="C1676" s="30">
        <f>HYPERLINK("https://vk.com/wall-1825701_1632", "Открыть пост")</f>
        <v/>
      </c>
      <c r="D1676" s="31" t="inlineStr">
        <is>
          <t>Выставки, экскурсии и культурные выходы</t>
        </is>
      </c>
      <c r="E1676" s="31" t="inlineStr">
        <is>
          <t>Выставки, экскурсии и культурные выходы</t>
        </is>
      </c>
      <c r="F1676" s="31" t="inlineStr">
        <is>
          <t>Подопечные фонда «Дети Марии» (общая группа детей и подростков)</t>
        </is>
      </c>
      <c r="G1676" s="31" t="inlineStr">
        <is>
          <t>Студия фонда / выездная площадка</t>
        </is>
      </c>
      <c r="H1676" s="31" t="inlineStr">
        <is>
          <t>Педагогические и наставнические навыки (кулинария, быт, учёба)</t>
        </is>
      </c>
      <c r="I1676" s="32" t="inlineStr">
        <is>
          <t>По формату занятия</t>
        </is>
      </c>
      <c r="J1676" s="31" t="inlineStr">
        <is>
          <t>Что день грядущий нам готовит? Чтобы узнать об этом, мы отправились в Музей с предсказаниями http://mariaschildren.ru/ru/news/2015/4/30/MThiMGYxO</t>
        </is>
      </c>
    </row>
    <row r="1677" ht="30" customHeight="1">
      <c r="A1677" s="23" t="n">
        <v>1631</v>
      </c>
      <c r="B1677" s="24" t="inlineStr">
        <is>
          <t>2015-04-30</t>
        </is>
      </c>
      <c r="C1677" s="25">
        <f>HYPERLINK("https://vk.com/wall-1825701_1631", "Открыть пост")</f>
        <v/>
      </c>
      <c r="D1677" s="26" t="inlineStr">
        <is>
          <t>Творческие мастер-классы и художественные студии</t>
        </is>
      </c>
      <c r="E1677" s="26" t="inlineStr">
        <is>
          <t>Творческие мастер-классы и художественные студии</t>
        </is>
      </c>
      <c r="F1677" s="26" t="inlineStr">
        <is>
          <t>Подопечные фонда «Дети Марии» (общая группа детей и подростков)</t>
        </is>
      </c>
      <c r="G1677" s="26" t="inlineStr">
        <is>
          <t>Студия фонда / выездная площадка</t>
        </is>
      </c>
      <c r="H1677" s="26" t="inlineStr">
        <is>
          <t>Коммуникативные навыки, эмпатия и тьюторское сопровождение</t>
        </is>
      </c>
      <c r="I1677" s="27" t="inlineStr">
        <is>
          <t>Да (в тексте)</t>
        </is>
      </c>
      <c r="J1677" s="26" t="inlineStr">
        <is>
          <t>Мастер-класс по стеклу провела в студии на Дмитровке волонтер Юлия Подколзина http://mariaschildren.ru/ru/news/2015/4/29/OGY2MGM2M</t>
        </is>
      </c>
    </row>
    <row r="1678" ht="30" customHeight="1">
      <c r="A1678" s="28" t="n">
        <v>1628</v>
      </c>
      <c r="B1678" s="29" t="inlineStr">
        <is>
          <t>2015-04-26</t>
        </is>
      </c>
      <c r="C1678" s="30">
        <f>HYPERLINK("https://vk.com/wall-1825701_1628", "Открыть пост")</f>
        <v/>
      </c>
      <c r="D1678" s="31" t="inlineStr">
        <is>
          <t>Ярмарки, фестивали и благотворительные базары</t>
        </is>
      </c>
      <c r="E1678" s="31" t="inlineStr">
        <is>
          <t>Ярмарки, фестивали и благотворительные базары</t>
        </is>
      </c>
      <c r="F1678" s="31" t="inlineStr">
        <is>
          <t>Подростки и взрослые с ментальными особенностями и ОВЗ (ПНИ / Социальные дома); Воспитанники ЦССВ, ДДИ и детских домов-интернатов</t>
        </is>
      </c>
      <c r="G1678" s="31" t="inlineStr">
        <is>
          <t>ЦССВ «Спутник«</t>
        </is>
      </c>
      <c r="H1678" s="31" t="inlineStr">
        <is>
          <t>Педагогические и наставнические навыки (кулинария, быт, учёба)</t>
        </is>
      </c>
      <c r="I1678" s="32" t="inlineStr">
        <is>
          <t>По формату занятия</t>
        </is>
      </c>
      <c r="J1678" s="31" t="inlineStr">
        <is>
          <t>Вчера в английском городе Стратфорде, на родине Вильяма Шекспира, прошел традиционный Шеспировский фестиваль. И традиционно же, шестой год подряд, в нем принимали участие наши дети. В этом году - из детского дома "Солнышко" в подмосковных Филимонках и московского ЦССВ "Спутник" (...</t>
        </is>
      </c>
    </row>
    <row r="1679" ht="30" customHeight="1">
      <c r="A1679" s="23" t="n">
        <v>1625</v>
      </c>
      <c r="B1679" s="24" t="inlineStr">
        <is>
          <t>2015-04-25</t>
        </is>
      </c>
      <c r="C1679" s="25">
        <f>HYPERLINK("https://vk.com/wall-1825701_1625", "Открыть пост")</f>
        <v/>
      </c>
      <c r="D1679" s="26" t="inlineStr">
        <is>
          <t>Волонтёрские встречи, обучение и дни открытых дверей</t>
        </is>
      </c>
      <c r="E1679" s="26" t="inlineStr">
        <is>
          <t>Волонтёрские встречи, обучение и дни открытых дверей</t>
        </is>
      </c>
      <c r="F1679" s="26" t="inlineStr">
        <is>
          <t>Подопечные фонда «Дети Марии» (общая группа детей и подростков)</t>
        </is>
      </c>
      <c r="G1679" s="26" t="inlineStr">
        <is>
          <t>Студия фонда / выездная площадка</t>
        </is>
      </c>
      <c r="H1679" s="26" t="inlineStr">
        <is>
          <t>Организационные, ивент- и ярмарочные навыки</t>
        </is>
      </c>
      <c r="I1679" s="27" t="inlineStr">
        <is>
          <t>По формату занятия</t>
        </is>
      </c>
      <c r="J1679" s="26" t="inlineStr">
        <is>
          <t>http://mariaschildren.ru/ru/news/2015/4/25/NTliZTUwO Субботник в двух студиях</t>
        </is>
      </c>
    </row>
    <row r="1680" ht="30" customHeight="1">
      <c r="A1680" s="28" t="n">
        <v>1604</v>
      </c>
      <c r="B1680" s="29" t="inlineStr">
        <is>
          <t>2015-04-01</t>
        </is>
      </c>
      <c r="C1680" s="30">
        <f>HYPERLINK("https://vk.com/wall-1825701_1604", "Открыть пост")</f>
        <v/>
      </c>
      <c r="D1680" s="31" t="inlineStr">
        <is>
          <t>Выставки, экскурсии и культурные выходы</t>
        </is>
      </c>
      <c r="E1680" s="31" t="inlineStr">
        <is>
          <t>Выставки, экскурсии и культурные выходы</t>
        </is>
      </c>
      <c r="F1680" s="31" t="inlineStr">
        <is>
          <t>Подопечные фонда «Дети Марии» (общая группа детей и подростков)</t>
        </is>
      </c>
      <c r="G1680" s="31" t="inlineStr">
        <is>
          <t>Студия фонда / выездная площадка</t>
        </is>
      </c>
      <c r="H1680" s="31" t="inlineStr">
        <is>
          <t>Коммуникативные навыки, эмпатия и тьюторское сопровождение</t>
        </is>
      </c>
      <c r="I1680" s="32" t="inlineStr">
        <is>
          <t>По формату занятия</t>
        </is>
      </c>
      <c r="J1680" s="31" t="inlineStr">
        <is>
          <t>Выставка в "Меридиане" http://mariaschildren.ru/ru/news/2015/4/1/YjU0NWVkM</t>
        </is>
      </c>
    </row>
    <row r="1681" ht="30" customHeight="1">
      <c r="A1681" s="23" t="n">
        <v>1602</v>
      </c>
      <c r="B1681" s="24" t="inlineStr">
        <is>
          <t>2015-04-01</t>
        </is>
      </c>
      <c r="C1681" s="25">
        <f>HYPERLINK("https://vk.com/wall-1825701_1602", "Открыть пост")</f>
        <v/>
      </c>
      <c r="D1681" s="26" t="inlineStr">
        <is>
          <t>Ярмарки, фестивали и благотворительные базары</t>
        </is>
      </c>
      <c r="E1681" s="26" t="inlineStr">
        <is>
          <t>Ярмарки, фестивали и благотворительные базары; Выездные лагеря, дача и сезонные программы</t>
        </is>
      </c>
      <c r="F1681" s="26" t="inlineStr">
        <is>
          <t>Воспитанники ЦССВ, ДДИ и детских домов-интернатов</t>
        </is>
      </c>
      <c r="G1681" s="26" t="inlineStr">
        <is>
          <t>Студия фонда / выездная площадка</t>
        </is>
      </c>
      <c r="H1681" s="26" t="inlineStr">
        <is>
          <t>Организационные, ивент- и ярмарочные навыки; Мобильность, выездное сопровождение и автоволонтёрство</t>
        </is>
      </c>
      <c r="I1681" s="27" t="inlineStr">
        <is>
          <t>По формату занятия</t>
        </is>
      </c>
      <c r="J1681" s="26" t="inlineStr">
        <is>
          <t>Вчера прошла Пасхальная ярмарка в компании Альстом (в офисе в Кулаковом пер.) с участием нашего центра. Наш сбор 23750 рублей. Хочется выразить огромную благодарность всем прекрасным и доброжелательным сотрудникам компании, пожертвовавшим нам деньги. Спасибо внимательным и заботл...</t>
        </is>
      </c>
    </row>
    <row r="1682" ht="30" customHeight="1">
      <c r="A1682" s="28" t="n">
        <v>1598</v>
      </c>
      <c r="B1682" s="29" t="inlineStr">
        <is>
          <t>2015-03-24</t>
        </is>
      </c>
      <c r="C1682" s="30">
        <f>HYPERLINK("https://vk.com/wall-1825701_1598", "Открыть пост")</f>
        <v/>
      </c>
      <c r="D1682" s="31" t="inlineStr">
        <is>
          <t>Творческие мастер-классы и художественные студии</t>
        </is>
      </c>
      <c r="E1682" s="31" t="inlineStr">
        <is>
          <t>Творческие мастер-классы и художественные студии; Выставки, экскурсии и культурные выходы</t>
        </is>
      </c>
      <c r="F1682" s="31" t="inlineStr">
        <is>
          <t>Подростки и взрослые с ментальными особенностями и ОВЗ (ПНИ / Социальные дома)</t>
        </is>
      </c>
      <c r="G1682" s="31" t="inlineStr">
        <is>
          <t>Студия фонда / выездная площадка</t>
        </is>
      </c>
      <c r="H1682" s="31" t="inlineStr">
        <is>
          <t>Художественно-прикладные и ремесленные навыки; Организационные, ивент- и ярмарочные навыки</t>
        </is>
      </c>
      <c r="I1682" s="32" t="inlineStr">
        <is>
          <t>По формату занятия</t>
        </is>
      </c>
      <c r="J1682" s="31" t="inlineStr">
        <is>
          <t>Завтра, в среду 25 марта в ЦКИ "Меридиан" (ул. Профсоюзная, дом 61) будет открытие выставки, которую организкет наша Алла Тягунова. Там будут валяные работы ребят из ПНИ 16, керамика Андрея Савельева и коллаж в технике эбру. Приглашаем всех!</t>
        </is>
      </c>
    </row>
    <row r="1683" ht="30" customHeight="1">
      <c r="A1683" s="23" t="n">
        <v>1581</v>
      </c>
      <c r="B1683" s="24" t="inlineStr">
        <is>
          <t>2015-03-03</t>
        </is>
      </c>
      <c r="C1683" s="25">
        <f>HYPERLINK("https://vk.com/wall-1825701_1581", "Открыть пост")</f>
        <v/>
      </c>
      <c r="D1683" s="26" t="inlineStr">
        <is>
          <t>Творческие мастер-классы и художественные студии</t>
        </is>
      </c>
      <c r="E1683" s="26" t="inlineStr">
        <is>
          <t>Творческие мастер-классы и художественные студии</t>
        </is>
      </c>
      <c r="F1683" s="26" t="inlineStr">
        <is>
          <t>Подопечные фонда «Дети Марии» (общая группа детей и подростков)</t>
        </is>
      </c>
      <c r="G1683" s="26" t="inlineStr">
        <is>
          <t>Студия фонда / выездная площадка</t>
        </is>
      </c>
      <c r="H1683" s="26" t="inlineStr">
        <is>
          <t>Художественно-прикладные и ремесленные навыки</t>
        </is>
      </c>
      <c r="I1683" s="27" t="inlineStr">
        <is>
          <t>По формату занятия</t>
        </is>
      </c>
      <c r="J1683" s="26" t="inlineStr">
        <is>
          <t>Поздравляем вас с весною! А у нас - мастер-класс. По рисованию цветов в технике эбру.</t>
        </is>
      </c>
    </row>
    <row r="1684" ht="30" customHeight="1">
      <c r="A1684" s="28" t="n">
        <v>1580</v>
      </c>
      <c r="B1684" s="29" t="inlineStr">
        <is>
          <t>2015-02-27</t>
        </is>
      </c>
      <c r="C1684" s="30">
        <f>HYPERLINK("https://vk.com/wall-1825701_1580", "Открыть пост")</f>
        <v/>
      </c>
      <c r="D1684" s="31" t="inlineStr">
        <is>
          <t>Выездные лагеря, дача и сезонные программы</t>
        </is>
      </c>
      <c r="E1684" s="31" t="inlineStr">
        <is>
          <t>Выездные лагеря, дача и сезонные программы</t>
        </is>
      </c>
      <c r="F1684" s="31" t="inlineStr">
        <is>
          <t>Воспитанники ЦССВ, ДДИ и детских домов-интернатов; Выпускники интернатов и детских домов (молодые взрослые)</t>
        </is>
      </c>
      <c r="G1684" s="31" t="inlineStr">
        <is>
          <t>Сорочанах, ЦССВ «Спутник«, ДДИ № 28</t>
        </is>
      </c>
      <c r="H1684" s="31" t="inlineStr">
        <is>
          <t>Мобильность, выездное сопровождение и автоволонтёрство</t>
        </is>
      </c>
      <c r="I1684" s="32" t="inlineStr">
        <is>
          <t>Да (в тексте)</t>
        </is>
      </c>
      <c r="J1684" s="31" t="inlineStr">
        <is>
          <t>http://mariaschildren.ru/ru/news/2015/2/25/MWM3OTkxY С 17 по 24 февраля прошел наш зимний лагерь. В Сорочанах с нами были дети из ЦССВ "Спутник" (бывший 4 интернат) и ДДИ № 28, выпускники и волонтеры.</t>
        </is>
      </c>
    </row>
    <row r="1685" ht="30" customHeight="1">
      <c r="A1685" s="23" t="n">
        <v>1576</v>
      </c>
      <c r="B1685" s="24" t="inlineStr">
        <is>
          <t>2015-02-23</t>
        </is>
      </c>
      <c r="C1685" s="25">
        <f>HYPERLINK("https://vk.com/wall-1825701_1576", "Открыть пост")</f>
        <v/>
      </c>
      <c r="D1685" s="26" t="inlineStr">
        <is>
          <t>Творческие мастер-классы и художественные студии</t>
        </is>
      </c>
      <c r="E1685" s="26" t="inlineStr">
        <is>
          <t>Творческие мастер-классы и художественные студии; Выездные лагеря, дача и сезонные программы</t>
        </is>
      </c>
      <c r="F1685" s="26" t="inlineStr">
        <is>
          <t>Подопечные фонда «Дети Марии» (общая группа детей и подростков)</t>
        </is>
      </c>
      <c r="G1685" s="26" t="inlineStr">
        <is>
          <t>Сорочанах</t>
        </is>
      </c>
      <c r="H1685" s="26" t="inlineStr">
        <is>
          <t>Художественно-прикладные и ремесленные навыки</t>
        </is>
      </c>
      <c r="I1685" s="27" t="inlineStr">
        <is>
          <t>По формату занятия</t>
        </is>
      </c>
      <c r="J1685" s="26" t="inlineStr">
        <is>
          <t>Мастер-классы по лепке из глины и валянию цветов в Сорочанах</t>
        </is>
      </c>
    </row>
    <row r="1686" ht="30" customHeight="1">
      <c r="A1686" s="28" t="n">
        <v>1575</v>
      </c>
      <c r="B1686" s="29" t="inlineStr">
        <is>
          <t>2015-02-23</t>
        </is>
      </c>
      <c r="C1686" s="30">
        <f>HYPERLINK("https://vk.com/wall-1825701_1575", "Открыть пост")</f>
        <v/>
      </c>
      <c r="D1686" s="31" t="inlineStr">
        <is>
          <t>Выездные лагеря, дача и сезонные программы</t>
        </is>
      </c>
      <c r="E1686" s="31" t="inlineStr">
        <is>
          <t>Выездные лагеря, дача и сезонные программы; Спектакли, концерты и музыкально-театральные занятия</t>
        </is>
      </c>
      <c r="F1686" s="31" t="inlineStr">
        <is>
          <t>Подопечные фонда «Дети Марии» (общая группа детей и подростков)</t>
        </is>
      </c>
      <c r="G1686" s="31" t="inlineStr">
        <is>
          <t>Сорочанах</t>
        </is>
      </c>
      <c r="H1686" s="31" t="inlineStr">
        <is>
          <t>Артистические, музыкальные и спортивно-игровые навыки</t>
        </is>
      </c>
      <c r="I1686" s="32" t="inlineStr">
        <is>
          <t>По формату занятия</t>
        </is>
      </c>
      <c r="J1686" s="31" t="inlineStr">
        <is>
          <t>Спектакль "Три поросенка" в Сорочанах</t>
        </is>
      </c>
    </row>
    <row r="1687" ht="30" customHeight="1">
      <c r="A1687" s="23" t="n">
        <v>1572</v>
      </c>
      <c r="B1687" s="24" t="inlineStr">
        <is>
          <t>2015-02-20</t>
        </is>
      </c>
      <c r="C1687" s="25">
        <f>HYPERLINK("https://vk.com/wall-1825701_1572", "Открыть пост")</f>
        <v/>
      </c>
      <c r="D1687" s="26" t="inlineStr">
        <is>
          <t>Выездные лагеря, дача и сезонные программы</t>
        </is>
      </c>
      <c r="E1687" s="26" t="inlineStr">
        <is>
          <t>Выездные лагеря, дача и сезонные программы</t>
        </is>
      </c>
      <c r="F1687" s="26" t="inlineStr">
        <is>
          <t>Воспитанники ЦССВ, ДДИ и детских домов-интернатов</t>
        </is>
      </c>
      <c r="G1687" s="26" t="inlineStr">
        <is>
          <t>Сорочанах</t>
        </is>
      </c>
      <c r="H1687" s="26" t="inlineStr">
        <is>
          <t>Мобильность, выездное сопровождение и автоволонтёрство</t>
        </is>
      </c>
      <c r="I1687" s="27" t="inlineStr">
        <is>
          <t>По формату занятия</t>
        </is>
      </c>
      <c r="J1687" s="26" t="inlineStr">
        <is>
          <t>Мы в зимнем лагере, в Сорочанах с ребятами из 4го интерната и 28го ДДИ. Осваиваем сноуборд.</t>
        </is>
      </c>
    </row>
    <row r="1688" ht="30" customHeight="1">
      <c r="A1688" s="28" t="n">
        <v>1553</v>
      </c>
      <c r="B1688" s="29" t="inlineStr">
        <is>
          <t>2014-12-11</t>
        </is>
      </c>
      <c r="C1688" s="30">
        <f>HYPERLINK("https://vk.com/wall-1825701_1553", "Открыть пост")</f>
        <v/>
      </c>
      <c r="D1688" s="31" t="inlineStr">
        <is>
          <t>Ярмарки, фестивали и благотворительные базары</t>
        </is>
      </c>
      <c r="E1688" s="31" t="inlineStr">
        <is>
          <t>Ярмарки, фестивали и благотворительные базары</t>
        </is>
      </c>
      <c r="F1688" s="31" t="inlineStr">
        <is>
          <t>Подопечные фонда «Дети Марии» (общая группа детей и подростков)</t>
        </is>
      </c>
      <c r="G1688" s="31" t="inlineStr">
        <is>
          <t>Студия фонда / выездная площадка</t>
        </is>
      </c>
      <c r="H1688" s="31" t="inlineStr">
        <is>
          <t>Организационные, ивент- и ярмарочные навыки</t>
        </is>
      </c>
      <c r="I1688" s="32" t="inlineStr">
        <is>
          <t>По формату занятия</t>
        </is>
      </c>
      <c r="J1688" s="31" t="inlineStr">
        <is>
          <t>Ярмарки в Русгидро http://www.mariaschildren.ru/ru/news/2014/12/10/ZGFmODEyN</t>
        </is>
      </c>
    </row>
    <row r="1689" ht="30" customHeight="1">
      <c r="A1689" s="23" t="n">
        <v>1552</v>
      </c>
      <c r="B1689" s="24" t="inlineStr">
        <is>
          <t>2014-12-09</t>
        </is>
      </c>
      <c r="C1689" s="25">
        <f>HYPERLINK("https://vk.com/wall-1825701_1552", "Открыть пост")</f>
        <v/>
      </c>
      <c r="D1689" s="26" t="inlineStr">
        <is>
          <t>Ярмарки, фестивали и благотворительные базары</t>
        </is>
      </c>
      <c r="E1689" s="26" t="inlineStr">
        <is>
          <t>Ярмарки, фестивали и благотворительные базары</t>
        </is>
      </c>
      <c r="F1689" s="26" t="inlineStr">
        <is>
          <t>Подопечные фонда «Дети Марии» (общая группа детей и подростков)</t>
        </is>
      </c>
      <c r="G1689" s="26" t="inlineStr">
        <is>
          <t>Студия фонда / выездная площадка</t>
        </is>
      </c>
      <c r="H1689" s="26" t="inlineStr">
        <is>
          <t>Организационные, ивент- и ярмарочные навыки</t>
        </is>
      </c>
      <c r="I1689" s="27" t="inlineStr">
        <is>
          <t>Да (в тексте)</t>
        </is>
      </c>
      <c r="J1689" s="26" t="inlineStr">
        <is>
          <t>14 декабря на благотворительной ярмарке Душевный Bazar силами волонтеров Коалиции "PRO Отходы" будет организован раздельный сбор отходов. Каждый участник и гость ярмарки могут также принести с собой и сдать на переработку бумагу, пластиковые бутылки из-под напитков и батарейки. Ч...</t>
        </is>
      </c>
    </row>
    <row r="1690" ht="30" customHeight="1">
      <c r="A1690" s="28" t="n">
        <v>1551</v>
      </c>
      <c r="B1690" s="29" t="inlineStr">
        <is>
          <t>2014-12-09</t>
        </is>
      </c>
      <c r="C1690" s="30">
        <f>HYPERLINK("https://vk.com/wall-1825701_1551", "Открыть пост")</f>
        <v/>
      </c>
      <c r="D1690" s="31" t="inlineStr">
        <is>
          <t>Ярмарки, фестивали и благотворительные базары</t>
        </is>
      </c>
      <c r="E1690" s="31" t="inlineStr">
        <is>
          <t>Ярмарки, фестивали и благотворительные базары</t>
        </is>
      </c>
      <c r="F1690" s="31" t="inlineStr">
        <is>
          <t>Подопечные фонда «Дети Марии» (общая группа детей и подростков)</t>
        </is>
      </c>
      <c r="G1690" s="31" t="inlineStr">
        <is>
          <t>Студия фонда / выездная площадка</t>
        </is>
      </c>
      <c r="H1690" s="31" t="inlineStr">
        <is>
          <t>Организационные, ивент- и ярмарочные навыки</t>
        </is>
      </c>
      <c r="I1690" s="32" t="inlineStr">
        <is>
          <t>По формату занятия</t>
        </is>
      </c>
      <c r="J1690" s="31" t="inlineStr">
        <is>
          <t>Приглашаем на рождественские базары 11-12 декабря http://unitedway.ru/kto-my/novosti/novosti_189.html</t>
        </is>
      </c>
    </row>
    <row r="1691" ht="30" customHeight="1">
      <c r="A1691" s="23" t="n">
        <v>1545</v>
      </c>
      <c r="B1691" s="24" t="inlineStr">
        <is>
          <t>2014-11-27</t>
        </is>
      </c>
      <c r="C1691" s="25">
        <f>HYPERLINK("https://vk.com/wall-1825701_1545", "Открыть пост")</f>
        <v/>
      </c>
      <c r="D1691" s="26" t="inlineStr">
        <is>
          <t>Ярмарки, фестивали и благотворительные базары</t>
        </is>
      </c>
      <c r="E1691" s="26" t="inlineStr">
        <is>
          <t>Ярмарки, фестивали и благотворительные базары; Выездные лагеря, дача и сезонные программы</t>
        </is>
      </c>
      <c r="F1691" s="26" t="inlineStr">
        <is>
          <t>Подопечные фонда «Дети Марии» (общая группа детей и подростков)</t>
        </is>
      </c>
      <c r="G1691" s="26" t="inlineStr">
        <is>
          <t>Студия фонда / выездная площадка</t>
        </is>
      </c>
      <c r="H1691" s="26" t="inlineStr">
        <is>
          <t>Организационные, ивент- и ярмарочные навыки; Мобильность, выездное сопровождение и автоволонтёрство</t>
        </is>
      </c>
      <c r="I1691" s="27" t="inlineStr">
        <is>
          <t>По формату занятия</t>
        </is>
      </c>
      <c r="J1691" s="26" t="inlineStr">
        <is>
          <t>Начались новогодние ярмарки. Собранные на них средства по традиции пойдут на наш зимний лагерь http://www.mariaschildren.ru/ru/news/2014/11/26/ZjZmOTc4N</t>
        </is>
      </c>
    </row>
    <row r="1692" ht="30" customHeight="1">
      <c r="A1692" s="28" t="n">
        <v>1530</v>
      </c>
      <c r="B1692" s="29" t="inlineStr">
        <is>
          <t>2014-11-12</t>
        </is>
      </c>
      <c r="C1692" s="30">
        <f>HYPERLINK("https://vk.com/wall-1825701_1530", "Открыть пост")</f>
        <v/>
      </c>
      <c r="D1692" s="31" t="inlineStr">
        <is>
          <t>Выставки, экскурсии и культурные выходы</t>
        </is>
      </c>
      <c r="E1692" s="31" t="inlineStr">
        <is>
          <t>Выставки, экскурсии и культурные выходы; Спектакли, концерты и музыкально-театральные занятия</t>
        </is>
      </c>
      <c r="F1692" s="31" t="inlineStr">
        <is>
          <t>Подопечные фонда «Дети Марии» (общая группа детей и подростков)</t>
        </is>
      </c>
      <c r="G1692" s="31" t="inlineStr">
        <is>
          <t>Студия фонда / выездная площадка</t>
        </is>
      </c>
      <c r="H1692" s="31" t="inlineStr">
        <is>
          <t>Коммуникативные навыки, эмпатия и тьюторское сопровождение; Артистические, музыкальные и спортивно-игровые навыки</t>
        </is>
      </c>
      <c r="I1692" s="32" t="inlineStr">
        <is>
          <t>По формату занятия</t>
        </is>
      </c>
      <c r="J1692" s="31" t="inlineStr">
        <is>
          <t>У нас сегодня прошло Открытие выставки в ЦДХ. Были дети из всех наших интернатов, клоуны со всего света, концерт, фуршет от Росинтера и Кока-колы, много дружеского общения на разных языках, улыбок, объятий. Выставка работает до 19 ноября, приходите! Зал №10</t>
        </is>
      </c>
    </row>
    <row r="1693" ht="30" customHeight="1">
      <c r="A1693" s="23" t="n">
        <v>1527</v>
      </c>
      <c r="B1693" s="24" t="inlineStr">
        <is>
          <t>2014-11-10</t>
        </is>
      </c>
      <c r="C1693" s="25">
        <f>HYPERLINK("https://vk.com/wall-1825701_1527", "Открыть пост")</f>
        <v/>
      </c>
      <c r="D1693" s="26" t="inlineStr">
        <is>
          <t>Выставки, экскурсии и культурные выходы</t>
        </is>
      </c>
      <c r="E1693" s="26" t="inlineStr">
        <is>
          <t>Выставки, экскурсии и культурные выходы</t>
        </is>
      </c>
      <c r="F1693" s="26" t="inlineStr">
        <is>
          <t>Подопечные фонда «Дети Марии» (общая группа детей и подростков)</t>
        </is>
      </c>
      <c r="G1693" s="26" t="inlineStr">
        <is>
          <t>Студия фонда / выездная площадка</t>
        </is>
      </c>
      <c r="H1693" s="26" t="inlineStr">
        <is>
          <t>Коммуникативные навыки, эмпатия и тьюторское сопровождение</t>
        </is>
      </c>
      <c r="I1693" s="27" t="inlineStr">
        <is>
          <t>По формату занятия</t>
        </is>
      </c>
      <c r="J1693" s="26" t="inlineStr">
        <is>
          <t>Вчера-сегодня развеска нашей выставки в ЦДХ. С завтрашнего дня и до 19 ноября - приходите смотреть! Мы в 10 зале. Спасибо за помощь с погрузкой и развеской Леше, Руслану, Саше и Михаилу.</t>
        </is>
      </c>
    </row>
    <row r="1694" ht="30" customHeight="1">
      <c r="A1694" s="28" t="n">
        <v>1523</v>
      </c>
      <c r="B1694" s="29" t="inlineStr">
        <is>
          <t>2014-10-03</t>
        </is>
      </c>
      <c r="C1694" s="30">
        <f>HYPERLINK("https://vk.com/wall-1825701_1523", "Открыть пост")</f>
        <v/>
      </c>
      <c r="D1694" s="31" t="inlineStr">
        <is>
          <t>Спектакли, концерты и музыкально-театральные занятия</t>
        </is>
      </c>
      <c r="E1694" s="31" t="inlineStr">
        <is>
          <t>Спектакли, концерты и музыкально-театральные занятия</t>
        </is>
      </c>
      <c r="F1694" s="31" t="inlineStr">
        <is>
          <t>Подопечные фонда «Дети Марии» (общая группа детей и подростков)</t>
        </is>
      </c>
      <c r="G1694" s="31" t="inlineStr">
        <is>
          <t>Студия фонда / выездная площадка</t>
        </is>
      </c>
      <c r="H1694" s="31" t="inlineStr">
        <is>
          <t>Артистические, музыкальные и спортивно-игровые навыки</t>
        </is>
      </c>
      <c r="I1694" s="32" t="inlineStr">
        <is>
          <t>По формату занятия</t>
        </is>
      </c>
      <c r="J1694" s="31" t="inlineStr">
        <is>
          <t>Благотворительное собрание "Все вместе" Друзья, публикуем расписание музыкальных выступлений на Дне радости 4-го октября. Тот самый наш праздничный концерт. Не пропустите! 13.00 - Этери Бериашвили (проект "Голос") 14.00 - Светлана Степченко (альт) 15.00 - Елена Цыплакова (гитара)...</t>
        </is>
      </c>
    </row>
    <row r="1695" ht="30" customHeight="1">
      <c r="A1695" s="23" t="n">
        <v>1517</v>
      </c>
      <c r="B1695" s="24" t="inlineStr">
        <is>
          <t>2014-09-22</t>
        </is>
      </c>
      <c r="C1695" s="25">
        <f>HYPERLINK("https://vk.com/wall-1825701_1517", "Открыть пост")</f>
        <v/>
      </c>
      <c r="D1695" s="26" t="inlineStr">
        <is>
          <t>Ярмарки, фестивали и благотворительные базары</t>
        </is>
      </c>
      <c r="E1695" s="26" t="inlineStr">
        <is>
          <t>Ярмарки, фестивали и благотворительные базары; Выставки, экскурсии и культурные выходы; Спектакли, концерты и музыкально-театральные занятия; Творческие мастер-классы и художественные студии</t>
        </is>
      </c>
      <c r="F1695" s="26" t="inlineStr">
        <is>
          <t>Подопечные фонда «Дети Марии» (общая группа детей и подростков)</t>
        </is>
      </c>
      <c r="G1695" s="26" t="inlineStr">
        <is>
          <t>Студия фонда / выездная площадка</t>
        </is>
      </c>
      <c r="H1695" s="26" t="inlineStr">
        <is>
          <t>Артистические, музыкальные и спортивно-игровые навыки; Организационные, ивент- и ярмарочные навыки; Медиа, фото/видеосъёмка и культурная медиация</t>
        </is>
      </c>
      <c r="I1695" s="27" t="inlineStr">
        <is>
          <t>Да (в тексте)</t>
        </is>
      </c>
      <c r="J1695" s="26" t="inlineStr">
        <is>
          <t>Праздник “День Радости”- Фестиваль благотворительного собрания “Все вместе” Пройдет в Музей Москвы, по адресу Зубовская площадь, 2 4 октября с 12.00 до 20.00 Семейный благотворительный фестиваль «День радости» проходит уже второй год. В этом году в здании бывших Провиантских скла...</t>
        </is>
      </c>
    </row>
    <row r="1696" ht="30" customHeight="1">
      <c r="A1696" s="28" t="n">
        <v>1516</v>
      </c>
      <c r="B1696" s="29" t="inlineStr">
        <is>
          <t>2014-09-17</t>
        </is>
      </c>
      <c r="C1696" s="30">
        <f>HYPERLINK("https://vk.com/wall-1825701_1516", "Открыть пост")</f>
        <v/>
      </c>
      <c r="D1696" s="31" t="inlineStr">
        <is>
          <t>Ярмарки, фестивали и благотворительные базары</t>
        </is>
      </c>
      <c r="E1696" s="31" t="inlineStr">
        <is>
          <t>Ярмарки, фестивали и благотворительные базары</t>
        </is>
      </c>
      <c r="F1696" s="31" t="inlineStr">
        <is>
          <t>Подопечные фонда «Дети Марии» (общая группа детей и подростков)</t>
        </is>
      </c>
      <c r="G1696" s="31" t="inlineStr">
        <is>
          <t>Студия фонда / выездная площадка</t>
        </is>
      </c>
      <c r="H1696" s="31" t="inlineStr">
        <is>
          <t>Организационные, ивент- и ярмарочные навыки</t>
        </is>
      </c>
      <c r="I1696" s="32" t="inlineStr">
        <is>
          <t>По формату занятия</t>
        </is>
      </c>
      <c r="J1696" s="31" t="inlineStr">
        <is>
          <t>Если у кого-то есть ненужные, но хорошие детские и взрослые книги и виниловые пластинки - все это можно отдать на благотворительную ярмарку во Все-вместе http://www.wse-wmeste.ru/news/show_623/</t>
        </is>
      </c>
    </row>
    <row r="1697" ht="30" customHeight="1">
      <c r="A1697" s="23" t="n">
        <v>1514</v>
      </c>
      <c r="B1697" s="24" t="inlineStr">
        <is>
          <t>2014-09-16</t>
        </is>
      </c>
      <c r="C1697" s="25">
        <f>HYPERLINK("https://vk.com/wall-1825701_1514", "Открыть пост")</f>
        <v/>
      </c>
      <c r="D1697" s="26" t="inlineStr">
        <is>
          <t>Спектакли, концерты и музыкально-театральные занятия</t>
        </is>
      </c>
      <c r="E1697" s="26" t="inlineStr">
        <is>
          <t>Спектакли, концерты и музыкально-театральные занятия; Волонтёрские встречи, обучение и дни открытых дверей; Творческие мастер-классы и художественные студии</t>
        </is>
      </c>
      <c r="F1697" s="26" t="inlineStr">
        <is>
          <t>Подопечные фонда «Дети Марии» (общая группа детей и подростков)</t>
        </is>
      </c>
      <c r="G1697" s="26" t="inlineStr">
        <is>
          <t>Студия фонда / выездная площадка</t>
        </is>
      </c>
      <c r="H1697" s="26" t="inlineStr">
        <is>
          <t>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t>
        </is>
      </c>
      <c r="I1697" s="27" t="inlineStr">
        <is>
          <t>Да (в тексте)</t>
        </is>
      </c>
      <c r="J1697" s="26" t="inlineStr">
        <is>
          <t>Дорогие друзья! ДЕТИ МАРИИ приглашают на праздник – День открытых дверей досуговых центров Тверского района, на территории которого мы находимся. Уже не первый год мы с нашими ребятами и воспитателями, волонтерами и преподавателями приходим в сквер на Миуссах. Смотрим концерт, уч...</t>
        </is>
      </c>
    </row>
    <row r="1698" ht="30" customHeight="1">
      <c r="A1698" s="28" t="n">
        <v>1508</v>
      </c>
      <c r="B1698" s="29" t="inlineStr">
        <is>
          <t>2014-09-06</t>
        </is>
      </c>
      <c r="C1698" s="30">
        <f>HYPERLINK("https://vk.com/wall-1825701_1508", "Открыть пост")</f>
        <v/>
      </c>
      <c r="D1698" s="31" t="inlineStr">
        <is>
          <t>Ярмарки, фестивали и благотворительные базары</t>
        </is>
      </c>
      <c r="E1698" s="31" t="inlineStr">
        <is>
          <t>Ярмарки, фестивали и благотворительные базары</t>
        </is>
      </c>
      <c r="F1698" s="31" t="inlineStr">
        <is>
          <t>Подопечные фонда «Дети Марии» (общая группа детей и подростков)</t>
        </is>
      </c>
      <c r="G1698" s="31" t="inlineStr">
        <is>
          <t>Студия фонда / выездная площадка</t>
        </is>
      </c>
      <c r="H1698" s="31" t="inlineStr">
        <is>
          <t>Организационные, ивент- и ярмарочные навыки</t>
        </is>
      </c>
      <c r="I1698" s="32" t="inlineStr">
        <is>
          <t>Да (в тексте)</t>
        </is>
      </c>
      <c r="J1698" s="31" t="inlineStr">
        <is>
          <t>Сегодня, в день города, на фестивале "Добрая Москва" во время ярмарки нами собрано 14 850 рублей. Благодарим всех, кто делал нам пожертвования! Спасибо Департаменту культуры города Москвы, всем организаторам и устроителям ярмарки! Спасибо волонтерам Мише и Сереже за помощь!</t>
        </is>
      </c>
    </row>
    <row r="1699" ht="30" customHeight="1">
      <c r="A1699" s="23" t="n">
        <v>1504</v>
      </c>
      <c r="B1699" s="24" t="inlineStr">
        <is>
          <t>2014-09-03</t>
        </is>
      </c>
      <c r="C1699" s="25">
        <f>HYPERLINK("https://vk.com/wall-1825701_1504", "Открыть пост")</f>
        <v/>
      </c>
      <c r="D1699" s="26" t="inlineStr">
        <is>
          <t>Ярмарки, фестивали и благотворительные базары</t>
        </is>
      </c>
      <c r="E1699" s="26" t="inlineStr">
        <is>
          <t>Ярмарки, фестивали и благотворительные базары; Спортивные и активные мероприятия</t>
        </is>
      </c>
      <c r="F1699" s="26" t="inlineStr">
        <is>
          <t>Подопечные фонда «Дети Марии» (общая группа детей и подростков)</t>
        </is>
      </c>
      <c r="G1699" s="26" t="inlineStr">
        <is>
          <t>Студия фонда / выездная площадка</t>
        </is>
      </c>
      <c r="H1699" s="26" t="inlineStr">
        <is>
          <t>Артистические, музыкальные и спортивно-игровые навыки; Организационные, ивент- и ярмарочные навыки</t>
        </is>
      </c>
      <c r="I1699" s="27" t="inlineStr">
        <is>
          <t>По формату занятия</t>
        </is>
      </c>
      <c r="J1699" s="26" t="inlineStr">
        <is>
          <t>ГЛАВНЫЙ ПРИЗ - ВЕЛОСИПЕД! Хочешь стать обладателем легендарного американского круизера марки Electra? https://vk.com/electrabike Тогда приходи 6 сентября на фестиваль благотворительных фондов «Добрая Москва» и прими участие в розыгрыше, главным призом которого станет велосипед Cr...</t>
        </is>
      </c>
    </row>
    <row r="1700" ht="30" customHeight="1">
      <c r="A1700" s="28" t="n">
        <v>1503</v>
      </c>
      <c r="B1700" s="29" t="inlineStr">
        <is>
          <t>2014-08-29</t>
        </is>
      </c>
      <c r="C1700" s="30">
        <f>HYPERLINK("https://vk.com/wall-1825701_1503", "Открыть пост")</f>
        <v/>
      </c>
      <c r="D1700" s="31" t="inlineStr">
        <is>
          <t>Ярмарки, фестивали и благотворительные базары</t>
        </is>
      </c>
      <c r="E1700" s="31" t="inlineStr">
        <is>
          <t>Ярмарки, фестивали и благотворительные базары</t>
        </is>
      </c>
      <c r="F1700" s="31" t="inlineStr">
        <is>
          <t>Подопечные фонда «Дети Марии» (общая группа детей и подростков)</t>
        </is>
      </c>
      <c r="G1700" s="31" t="inlineStr">
        <is>
          <t>Студия фонда / выездная площадка</t>
        </is>
      </c>
      <c r="H1700" s="31" t="inlineStr">
        <is>
          <t>Коммуникативные навыки, эмпатия и тьюторское сопровождение</t>
        </is>
      </c>
      <c r="I1700" s="32" t="inlineStr">
        <is>
          <t>По формату занятия</t>
        </is>
      </c>
      <c r="J1700" s="31" t="inlineStr">
        <is>
          <t>Приходите в день города на фестиваль Добрая Москва! Мы тоже участвуем.</t>
        </is>
      </c>
    </row>
    <row r="1701" ht="30" customHeight="1">
      <c r="A1701" s="23" t="n">
        <v>1499</v>
      </c>
      <c r="B1701" s="24" t="inlineStr">
        <is>
          <t>2014-07-30</t>
        </is>
      </c>
      <c r="C1701" s="25">
        <f>HYPERLINK("https://vk.com/wall-1825701_1499", "Открыть пост")</f>
        <v/>
      </c>
      <c r="D1701" s="26" t="inlineStr">
        <is>
          <t>Выездные лагеря, дача и сезонные программы</t>
        </is>
      </c>
      <c r="E1701" s="26" t="inlineStr">
        <is>
          <t>Выездные лагеря, дача и сезонные программы</t>
        </is>
      </c>
      <c r="F1701" s="26" t="inlineStr">
        <is>
          <t>Подопечные фонда «Дети Марии» (общая группа детей и подростков)</t>
        </is>
      </c>
      <c r="G1701" s="26" t="inlineStr">
        <is>
          <t>Студия фонда / выездная площадка</t>
        </is>
      </c>
      <c r="H1701" s="26" t="inlineStr">
        <is>
          <t>Мобильность, выездное сопровождение и автоволонтёрство</t>
        </is>
      </c>
      <c r="I1701" s="27" t="inlineStr">
        <is>
          <t>По формату занятия</t>
        </is>
      </c>
      <c r="J1701" s="26" t="inlineStr">
        <is>
          <t>Вот здесь будут выложены фотки из летнего лагеря http://fotki.yandex.ru/users/mariaschildren/album/149764/ Приятных вам просмотров и воспоминаний!</t>
        </is>
      </c>
    </row>
    <row r="1702" ht="30" customHeight="1">
      <c r="A1702" s="28" t="n">
        <v>1493</v>
      </c>
      <c r="B1702" s="29" t="inlineStr">
        <is>
          <t>2014-05-30</t>
        </is>
      </c>
      <c r="C1702" s="30">
        <f>HYPERLINK("https://vk.com/wall-1825701_1493", "Открыть пост")</f>
        <v/>
      </c>
      <c r="D1702" s="31" t="inlineStr">
        <is>
          <t>Выездные лагеря, дача и сезонные программы</t>
        </is>
      </c>
      <c r="E1702" s="31" t="inlineStr">
        <is>
          <t>Выездные лагеря, дача и сезонные программы; Ярмарки, фестивали и благотворительные базары</t>
        </is>
      </c>
      <c r="F1702" s="31" t="inlineStr">
        <is>
          <t>Дети и семьи (в т.ч. приёмные семьи и программа в Беслане)</t>
        </is>
      </c>
      <c r="G1702" s="31" t="inlineStr">
        <is>
          <t>Беслан</t>
        </is>
      </c>
      <c r="H1702" s="31" t="inlineStr">
        <is>
          <t>Организационные, ивент- и ярмарочные навыки; Мобильность, выездное сопровождение и автоволонтёрство</t>
        </is>
      </c>
      <c r="I1702" s="32" t="inlineStr">
        <is>
          <t>Да (в тексте)</t>
        </is>
      </c>
      <c r="J1702" s="31" t="inlineStr">
        <is>
          <t>На ярмарке в РусГидро нами собрано за два дня 52700 рублей! Спасибо вам, щедрые и неравнодушные сотрудники РусГидро! Эти средства будут потрачены на материалы для занятий в летнем лагере и билеты для приезда в лагерь наших волонтеров из Беслана.</t>
        </is>
      </c>
    </row>
    <row r="1703" ht="30" customHeight="1">
      <c r="A1703" s="23" t="n">
        <v>1490</v>
      </c>
      <c r="B1703" s="24" t="inlineStr">
        <is>
          <t>2014-05-23</t>
        </is>
      </c>
      <c r="C1703" s="25">
        <f>HYPERLINK("https://vk.com/wall-1825701_1490", "Открыть пост")</f>
        <v/>
      </c>
      <c r="D1703" s="26" t="inlineStr">
        <is>
          <t>Выставки, экскурсии и культурные выходы</t>
        </is>
      </c>
      <c r="E1703" s="26" t="inlineStr">
        <is>
          <t>Выставки, экскурсии и культурные выходы; Творческие мастер-классы и художественные студии</t>
        </is>
      </c>
      <c r="F1703" s="26" t="inlineStr">
        <is>
          <t>Подростки и взрослые с ментальными особенностями и ОВЗ (ПНИ / Социальные дома); Воспитанники ЦССВ, ДДИ и детских домов-интернатов</t>
        </is>
      </c>
      <c r="G1703" s="26" t="inlineStr">
        <is>
          <t>ПНИ №16</t>
        </is>
      </c>
      <c r="H1703" s="26" t="inlineStr">
        <is>
          <t>Художественно-прикладные и ремесленные навыки</t>
        </is>
      </c>
      <c r="I1703" s="27" t="inlineStr">
        <is>
          <t>По формату занятия</t>
        </is>
      </c>
      <c r="J1703" s="26" t="inlineStr">
        <is>
          <t>Музей наивного искусства и Городской социокультурный центр «Надежда» представляет выставку «Наив и не только» с участием художников и мастеров прикладного искусства, чьи физические возможности ограничены. Живопись и декоративно-прикладное искусство 21 мая – 15 июня 2014 Москва, И...</t>
        </is>
      </c>
    </row>
    <row r="1704" ht="30" customHeight="1">
      <c r="A1704" s="28" t="n">
        <v>1489</v>
      </c>
      <c r="B1704" s="29" t="inlineStr">
        <is>
          <t>2014-05-23</t>
        </is>
      </c>
      <c r="C1704" s="30">
        <f>HYPERLINK("https://vk.com/wall-1825701_1489", "Открыть пост")</f>
        <v/>
      </c>
      <c r="D1704" s="31" t="inlineStr">
        <is>
          <t>Праздники, дни рождения и клубные встречи</t>
        </is>
      </c>
      <c r="E1704" s="31" t="inlineStr">
        <is>
          <t>Праздники, дни рождения и клубные встречи</t>
        </is>
      </c>
      <c r="F1704" s="31" t="inlineStr">
        <is>
          <t>Подопечные фонда «Дети Марии» (общая группа детей и подростков)</t>
        </is>
      </c>
      <c r="G1704" s="31" t="inlineStr">
        <is>
          <t>Студия фонда / выездная площадка</t>
        </is>
      </c>
      <c r="H1704" s="31" t="inlineStr">
        <is>
          <t>Артистические, музыкальные и спортивно-игровые навыки; Организационные, ивент- и ярмарочные навыки</t>
        </is>
      </c>
      <c r="I1704" s="32" t="inlineStr">
        <is>
          <t>Да (в тексте)</t>
        </is>
      </c>
      <c r="J1704" s="31" t="inlineStr">
        <is>
          <t>ПРИГЛАШЕНИЕ Сотрудников, волонтеров, всех друзей студии приглашают на Праздник славянской культуры и письменности на Красную площадь. Праздник состоится в субботу 24 мая, с 12 до 14 часов. Нас приглашает Управа Тверского района, мероприятие городское, в прошлом году было интересн...</t>
        </is>
      </c>
    </row>
    <row r="1705" ht="30" customHeight="1">
      <c r="A1705" s="23" t="n">
        <v>1461</v>
      </c>
      <c r="B1705" s="24" t="inlineStr">
        <is>
          <t>2014-03-07</t>
        </is>
      </c>
      <c r="C1705" s="25">
        <f>HYPERLINK("https://vk.com/wall-1825701_1461", "Открыть пост")</f>
        <v/>
      </c>
      <c r="D1705" s="26" t="inlineStr">
        <is>
          <t>Выездные лагеря, дача и сезонные программы</t>
        </is>
      </c>
      <c r="E1705" s="26" t="inlineStr">
        <is>
          <t>Выездные лагеря, дача и сезонные программы</t>
        </is>
      </c>
      <c r="F1705" s="26" t="inlineStr">
        <is>
          <t>Подопечные фонда «Дети Марии» (общая группа детей и подростков)</t>
        </is>
      </c>
      <c r="G1705" s="26" t="inlineStr">
        <is>
          <t>Сорочанах</t>
        </is>
      </c>
      <c r="H1705" s="26" t="inlineStr">
        <is>
          <t>Мобильность, выездное сопровождение и автоволонтёрство</t>
        </is>
      </c>
      <c r="I1705" s="27" t="inlineStr">
        <is>
          <t>По формату занятия</t>
        </is>
      </c>
      <c r="J1705" s="26" t="inlineStr">
        <is>
          <t>Зимний лагерь в Сорочанах</t>
        </is>
      </c>
    </row>
    <row r="1706" ht="30" customHeight="1">
      <c r="A1706" s="28" t="n">
        <v>1444</v>
      </c>
      <c r="B1706" s="29" t="inlineStr">
        <is>
          <t>2013-12-10</t>
        </is>
      </c>
      <c r="C1706" s="30">
        <f>HYPERLINK("https://vk.com/wall-1825701_1444", "Открыть пост")</f>
        <v/>
      </c>
      <c r="D1706" s="31" t="inlineStr">
        <is>
          <t>Ярмарки, фестивали и благотворительные базары</t>
        </is>
      </c>
      <c r="E1706" s="31" t="inlineStr">
        <is>
          <t>Ярмарки, фестивали и благотворительные базары; Творческие мастер-классы и художественные студии</t>
        </is>
      </c>
      <c r="F1706" s="31" t="inlineStr">
        <is>
          <t>Подопечные фонда «Дети Марии» (общая группа детей и подростков)</t>
        </is>
      </c>
      <c r="G1706" s="31" t="inlineStr">
        <is>
          <t>Студия фонда / выездная площадка</t>
        </is>
      </c>
      <c r="H1706" s="31" t="inlineStr">
        <is>
          <t>Педагогические и наставнические навыки (кулинария, быт, учёба); Организационные, ивент- и ярмарочные навыки</t>
        </is>
      </c>
      <c r="I1706" s="32" t="inlineStr">
        <is>
          <t>По формату занятия</t>
        </is>
      </c>
      <c r="J1706" s="31" t="inlineStr">
        <is>
          <t>Душевный Базар ждет всех уже в это воскресенье. Сокольники, с 11 до 19 часов. Наши ребята будут кроме всего прочего проводить мастер-класс, обучая всех желающих жонглировать в 15 часов. Про остальные развлечения здесь: https://www.facebook.com/events/1452895654937414/146117895744...</t>
        </is>
      </c>
    </row>
    <row r="1707" ht="30" customHeight="1">
      <c r="A1707" s="23" t="n">
        <v>1402</v>
      </c>
      <c r="B1707" s="24" t="inlineStr">
        <is>
          <t>2013-09-19</t>
        </is>
      </c>
      <c r="C1707" s="25">
        <f>HYPERLINK("https://vk.com/wall-1825701_1402", "Открыть пост")</f>
        <v/>
      </c>
      <c r="D1707" s="26" t="inlineStr">
        <is>
          <t>Ярмарки, фестивали и благотворительные базары</t>
        </is>
      </c>
      <c r="E1707" s="26" t="inlineStr">
        <is>
          <t>Ярмарки, фестивали и благотворительные базары</t>
        </is>
      </c>
      <c r="F1707" s="26" t="inlineStr">
        <is>
          <t>Подопечные фонда «Дети Марии» (общая группа детей и подростков)</t>
        </is>
      </c>
      <c r="G1707" s="26" t="inlineStr">
        <is>
          <t>Студия фонда / выездная площадка</t>
        </is>
      </c>
      <c r="H1707" s="26" t="inlineStr">
        <is>
          <t>Организационные, ивент- и ярмарочные навыки</t>
        </is>
      </c>
      <c r="I1707" s="27" t="inlineStr">
        <is>
          <t>По формату занятия</t>
        </is>
      </c>
      <c r="J1707" s="26" t="inlineStr">
        <is>
          <t>Душевный базар. Проголосуйте, друзья, займет минуту времени, денег не надо!)) http://www.molmsk.ru/projects/view/38</t>
        </is>
      </c>
    </row>
    <row r="1708" ht="30" customHeight="1">
      <c r="A1708" s="28" t="n">
        <v>1392</v>
      </c>
      <c r="B1708" s="29" t="inlineStr">
        <is>
          <t>2013-09-10</t>
        </is>
      </c>
      <c r="C1708" s="30">
        <f>HYPERLINK("https://vk.com/wall-1825701_1392", "Открыть пост")</f>
        <v/>
      </c>
      <c r="D1708" s="31" t="inlineStr">
        <is>
          <t>Выездные лагеря, дача и сезонные программы</t>
        </is>
      </c>
      <c r="E1708" s="31" t="inlineStr">
        <is>
          <t>Выездные лагеря, дача и сезонные программы; Спектакли, концерты и музыкально-театральные занятия</t>
        </is>
      </c>
      <c r="F1708" s="31" t="inlineStr">
        <is>
          <t>Подопечные фонда «Дети Марии» (общая группа детей и подростков)</t>
        </is>
      </c>
      <c r="G1708" s="31" t="inlineStr">
        <is>
          <t>Сорочанах</t>
        </is>
      </c>
      <c r="H1708" s="31" t="inlineStr">
        <is>
          <t>Артистические, музыкальные и спортивно-игровые навыки</t>
        </is>
      </c>
      <c r="I1708" s="32" t="inlineStr">
        <is>
          <t>По формату занятия</t>
        </is>
      </c>
      <c r="J1708" s="31" t="inlineStr">
        <is>
          <t>Концерт в Сорочанах-07. 2013</t>
        </is>
      </c>
    </row>
    <row r="1709" ht="30" customHeight="1">
      <c r="A1709" s="23" t="n">
        <v>1376</v>
      </c>
      <c r="B1709" s="24" t="inlineStr">
        <is>
          <t>2013-08-17</t>
        </is>
      </c>
      <c r="C1709" s="25">
        <f>HYPERLINK("https://vk.com/wall-1825701_1376", "Открыть пост")</f>
        <v/>
      </c>
      <c r="D1709" s="26" t="inlineStr">
        <is>
          <t>Выездные лагеря, дача и сезонные программы</t>
        </is>
      </c>
      <c r="E1709" s="26" t="inlineStr">
        <is>
          <t>Выездные лагеря, дача и сезонные программы</t>
        </is>
      </c>
      <c r="F1709" s="26" t="inlineStr">
        <is>
          <t>Подопечные фонда «Дети Марии» (общая группа детей и подростков)</t>
        </is>
      </c>
      <c r="G1709" s="26" t="inlineStr">
        <is>
          <t>Студия фонда / выездная площадка</t>
        </is>
      </c>
      <c r="H1709" s="26" t="inlineStr">
        <is>
          <t>Мобильность, выездное сопровождение и автоволонтёрство</t>
        </is>
      </c>
      <c r="I1709" s="27" t="inlineStr">
        <is>
          <t>По формату занятия</t>
        </is>
      </c>
      <c r="J1709" s="26" t="inlineStr">
        <is>
          <t>Летний лагерь "Наша семейка"</t>
        </is>
      </c>
    </row>
    <row r="1710" ht="30" customHeight="1">
      <c r="A1710" s="28" t="n">
        <v>1318</v>
      </c>
      <c r="B1710" s="29" t="inlineStr">
        <is>
          <t>2013-07-15</t>
        </is>
      </c>
      <c r="C1710" s="30">
        <f>HYPERLINK("https://vk.com/wall-1825701_1318", "Открыть пост")</f>
        <v/>
      </c>
      <c r="D1710" s="31" t="inlineStr">
        <is>
          <t>Выездные лагеря, дача и сезонные программы</t>
        </is>
      </c>
      <c r="E1710" s="31" t="inlineStr">
        <is>
          <t>Выездные лагеря, дача и сезонные программы</t>
        </is>
      </c>
      <c r="F1710" s="31" t="inlineStr">
        <is>
          <t>Подопечные фонда «Дети Марии» (общая группа детей и подростков)</t>
        </is>
      </c>
      <c r="G1710" s="31" t="inlineStr">
        <is>
          <t>Студия фонда / выездная площадка</t>
        </is>
      </c>
      <c r="H1710" s="31" t="inlineStr">
        <is>
          <t>Педагогические и наставнические навыки (кулинария, быт, учёба); Мобильность, выездное сопровождение и автоволонтёрство</t>
        </is>
      </c>
      <c r="I1710" s="32" t="inlineStr">
        <is>
          <t>По формату занятия</t>
        </is>
      </c>
      <c r="J1710" s="31" t="inlineStr">
        <is>
          <t>Дети Марии в лагере. Готовимся к приезду детей. Украшаем домики в разные цвета, чтобы дети их легче отличали.))</t>
        </is>
      </c>
    </row>
    <row r="1711" ht="30" customHeight="1">
      <c r="A1711" s="23" t="n">
        <v>1300</v>
      </c>
      <c r="B1711" s="24" t="inlineStr">
        <is>
          <t>2013-05-31</t>
        </is>
      </c>
      <c r="C1711" s="25">
        <f>HYPERLINK("https://vk.com/wall-1825701_1300", "Открыть пост")</f>
        <v/>
      </c>
      <c r="D1711" s="26" t="inlineStr">
        <is>
          <t>Выездные лагеря, дача и сезонные программы</t>
        </is>
      </c>
      <c r="E1711" s="26" t="inlineStr">
        <is>
          <t>Выездные лагеря, дача и сезонные программы; Кулинарные, образовательные и социально-бытовые занятия</t>
        </is>
      </c>
      <c r="F1711" s="26" t="inlineStr">
        <is>
          <t>Подопечные фонда «Дети Марии» (общая группа детей и подростков)</t>
        </is>
      </c>
      <c r="G1711" s="26" t="inlineStr">
        <is>
          <t>Студия фонда / выездная площадка</t>
        </is>
      </c>
      <c r="H1711" s="26" t="inlineStr">
        <is>
          <t>Мобильность, выездное сопровождение и автоволонтёрство</t>
        </is>
      </c>
      <c r="I1711" s="27" t="inlineStr">
        <is>
          <t>По формату занятия</t>
        </is>
      </c>
      <c r="J1711" s="26" t="inlineStr">
        <is>
          <t>Мультфильм &lt;Мэри и Макс&gt; переносим на среду 5-го июня. Связи с отъездом детей в лагерь, большая часть участников "Киноклуба" пойдут провожать детей на вокзал!</t>
        </is>
      </c>
    </row>
    <row r="1712" ht="30" customHeight="1">
      <c r="A1712" s="28" t="n">
        <v>1257</v>
      </c>
      <c r="B1712" s="29" t="inlineStr">
        <is>
          <t>2013-04-01</t>
        </is>
      </c>
      <c r="C1712" s="30">
        <f>HYPERLINK("https://vk.com/wall-1825701_1257", "Открыть пост")</f>
        <v/>
      </c>
      <c r="D1712" s="31" t="inlineStr">
        <is>
          <t>Выставки, экскурсии и культурные выходы</t>
        </is>
      </c>
      <c r="E1712" s="31" t="inlineStr">
        <is>
          <t>Выставки, экскурсии и культурные выходы</t>
        </is>
      </c>
      <c r="F1712" s="31" t="inlineStr">
        <is>
          <t>Широкая аудитория, гости и благотворители (открытые события)</t>
        </is>
      </c>
      <c r="G1712" s="31" t="inlineStr">
        <is>
          <t>Студия фонда / выездная площадка</t>
        </is>
      </c>
      <c r="H1712" s="31" t="inlineStr">
        <is>
          <t>Коммуникативные навыки, эмпатия и тьюторское сопровождение; Артистические, музыкальные и спортивно-игровые навыки</t>
        </is>
      </c>
      <c r="I1712" s="32" t="inlineStr">
        <is>
          <t>Да (в тексте)</t>
        </is>
      </c>
      <c r="J1712" s="31" t="inlineStr">
        <is>
          <t>Дорогие друзья и родственники, волонтёры и все-все-все! Приглашаем вас 2 апреля в 16 часов на наш театральный проект. Ребята из 4го интерната покажут финал из «Укрощения строптивой» и отрывок из «Двенадцатой ночи» Шекспира. Очень ждём вас в Музее Островского (Тверская, 14). Ваша ...</t>
        </is>
      </c>
    </row>
    <row r="1713" ht="30" customHeight="1">
      <c r="A1713" s="23" t="n">
        <v>1237</v>
      </c>
      <c r="B1713" s="24" t="inlineStr">
        <is>
          <t>2012-12-06</t>
        </is>
      </c>
      <c r="C1713" s="25">
        <f>HYPERLINK("https://vk.com/wall-1825701_1237", "Открыть пост")</f>
        <v/>
      </c>
      <c r="D1713" s="26" t="inlineStr">
        <is>
          <t>Ярмарки, фестивали и благотворительные базары</t>
        </is>
      </c>
      <c r="E1713" s="26" t="inlineStr">
        <is>
          <t>Ярмарки, фестивали и благотворительные базары</t>
        </is>
      </c>
      <c r="F1713" s="26" t="inlineStr">
        <is>
          <t>Подопечные фонда «Дети Марии» (общая группа детей и подростков)</t>
        </is>
      </c>
      <c r="G1713" s="26" t="inlineStr">
        <is>
          <t>Студия фонда / выездная площадка</t>
        </is>
      </c>
      <c r="H1713" s="26" t="inlineStr">
        <is>
          <t>Организационные, ивент- и ярмарочные навыки</t>
        </is>
      </c>
      <c r="I1713" s="27" t="inlineStr">
        <is>
          <t>По формату занятия</t>
        </is>
      </c>
      <c r="J1713" s="26" t="inlineStr">
        <is>
          <t>Приходите все на "Душевный базар" 16 декабря в парк Сокольники, там всегда душевно! http://vk.com/event46548572</t>
        </is>
      </c>
    </row>
    <row r="1714" ht="30" customHeight="1">
      <c r="A1714" s="28" t="n">
        <v>1163</v>
      </c>
      <c r="B1714" s="29" t="inlineStr">
        <is>
          <t>2012-05-24</t>
        </is>
      </c>
      <c r="C1714" s="30">
        <f>HYPERLINK("https://vk.com/wall-1825701_1163", "Открыть пост")</f>
        <v/>
      </c>
      <c r="D1714" s="31" t="inlineStr">
        <is>
          <t>Ярмарки, фестивали и благотворительные базары</t>
        </is>
      </c>
      <c r="E1714" s="31" t="inlineStr">
        <is>
          <t>Ярмарки, фестивали и благотворительные базары</t>
        </is>
      </c>
      <c r="F1714" s="31" t="inlineStr">
        <is>
          <t>Подопечные фонда «Дети Марии» (общая группа детей и подростков)</t>
        </is>
      </c>
      <c r="G1714" s="31" t="inlineStr">
        <is>
          <t>Студия фонда / выездная площадка</t>
        </is>
      </c>
      <c r="H1714" s="31" t="inlineStr">
        <is>
          <t>Артистические, музыкальные и спортивно-игровые навыки; Организационные, ивент- и ярмарочные навыки</t>
        </is>
      </c>
      <c r="I1714" s="32" t="inlineStr">
        <is>
          <t>По формату занятия</t>
        </is>
      </c>
      <c r="J1714" s="31" t="inlineStr">
        <is>
          <t>Ярмарка у наших друзей - Центра ремесел в это воскресенье в Молодежном театре</t>
        </is>
      </c>
    </row>
    <row r="1715" ht="30" customHeight="1">
      <c r="A1715" s="23" t="n">
        <v>1132</v>
      </c>
      <c r="B1715" s="24" t="inlineStr">
        <is>
          <t>2012-03-22</t>
        </is>
      </c>
      <c r="C1715" s="25">
        <f>HYPERLINK("https://vk.com/wall-1825701_1132", "Открыть пост")</f>
        <v/>
      </c>
      <c r="D1715" s="26" t="inlineStr">
        <is>
          <t>Спектакли, концерты и музыкально-театральные занятия</t>
        </is>
      </c>
      <c r="E1715" s="26" t="inlineStr">
        <is>
          <t>Спектакли, концерты и музыкально-театральные занятия</t>
        </is>
      </c>
      <c r="F1715" s="26" t="inlineStr">
        <is>
          <t>Подопечные фонда «Дети Марии» (общая группа детей и подростков)</t>
        </is>
      </c>
      <c r="G1715" s="26" t="inlineStr">
        <is>
          <t>Студия фонда / выездная площадка</t>
        </is>
      </c>
      <c r="H1715" s="26" t="inlineStr">
        <is>
          <t>Артистические, музыкальные и спортивно-игровые навыки</t>
        </is>
      </c>
      <c r="I1715" s="27" t="inlineStr">
        <is>
          <t>По формату занятия</t>
        </is>
      </c>
      <c r="J1715" s="26" t="inlineStr">
        <is>
          <t>2 апреля в 19.00 в центре им. Мейерхольда на Новослободской премьера двух небольших спектаклей, созданных в этом году в студии - "Федорино горе" и сцена из "Укрощения строптивой". Приглашаем всех желающих! Вход бесплатный.</t>
        </is>
      </c>
    </row>
    <row r="1716" ht="30" customHeight="1">
      <c r="A1716" s="28" t="n">
        <v>1113</v>
      </c>
      <c r="B1716" s="29" t="inlineStr">
        <is>
          <t>2012-02-22</t>
        </is>
      </c>
      <c r="C1716" s="30">
        <f>HYPERLINK("https://vk.com/wall-1825701_1113", "Открыть пост")</f>
        <v/>
      </c>
      <c r="D1716" s="31" t="inlineStr">
        <is>
          <t>Праздники, дни рождения и клубные встречи</t>
        </is>
      </c>
      <c r="E1716" s="31" t="inlineStr">
        <is>
          <t>Праздники, дни рождения и клубные встречи</t>
        </is>
      </c>
      <c r="F1716" s="31" t="inlineStr">
        <is>
          <t>Подопечные фонда «Дети Марии» (общая группа детей и подростков)</t>
        </is>
      </c>
      <c r="G1716" s="31" t="inlineStr">
        <is>
          <t>Студия фонда / выездная площадка</t>
        </is>
      </c>
      <c r="H1716" s="31" t="inlineStr">
        <is>
          <t>Организационные, ивент- и ярмарочные навыки</t>
        </is>
      </c>
      <c r="I1716" s="32" t="inlineStr">
        <is>
          <t>По формату занятия</t>
        </is>
      </c>
      <c r="J1716" s="31" t="inlineStr">
        <is>
          <t>МАСЛЕНИЦА 0тмечается в студии в субботу, дети приедут к 15 часам, а с 16 до 17 нас ждут на Тверском бульваре - там будет маесленичное гулянье, организуемое Тверской управой. Приглашаем всех желающих!</t>
        </is>
      </c>
    </row>
    <row r="1717" ht="30" customHeight="1">
      <c r="A1717" s="23" t="n">
        <v>1112</v>
      </c>
      <c r="B1717" s="24" t="inlineStr">
        <is>
          <t>2012-02-22</t>
        </is>
      </c>
      <c r="C1717" s="25">
        <f>HYPERLINK("https://vk.com/wall-1825701_1112", "Открыть пост")</f>
        <v/>
      </c>
      <c r="D1717" s="26" t="inlineStr">
        <is>
          <t>Творческие мастер-классы и художественные студии</t>
        </is>
      </c>
      <c r="E1717" s="26" t="inlineStr">
        <is>
          <t>Творческие мастер-классы и художественные студии</t>
        </is>
      </c>
      <c r="F1717" s="26" t="inlineStr">
        <is>
          <t>Подопечные фонда «Дети Марии» (общая группа детей и подростков)</t>
        </is>
      </c>
      <c r="G1717" s="26" t="inlineStr">
        <is>
          <t>Студия фонда / выездная площадка</t>
        </is>
      </c>
      <c r="H1717" s="26" t="inlineStr">
        <is>
          <t>Художественно-прикладные и ремесленные навыки</t>
        </is>
      </c>
      <c r="I1717" s="27" t="inlineStr">
        <is>
          <t>По формату занятия</t>
        </is>
      </c>
      <c r="J1717" s="26" t="inlineStr">
        <is>
          <t>В воскресенье 26 февраля у вас есть уникальная возможность принять участие в росписи помещения студии на Сущевке. Приходите туда к 14 часам! Адрес: Сущевская ул., 17, 2 этаж, если кто не знает.</t>
        </is>
      </c>
    </row>
    <row r="1718" ht="30" customHeight="1">
      <c r="A1718" s="28" t="n">
        <v>1085</v>
      </c>
      <c r="B1718" s="29" t="inlineStr">
        <is>
          <t>2011-12-21</t>
        </is>
      </c>
      <c r="C1718" s="30">
        <f>HYPERLINK("https://vk.com/wall-1825701_1085", "Открыть пост")</f>
        <v/>
      </c>
      <c r="D1718" s="31" t="inlineStr">
        <is>
          <t>Ярмарки, фестивали и благотворительные базары</t>
        </is>
      </c>
      <c r="E1718" s="31" t="inlineStr">
        <is>
          <t>Ярмарки, фестивали и благотворительные базары</t>
        </is>
      </c>
      <c r="F1718" s="31" t="inlineStr">
        <is>
          <t>Подопечные фонда «Дети Марии» (общая группа детей и подростков)</t>
        </is>
      </c>
      <c r="G1718" s="31" t="inlineStr">
        <is>
          <t>Студия фонда / выездная площадка</t>
        </is>
      </c>
      <c r="H1718" s="31" t="inlineStr">
        <is>
          <t>Организационные, ивент- и ярмарочные навыки</t>
        </is>
      </c>
      <c r="I1718" s="32" t="inlineStr">
        <is>
          <t>По формату занятия</t>
        </is>
      </c>
      <c r="J1718" s="31" t="inlineStr">
        <is>
          <t>Ярмарка в студии на Дмитровском в понедельник 26 декабря с 12 до 21. Приглашаем всех!</t>
        </is>
      </c>
    </row>
    <row r="1719" ht="30" customHeight="1">
      <c r="A1719" s="23" t="n">
        <v>1081</v>
      </c>
      <c r="B1719" s="24" t="inlineStr">
        <is>
          <t>2011-12-13</t>
        </is>
      </c>
      <c r="C1719" s="25">
        <f>HYPERLINK("https://vk.com/wall-1825701_1081", "Открыть пост")</f>
        <v/>
      </c>
      <c r="D1719" s="26" t="inlineStr">
        <is>
          <t>Ярмарки, фестивали и благотворительные базары</t>
        </is>
      </c>
      <c r="E1719" s="26" t="inlineStr">
        <is>
          <t>Ярмарки, фестивали и благотворительные базары; Кулинарные, образовательные и социально-бытовые занятия; Спектакли, концерты и музыкально-театральные занятия; Творческие мастер-классы и художественные студии</t>
        </is>
      </c>
      <c r="F1719" s="26" t="inlineStr">
        <is>
          <t>Подопечные фонда «Дети Марии» (общая группа детей и подростков)</t>
        </is>
      </c>
      <c r="G1719" s="26" t="inlineStr">
        <is>
          <t>Студия фонда / выездная площадка</t>
        </is>
      </c>
      <c r="H1719" s="26" t="inlineStr">
        <is>
          <t>Артистические, музыкальные и спортивно-игровые навыки; Педагогические и наставнические навыки (кулинария, быт, учёба); Организационные, ивент- и ярмарочные навыки; Медиа, фото/видеосъёмка и культурная медиация</t>
        </is>
      </c>
      <c r="I1719" s="27" t="inlineStr">
        <is>
          <t>По формату занятия</t>
        </is>
      </c>
      <c r="J1719" s="26" t="inlineStr">
        <is>
          <t>Душевный базар - самая крутая ярмарка года! Приходите - не пожалеете! 18 декабря, Центр дизайна Артплей, м. Курская, в течение всего дня - детский праздник, мастер-классы, концерт, кулинарные шоу и прочее, и конечно ярмарка новогодних подарков от благотворительных организаций Мос...</t>
        </is>
      </c>
    </row>
    <row r="1720" ht="30" customHeight="1">
      <c r="A1720" s="28" t="n">
        <v>1074</v>
      </c>
      <c r="B1720" s="29" t="inlineStr">
        <is>
          <t>2011-12-05</t>
        </is>
      </c>
      <c r="C1720" s="30">
        <f>HYPERLINK("https://vk.com/wall-1825701_1074", "Открыть пост")</f>
        <v/>
      </c>
      <c r="D1720" s="31" t="inlineStr">
        <is>
          <t>Ярмарки, фестивали и благотворительные базары</t>
        </is>
      </c>
      <c r="E1720" s="31" t="inlineStr">
        <is>
          <t>Ярмарки, фестивали и благотворительные базары</t>
        </is>
      </c>
      <c r="F1720" s="31" t="inlineStr">
        <is>
          <t>Подопечные фонда «Дети Марии» (общая группа детей и подростков)</t>
        </is>
      </c>
      <c r="G1720" s="31" t="inlineStr">
        <is>
          <t>Студия фонда / выездная площадка</t>
        </is>
      </c>
      <c r="H1720" s="31" t="inlineStr">
        <is>
          <t>Организационные, ивент- и ярмарочные навыки</t>
        </is>
      </c>
      <c r="I1720" s="32" t="inlineStr">
        <is>
          <t>По формату занятия</t>
        </is>
      </c>
      <c r="J1720" s="31" t="inlineStr">
        <is>
          <t>Ярмарка 15 декабря в бизнес-центре "Дукат-плейс". Приходите!!! Мы там будем тоже!</t>
        </is>
      </c>
    </row>
    <row r="1721" ht="30" customHeight="1">
      <c r="A1721" s="23" t="n">
        <v>1069</v>
      </c>
      <c r="B1721" s="24" t="inlineStr">
        <is>
          <t>2011-12-01</t>
        </is>
      </c>
      <c r="C1721" s="25">
        <f>HYPERLINK("https://vk.com/wall-1825701_1069", "Открыть пост")</f>
        <v/>
      </c>
      <c r="D1721" s="26" t="inlineStr">
        <is>
          <t>Ярмарки, фестивали и благотворительные базары</t>
        </is>
      </c>
      <c r="E1721" s="26" t="inlineStr">
        <is>
          <t>Ярмарки, фестивали и благотворительные базары</t>
        </is>
      </c>
      <c r="F1721" s="26" t="inlineStr">
        <is>
          <t>Широкая аудитория, гости и благотворители (открытые события)</t>
        </is>
      </c>
      <c r="G1721" s="26" t="inlineStr">
        <is>
          <t>Студия фонда / выездная площадка</t>
        </is>
      </c>
      <c r="H1721" s="26" t="inlineStr">
        <is>
          <t>Организационные, ивент- и ярмарочные навыки</t>
        </is>
      </c>
      <c r="I1721" s="27" t="inlineStr">
        <is>
          <t>По формату занятия</t>
        </is>
      </c>
      <c r="J1721" s="26" t="inlineStr">
        <is>
          <t>Ярмарка в центре "ВВЕРХ" 3 декабря. Приглашаются все желающие!</t>
        </is>
      </c>
    </row>
    <row r="1722" ht="30" customHeight="1">
      <c r="A1722" s="28" t="n">
        <v>1059</v>
      </c>
      <c r="B1722" s="29" t="inlineStr">
        <is>
          <t>2011-11-22</t>
        </is>
      </c>
      <c r="C1722" s="30">
        <f>HYPERLINK("https://vk.com/wall-1825701_1059", "Открыть пост")</f>
        <v/>
      </c>
      <c r="D1722" s="31" t="inlineStr">
        <is>
          <t>Выставки, экскурсии и культурные выходы</t>
        </is>
      </c>
      <c r="E1722" s="31" t="inlineStr">
        <is>
          <t>Выставки, экскурсии и культурные выходы</t>
        </is>
      </c>
      <c r="F1722" s="31" t="inlineStr">
        <is>
          <t>Подопечные фонда «Дети Марии» (общая группа детей и подростков)</t>
        </is>
      </c>
      <c r="G1722" s="31" t="inlineStr">
        <is>
          <t>Студия фонда / выездная площадка</t>
        </is>
      </c>
      <c r="H1722" s="31" t="inlineStr">
        <is>
          <t>Мобильность, выездное сопровождение и автоволонтёрство</t>
        </is>
      </c>
      <c r="I1722" s="32" t="inlineStr">
        <is>
          <t>По формату занятия</t>
        </is>
      </c>
      <c r="J1722" s="31" t="inlineStr">
        <is>
          <t>Сегодня ребята из 4го интерната были на экскурсии в Яндексе! Об этом вот тут</t>
        </is>
      </c>
    </row>
    <row r="1723" ht="30" customHeight="1">
      <c r="A1723" s="23" t="n">
        <v>1049</v>
      </c>
      <c r="B1723" s="24" t="inlineStr">
        <is>
          <t>2011-11-11</t>
        </is>
      </c>
      <c r="C1723" s="25">
        <f>HYPERLINK("https://vk.com/wall-1825701_1049", "Открыть пост")</f>
        <v/>
      </c>
      <c r="D1723" s="26" t="inlineStr">
        <is>
          <t>Выставки, экскурсии и культурные выходы</t>
        </is>
      </c>
      <c r="E1723" s="26" t="inlineStr">
        <is>
          <t>Выставки, экскурсии и культурные выходы</t>
        </is>
      </c>
      <c r="F1723" s="26" t="inlineStr">
        <is>
          <t>Подопечные фонда «Дети Марии» (общая группа детей и подростков)</t>
        </is>
      </c>
      <c r="G1723" s="26" t="inlineStr">
        <is>
          <t>Студия фонда / выездная площадка</t>
        </is>
      </c>
      <c r="H1723" s="26" t="inlineStr">
        <is>
          <t>Коммуникативные навыки, эмпатия и тьюторское сопровождение</t>
        </is>
      </c>
      <c r="I1723" s="27" t="inlineStr">
        <is>
          <t>По формату занятия</t>
        </is>
      </c>
      <c r="J1723" s="26" t="inlineStr">
        <is>
          <t>Выставка в ЦДХ продлевается до 23 ноября, а значит, все, кто захочет, успеют посмотреть!</t>
        </is>
      </c>
    </row>
    <row r="1724" ht="30" customHeight="1">
      <c r="A1724" s="28" t="n">
        <v>1043</v>
      </c>
      <c r="B1724" s="29" t="inlineStr">
        <is>
          <t>2011-11-02</t>
        </is>
      </c>
      <c r="C1724" s="30">
        <f>HYPERLINK("https://vk.com/wall-1825701_1043", "Открыть пост")</f>
        <v/>
      </c>
      <c r="D1724" s="31" t="inlineStr">
        <is>
          <t>Выставки, экскурсии и культурные выходы</t>
        </is>
      </c>
      <c r="E1724" s="31" t="inlineStr">
        <is>
          <t>Выставки, экскурсии и культурные выходы</t>
        </is>
      </c>
      <c r="F1724" s="31" t="inlineStr">
        <is>
          <t>Подопечные фонда «Дети Марии» (общая группа детей и подростков)</t>
        </is>
      </c>
      <c r="G1724" s="31" t="inlineStr">
        <is>
          <t>Студия фонда / выездная площадка</t>
        </is>
      </c>
      <c r="H1724" s="31" t="inlineStr">
        <is>
          <t>Коммуникативные навыки, эмпатия и тьюторское сопровождение</t>
        </is>
      </c>
      <c r="I1724" s="32" t="inlineStr">
        <is>
          <t>По формату занятия</t>
        </is>
      </c>
      <c r="J1724" s="31" t="inlineStr">
        <is>
          <t>А в ЦДХ завтра происходит развеска нашей выставки, с четверга - приходите смотреть. Зал № 21 на третьем этаже</t>
        </is>
      </c>
    </row>
    <row r="1725" ht="30" customHeight="1">
      <c r="A1725" s="23" t="n">
        <v>1042</v>
      </c>
      <c r="B1725" s="24" t="inlineStr">
        <is>
          <t>2011-10-28</t>
        </is>
      </c>
      <c r="C1725" s="25">
        <f>HYPERLINK("https://vk.com/wall-1825701_1042", "Открыть пост")</f>
        <v/>
      </c>
      <c r="D1725" s="26" t="inlineStr">
        <is>
          <t>Выставки, экскурсии и культурные выходы</t>
        </is>
      </c>
      <c r="E1725" s="26" t="inlineStr">
        <is>
          <t>Выставки, экскурсии и культурные выходы</t>
        </is>
      </c>
      <c r="F1725" s="26" t="inlineStr">
        <is>
          <t>Подопечные фонда «Дети Марии» (общая группа детей и подростков)</t>
        </is>
      </c>
      <c r="G1725" s="26" t="inlineStr">
        <is>
          <t>Студия фонда / выездная площадка</t>
        </is>
      </c>
      <c r="H1725" s="26" t="inlineStr">
        <is>
          <t>Коммуникативные навыки, эмпатия и тьюторское сопровождение</t>
        </is>
      </c>
      <c r="I1725" s="27" t="inlineStr">
        <is>
          <t>По формату занятия</t>
        </is>
      </c>
      <c r="J1725" s="26" t="inlineStr">
        <is>
          <t>Наша выставка в ЦДХ "Путешествие в детство" в этом году пройдет с 3 по 20 ноября. Торжественное открытие 8 ноября в 16.00.</t>
        </is>
      </c>
    </row>
    <row r="1726" ht="30" customHeight="1">
      <c r="A1726" s="28" t="n">
        <v>1002</v>
      </c>
      <c r="B1726" s="29" t="inlineStr">
        <is>
          <t>2011-09-28</t>
        </is>
      </c>
      <c r="C1726" s="30">
        <f>HYPERLINK("https://vk.com/wall-1825701_1002", "Открыть пост")</f>
        <v/>
      </c>
      <c r="D1726" s="31" t="inlineStr">
        <is>
          <t>Выставки, экскурсии и культурные выходы</t>
        </is>
      </c>
      <c r="E1726" s="31" t="inlineStr">
        <is>
          <t>Выставки, экскурсии и культурные выходы</t>
        </is>
      </c>
      <c r="F1726" s="31" t="inlineStr">
        <is>
          <t>Подопечные фонда «Дети Марии» (общая группа детей и подростков)</t>
        </is>
      </c>
      <c r="G1726" s="31" t="inlineStr">
        <is>
          <t>Студия фонда / выездная площадка</t>
        </is>
      </c>
      <c r="H1726" s="31" t="inlineStr">
        <is>
          <t>Артистические, музыкальные и спортивно-игровые навыки</t>
        </is>
      </c>
      <c r="I1726" s="32" t="inlineStr">
        <is>
          <t>По формату занятия</t>
        </is>
      </c>
      <c r="J1726" s="31" t="inlineStr">
        <is>
          <t>Объявляется конкурс на название для нашей выставки в ЦДХ. Приз - шоколадка, респект и уважуха. Дерзайте!</t>
        </is>
      </c>
    </row>
    <row r="1727" ht="30" customHeight="1">
      <c r="A1727" s="23" t="n">
        <v>998</v>
      </c>
      <c r="B1727" s="24" t="inlineStr">
        <is>
          <t>2011-09-24</t>
        </is>
      </c>
      <c r="C1727" s="25">
        <f>HYPERLINK("https://vk.com/wall-1825701_998", "Открыть пост")</f>
        <v/>
      </c>
      <c r="D1727" s="26" t="inlineStr">
        <is>
          <t>Ярмарки, фестивали и благотворительные базары</t>
        </is>
      </c>
      <c r="E1727" s="26" t="inlineStr">
        <is>
          <t>Ярмарки, фестивали и благотворительные базары</t>
        </is>
      </c>
      <c r="F1727" s="26" t="inlineStr">
        <is>
          <t>Подопечные фонда «Дети Марии» (общая группа детей и подростков)</t>
        </is>
      </c>
      <c r="G1727" s="26" t="inlineStr">
        <is>
          <t>Студия фонда / выездная площадка</t>
        </is>
      </c>
      <c r="H1727" s="26" t="inlineStr">
        <is>
          <t>Организационные, ивент- и ярмарочные навыки</t>
        </is>
      </c>
      <c r="I1727" s="27" t="inlineStr">
        <is>
          <t>По формату занятия</t>
        </is>
      </c>
      <c r="J1727" s="26" t="inlineStr">
        <is>
          <t>Завтра, в воскресенье, в парке-усадьбе Трубецких (м. Фрунзенская) "Дети Марии" участвуют в ярмарке "Другие вещи". У нас есть новые сумки, календарики на 2012 и т.д. Приходите!!! А кто не сможет завтра - может купить все это в студии в любой день!</t>
        </is>
      </c>
    </row>
    <row r="1728" ht="30" customHeight="1">
      <c r="A1728" s="28" t="n">
        <v>979</v>
      </c>
      <c r="B1728" s="29" t="inlineStr">
        <is>
          <t>2011-09-12</t>
        </is>
      </c>
      <c r="C1728" s="30">
        <f>HYPERLINK("https://vk.com/wall-1825701_979", "Открыть пост")</f>
        <v/>
      </c>
      <c r="D1728" s="31" t="inlineStr">
        <is>
          <t>Спортивные и активные мероприятия</t>
        </is>
      </c>
      <c r="E1728" s="31" t="inlineStr">
        <is>
          <t>Спортивные и активные мероприятия; Творческие мастер-классы и художественные студии</t>
        </is>
      </c>
      <c r="F1728" s="31" t="inlineStr">
        <is>
          <t>Подопечные фонда «Дети Марии» (общая группа детей и подростков)</t>
        </is>
      </c>
      <c r="G1728" s="31" t="inlineStr">
        <is>
          <t>Студия фонда / выездная площадка</t>
        </is>
      </c>
      <c r="H1728" s="31" t="inlineStr">
        <is>
          <t>Артистические, музыкальные и спортивно-игровые навыки; Организационные, ивент- и ярмарочные навыки</t>
        </is>
      </c>
      <c r="I1728" s="32" t="inlineStr">
        <is>
          <t>Да (в тексте)</t>
        </is>
      </c>
      <c r="J1728" s="31" t="inlineStr">
        <is>
          <t>Спасибо всем волонтерам, принявшим участие в празднике на Миусах в субботу, а особенно Ване и его знакомым, которые провели чудесный мастер-класс по раскрашиванию футболок. Спасибо также Надюше и Саше!</t>
        </is>
      </c>
    </row>
    <row r="1729" ht="30" customHeight="1">
      <c r="A1729" s="23" t="n">
        <v>943</v>
      </c>
      <c r="B1729" s="24" t="inlineStr">
        <is>
          <t>2011-07-25</t>
        </is>
      </c>
      <c r="C1729" s="25">
        <f>HYPERLINK("https://vk.com/wall-1825701_943", "Открыть пост")</f>
        <v/>
      </c>
      <c r="D1729" s="26" t="inlineStr">
        <is>
          <t>Спектакли, концерты и музыкально-театральные занятия</t>
        </is>
      </c>
      <c r="E1729" s="26" t="inlineStr">
        <is>
          <t>Спектакли, концерты и музыкально-театральные занятия</t>
        </is>
      </c>
      <c r="F1729" s="26" t="inlineStr">
        <is>
          <t>Подопечные фонда «Дети Марии» (общая группа детей и подростков)</t>
        </is>
      </c>
      <c r="G1729" s="26" t="inlineStr">
        <is>
          <t>Студия фонда / выездная площадка</t>
        </is>
      </c>
      <c r="H1729" s="26" t="inlineStr">
        <is>
          <t>Артистические, музыкальные и спортивно-игровые навыки</t>
        </is>
      </c>
      <c r="I1729" s="27" t="inlineStr">
        <is>
          <t>По формату занятия</t>
        </is>
      </c>
      <c r="J1729" s="26" t="inlineStr">
        <is>
          <t>Сегодня ставили спектакль "Конек-горбунок". Было здорово, все дети играли. Шишов испек потрясающие оладьи с кабачками. Что это мы все о еде?)))</t>
        </is>
      </c>
    </row>
    <row r="1730" ht="30" customHeight="1">
      <c r="A1730" s="28" t="n">
        <v>938</v>
      </c>
      <c r="B1730" s="29" t="inlineStr">
        <is>
          <t>2011-07-24</t>
        </is>
      </c>
      <c r="C1730" s="30">
        <f>HYPERLINK("https://vk.com/wall-1825701_938", "Открыть пост")</f>
        <v/>
      </c>
      <c r="D1730" s="31" t="inlineStr">
        <is>
          <t>Спектакли, концерты и музыкально-театральные занятия</t>
        </is>
      </c>
      <c r="E1730" s="31" t="inlineStr">
        <is>
          <t>Спектакли, концерты и музыкально-театральные занятия; Спортивные и активные мероприятия</t>
        </is>
      </c>
      <c r="F1730" s="31" t="inlineStr">
        <is>
          <t>Подопечные фонда «Дети Марии» (общая группа детей и подростков)</t>
        </is>
      </c>
      <c r="G1730" s="31" t="inlineStr">
        <is>
          <t>Студия фонда / выездная площадка</t>
        </is>
      </c>
      <c r="H1730" s="31" t="inlineStr">
        <is>
          <t>Артистические, музыкальные и спортивно-игровые навыки</t>
        </is>
      </c>
      <c r="I1730" s="32" t="inlineStr">
        <is>
          <t>По формату занятия</t>
        </is>
      </c>
      <c r="J1730" s="31" t="inlineStr">
        <is>
          <t>Сегодня был шашлык. А из пищи духовной - вечерний концерт для детей с песнями и лучшими клоунскими номерами (ча-ча-ча, забег), ночной концерт для взрослых (песни). Паша Бабкин - прирожденный серфингист! Вы бы это видели!!!</t>
        </is>
      </c>
    </row>
    <row r="1731" ht="30" customHeight="1">
      <c r="A1731" s="23" t="n">
        <v>932</v>
      </c>
      <c r="B1731" s="24" t="inlineStr">
        <is>
          <t>2011-07-21</t>
        </is>
      </c>
      <c r="C1731" s="25">
        <f>HYPERLINK("https://vk.com/wall-1825701_932", "Открыть пост")</f>
        <v/>
      </c>
      <c r="D1731" s="26" t="inlineStr">
        <is>
          <t>Выездные лагеря, дача и сезонные программы</t>
        </is>
      </c>
      <c r="E1731" s="26" t="inlineStr">
        <is>
          <t>Выездные лагеря, дача и сезонные программы</t>
        </is>
      </c>
      <c r="F1731" s="26" t="inlineStr">
        <is>
          <t>Подопечные фонда «Дети Марии» (общая группа детей и подростков)</t>
        </is>
      </c>
      <c r="G1731" s="26" t="inlineStr">
        <is>
          <t>Студия фонда / выездная площадка</t>
        </is>
      </c>
      <c r="H1731" s="26" t="inlineStr">
        <is>
          <t>Мобильность, выездное сопровождение и автоволонтёрство</t>
        </is>
      </c>
      <c r="I1731" s="27" t="inlineStr">
        <is>
          <t>Да (в тексте)</t>
        </is>
      </c>
      <c r="J1731" s="26" t="inlineStr">
        <is>
          <t>Сегодня кроме всего прочего пробовали маршмеллоу - такую традиционную американскую сладость, ее греют на огне и потом едят на печеньке с шоколадом. Это подарок детям от Дебби Сиарз - американской волонтерки в нашем лагере.</t>
        </is>
      </c>
    </row>
    <row r="1732" ht="30" customHeight="1">
      <c r="A1732" s="28" t="n">
        <v>931</v>
      </c>
      <c r="B1732" s="29" t="inlineStr">
        <is>
          <t>2011-07-19</t>
        </is>
      </c>
      <c r="C1732" s="30">
        <f>HYPERLINK("https://vk.com/wall-1825701_931", "Открыть пост")</f>
        <v/>
      </c>
      <c r="D1732" s="31" t="inlineStr">
        <is>
          <t>Творческие мастер-классы и художественные студии</t>
        </is>
      </c>
      <c r="E1732" s="31" t="inlineStr">
        <is>
          <t>Творческие мастер-классы и художественные студии; Выездные лагеря, дача и сезонные программы</t>
        </is>
      </c>
      <c r="F1732" s="31" t="inlineStr">
        <is>
          <t>Подопечные фонда «Дети Марии» (общая группа детей и подростков)</t>
        </is>
      </c>
      <c r="G1732" s="31" t="inlineStr">
        <is>
          <t>Студия фонда / выездная площадка</t>
        </is>
      </c>
      <c r="H1732" s="31" t="inlineStr">
        <is>
          <t>Художественно-прикладные и ремесленные навыки; Артистические, музыкальные и спортивно-игровые навыки; Мобильность, выездное сопровождение и автоволонтёрство</t>
        </is>
      </c>
      <c r="I1732" s="32" t="inlineStr">
        <is>
          <t>По формату занятия</t>
        </is>
      </c>
      <c r="J1732" s="31" t="inlineStr">
        <is>
          <t>Мы в лагере, с нами 21 ребенок из 28-го интерната. Сегодня первый раз купались. Начали рисовать большую картину. Лепили из глины, украшали фоторамки, играли в "колечко"....</t>
        </is>
      </c>
    </row>
    <row r="1733" ht="30" customHeight="1">
      <c r="A1733" s="23" t="n">
        <v>920</v>
      </c>
      <c r="B1733" s="24" t="inlineStr">
        <is>
          <t>2011-07-12</t>
        </is>
      </c>
      <c r="C1733" s="25">
        <f>HYPERLINK("https://vk.com/wall-1825701_920", "Открыть пост")</f>
        <v/>
      </c>
      <c r="D1733" s="26" t="inlineStr">
        <is>
          <t>Выездные лагеря, дача и сезонные программы</t>
        </is>
      </c>
      <c r="E1733" s="26" t="inlineStr">
        <is>
          <t>Выездные лагеря, дача и сезонные программы</t>
        </is>
      </c>
      <c r="F1733" s="26" t="inlineStr">
        <is>
          <t>Подопечные фонда «Дети Марии» (общая группа детей и подростков)</t>
        </is>
      </c>
      <c r="G1733" s="26" t="inlineStr">
        <is>
          <t>Сорочанах</t>
        </is>
      </c>
      <c r="H1733" s="26" t="inlineStr">
        <is>
          <t>Мобильность, выездное сопровождение и автоволонтёрство</t>
        </is>
      </c>
      <c r="I1733" s="27" t="inlineStr">
        <is>
          <t>По формату занятия</t>
        </is>
      </c>
      <c r="J1733" s="26" t="inlineStr">
        <is>
          <t>В среду, в 19.00 на Сущевке собрание про детский летний лагерь в Сорочанах. Приходите все, кто едет!</t>
        </is>
      </c>
    </row>
    <row r="1734" ht="30" customHeight="1">
      <c r="A1734" s="28" t="n">
        <v>912</v>
      </c>
      <c r="B1734" s="29" t="inlineStr">
        <is>
          <t>2011-06-24</t>
        </is>
      </c>
      <c r="C1734" s="30">
        <f>HYPERLINK("https://vk.com/wall-1825701_912", "Открыть пост")</f>
        <v/>
      </c>
      <c r="D1734" s="31" t="inlineStr">
        <is>
          <t>Волонтёрские встречи, обучение и дни открытых дверей</t>
        </is>
      </c>
      <c r="E1734" s="31" t="inlineStr">
        <is>
          <t>Волонтёрские встречи, обучение и дни открытых дверей</t>
        </is>
      </c>
      <c r="F1734" s="31" t="inlineStr">
        <is>
          <t>Волонтёры, тьюторы и команда НКО</t>
        </is>
      </c>
      <c r="G1734" s="31" t="inlineStr">
        <is>
          <t>Студия фонда / выездная площадка</t>
        </is>
      </c>
      <c r="H1734" s="31" t="inlineStr">
        <is>
          <t>Мобильность, выездное сопровождение и автоволонтёрство</t>
        </is>
      </c>
      <c r="I1734" s="32" t="inlineStr">
        <is>
          <t>Да (в тексте)</t>
        </is>
      </c>
      <c r="J1734" s="31" t="inlineStr">
        <is>
          <t>С 6 по 11 июня выездной тренинг для молодежи на Можайском море (Красновидово), в пр-ме виндсерфинг, катамараны, рыбалка, тренинг для волонтеров и пр. желающие участвовать - сообщите Юле Лосевой. Берите с собой спальники. Собрание для всех участников 1 июля, в пятницу в 18.00 на С...</t>
        </is>
      </c>
    </row>
    <row r="1735" ht="30" customHeight="1">
      <c r="A1735" s="23" t="n">
        <v>906</v>
      </c>
      <c r="B1735" s="24" t="inlineStr">
        <is>
          <t>2011-06-20</t>
        </is>
      </c>
      <c r="C1735" s="25">
        <f>HYPERLINK("https://vk.com/wall-1825701_906", "Открыть пост")</f>
        <v/>
      </c>
      <c r="D1735" s="26" t="inlineStr">
        <is>
          <t>Праздники, дни рождения и клубные встречи</t>
        </is>
      </c>
      <c r="E1735" s="26" t="inlineStr">
        <is>
          <t>Праздники, дни рождения и клубные встречи</t>
        </is>
      </c>
      <c r="F1735" s="26" t="inlineStr">
        <is>
          <t>Широкая аудитория, гости и благотворители (открытые события)</t>
        </is>
      </c>
      <c r="G1735" s="26" t="inlineStr">
        <is>
          <t>Студия фонда / выездная площадка</t>
        </is>
      </c>
      <c r="H1735" s="26" t="inlineStr">
        <is>
          <t>Педагогические и наставнические навыки (кулинария, быт, учёба)</t>
        </is>
      </c>
      <c r="I1735" s="27" t="inlineStr">
        <is>
          <t>По формату занятия</t>
        </is>
      </c>
      <c r="J1735" s="26" t="inlineStr">
        <is>
          <t>НАС ПРИГЛАШАЮТ ИЗ РУФа (он же ВВЕРХ), центра постинтернатного образования, где учились и учатся многие наши ребята:Дорогие друзья, Приглашаем вас на наш выпускной вечер, который состоится 22 июня в 19:00 в Англиканской церкви Св. Андрея по адресу Вознесенский пер., д. 8.</t>
        </is>
      </c>
    </row>
    <row r="1736" ht="30" customHeight="1">
      <c r="A1736" s="28" t="n">
        <v>902</v>
      </c>
      <c r="B1736" s="29" t="inlineStr">
        <is>
          <t>2011-06-06</t>
        </is>
      </c>
      <c r="C1736" s="30">
        <f>HYPERLINK("https://vk.com/wall-1825701_902", "Открыть пост")</f>
        <v/>
      </c>
      <c r="D1736" s="31" t="inlineStr">
        <is>
          <t>Выездные лагеря, дача и сезонные программы</t>
        </is>
      </c>
      <c r="E1736" s="31" t="inlineStr">
        <is>
          <t>Выездные лагеря, дача и сезонные программы</t>
        </is>
      </c>
      <c r="F1736" s="31" t="inlineStr">
        <is>
          <t>Подопечные фонда «Дети Марии» (общая группа детей и подростков)</t>
        </is>
      </c>
      <c r="G1736" s="31" t="inlineStr">
        <is>
          <t>Сорочанах</t>
        </is>
      </c>
      <c r="H1736" s="31" t="inlineStr">
        <is>
          <t>Мобильность, выездное сопровождение и автоволонтёрство</t>
        </is>
      </c>
      <c r="I1736" s="32" t="inlineStr">
        <is>
          <t>Да (в тексте)</t>
        </is>
      </c>
      <c r="J1736" s="31" t="inlineStr">
        <is>
          <t>Кое-что из собрания в пятницу с волонтерами: наш летний лагерь пройдет с 18 по 28 июля в Сорочанах с детьми из 28-го интерната. Если среди волонтеров есть желающие принять в нем участие - на весь срок или на какие-то дни - обращайтесь с вопросами к Юле Лосевой.</t>
        </is>
      </c>
    </row>
    <row r="1737" ht="30" customHeight="1">
      <c r="A1737" s="23" t="n">
        <v>897</v>
      </c>
      <c r="B1737" s="24" t="inlineStr">
        <is>
          <t>2011-05-31</t>
        </is>
      </c>
      <c r="C1737" s="25">
        <f>HYPERLINK("https://vk.com/wall-1825701_897", "Открыть пост")</f>
        <v/>
      </c>
      <c r="D1737" s="26" t="inlineStr">
        <is>
          <t>Волонтёрские встречи, обучение и дни открытых дверей</t>
        </is>
      </c>
      <c r="E1737" s="26" t="inlineStr">
        <is>
          <t>Волонтёрские встречи, обучение и дни открытых дверей</t>
        </is>
      </c>
      <c r="F1737" s="26" t="inlineStr">
        <is>
          <t>Широкая аудитория, гости и благотворители (открытые события); Волонтёры, тьюторы и команда НКО</t>
        </is>
      </c>
      <c r="G1737" s="26" t="inlineStr">
        <is>
          <t>Студия фонда / выездная площадка</t>
        </is>
      </c>
      <c r="H1737" s="26" t="inlineStr">
        <is>
          <t>Коммуникативные навыки, эмпатия и тьюторское сопровождение</t>
        </is>
      </c>
      <c r="I1737" s="27" t="inlineStr">
        <is>
          <t>Да (в тексте)</t>
        </is>
      </c>
      <c r="J1737" s="26" t="inlineStr">
        <is>
          <t>В пятницу 3 июня в 18.00 на Сущевке - встреча волонтеров с Марией и другими сотрудниками. Мы поговорим о планах на лето и не только. Приходите, все желающие!</t>
        </is>
      </c>
    </row>
    <row r="1738" ht="30" customHeight="1">
      <c r="A1738" s="28" t="n">
        <v>884</v>
      </c>
      <c r="B1738" s="29" t="inlineStr">
        <is>
          <t>2011-05-26</t>
        </is>
      </c>
      <c r="C1738" s="30">
        <f>HYPERLINK("https://vk.com/wall-1825701_884", "Открыть пост")</f>
        <v/>
      </c>
      <c r="D1738" s="31" t="inlineStr">
        <is>
          <t>Творческие мастер-классы и художественные студии</t>
        </is>
      </c>
      <c r="E1738" s="31" t="inlineStr">
        <is>
          <t>Творческие мастер-классы и художественные студии</t>
        </is>
      </c>
      <c r="F1738" s="31" t="inlineStr">
        <is>
          <t>Подопечные фонда «Дети Марии» (общая группа детей и подростков)</t>
        </is>
      </c>
      <c r="G1738" s="31" t="inlineStr">
        <is>
          <t>Студия фонда / выездная площадка</t>
        </is>
      </c>
      <c r="H1738" s="31" t="inlineStr">
        <is>
          <t>Организационные, ивент- и ярмарочные навыки</t>
        </is>
      </c>
      <c r="I1738" s="32" t="inlineStr">
        <is>
          <t>Да (в тексте)</t>
        </is>
      </c>
      <c r="J1738" s="31" t="inlineStr">
        <is>
          <t>Нужны волонтеры! В воскресенье 29 мая с 12 до 16 в парке Сокольники проходит Праздник Мороженого, приедут дети из трех наших интернатов, нужна ваша помощь - встречать детей, водить их по разным мастер-классам и т.д. Кто готов - звоните в студию или Ире Дермичевой 89161261602.</t>
        </is>
      </c>
    </row>
    <row r="1739" ht="30" customHeight="1">
      <c r="A1739" s="23" t="n">
        <v>883</v>
      </c>
      <c r="B1739" s="24" t="inlineStr">
        <is>
          <t>2011-05-26</t>
        </is>
      </c>
      <c r="C1739" s="25">
        <f>HYPERLINK("https://vk.com/wall-1825701_883", "Открыть пост")</f>
        <v/>
      </c>
      <c r="D1739" s="26" t="inlineStr">
        <is>
          <t>Ярмарки, фестивали и благотворительные базары</t>
        </is>
      </c>
      <c r="E1739" s="26" t="inlineStr">
        <is>
          <t>Ярмарки, фестивали и благотворительные базары; Творческие мастер-классы и художественные студии</t>
        </is>
      </c>
      <c r="F1739" s="26" t="inlineStr">
        <is>
          <t>Подопечные фонда «Дети Марии» (общая группа детей и подростков)</t>
        </is>
      </c>
      <c r="G1739" s="26" t="inlineStr">
        <is>
          <t>Студия фонда / выездная площадка</t>
        </is>
      </c>
      <c r="H1739" s="26" t="inlineStr">
        <is>
          <t>Художественно-прикладные и ремесленные навыки; Организационные, ивент- и ярмарочные навыки</t>
        </is>
      </c>
      <c r="I1739" s="27" t="inlineStr">
        <is>
          <t>По формату занятия</t>
        </is>
      </c>
      <c r="J1739" s="26" t="inlineStr">
        <is>
          <t>Приглашаем всех в это воскресенье на ярмарку на площади Данилова монастыря с 9.00 до 16.00, где мы вместе с другими благотворительными организациями будем продавать поделки наших детей, открытки, магнитики, календарики и т.д.</t>
        </is>
      </c>
    </row>
    <row r="1740" ht="30" customHeight="1">
      <c r="A1740" s="28" t="n">
        <v>801</v>
      </c>
      <c r="B1740" s="29" t="inlineStr">
        <is>
          <t>2011-04-20</t>
        </is>
      </c>
      <c r="C1740" s="30">
        <f>HYPERLINK("https://vk.com/wall-1825701_801", "Открыть пост")</f>
        <v/>
      </c>
      <c r="D1740" s="31" t="inlineStr">
        <is>
          <t>Волонтёрские встречи, обучение и дни открытых дверей</t>
        </is>
      </c>
      <c r="E1740" s="31" t="inlineStr">
        <is>
          <t>Волонтёрские встречи, обучение и дни открытых дверей</t>
        </is>
      </c>
      <c r="F1740" s="31" t="inlineStr">
        <is>
          <t>Широкая аудитория, гости и благотворители (открытые события)</t>
        </is>
      </c>
      <c r="G1740" s="31" t="inlineStr">
        <is>
          <t>Студия фонда / выездная площадка</t>
        </is>
      </c>
      <c r="H1740" s="31" t="inlineStr">
        <is>
          <t>Организационные, ивент- и ярмарочные навыки</t>
        </is>
      </c>
      <c r="I1740" s="32" t="inlineStr">
        <is>
          <t>По формату занятия</t>
        </is>
      </c>
      <c r="J1740" s="31" t="inlineStr">
        <is>
          <t>А в субботу у нас субботник, в студии на Дмитровском - придут строители ломать печку (это тот выступ, за которым прячется пианино). Очень нужны рабочие руки - выносить мусор, двигать мебель, убираться. Приходите, кто может! Мы ждем вас с 9.00 и в течение дня.</t>
        </is>
      </c>
    </row>
  </sheetData>
  <mergeCells count="2">
    <mergeCell ref="A1:J1"/>
    <mergeCell ref="A2:J2"/>
  </mergeCells>
  <pageMargins left="0.75" right="0.75" top="1" bottom="1" header="0.5" footer="0.5"/>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2026-10-21T14:27:48Z</dcterms:created>
  <dcterms:modified xsi:type="dcterms:W3CDTF">2026-10-21T14:27:48Z</dcterms:modified>
</cp:coreProperties>
</file>