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80" windowWidth="25600" windowHeight="16060" tabRatio="600" firstSheet="0" activeTab="0" autoFilterDateGrouping="1"/>
  </bookViews>
  <sheets>
    <sheet xmlns:r="http://schemas.openxmlformats.org/officeDocument/2006/relationships" name="Сводка и аналитика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6"/>
    </font>
    <font>
      <name val="Calibri"/>
      <family val="2"/>
      <i val="1"/>
      <color rgb="FFD6EAF8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1B4F72"/>
      <sz val="15"/>
    </font>
    <font>
      <name val="Calibri"/>
      <family val="2"/>
      <color rgb="FF566573"/>
      <sz val="9"/>
    </font>
    <font>
      <name val="Calibri"/>
      <family val="2"/>
      <b val="1"/>
      <color rgb="FF1B4F72"/>
      <sz val="12"/>
    </font>
    <font>
      <name val="Calibri"/>
      <family val="2"/>
      <b val="1"/>
      <color rgb="FFFFFFFF"/>
      <sz val="10"/>
    </font>
    <font>
      <name val="Calibri"/>
      <family val="2"/>
      <color rgb="FF1C2833"/>
      <sz val="10"/>
    </font>
    <font>
      <name val="Calibri"/>
      <family val="2"/>
      <color rgb="FF1155CC"/>
      <sz val="10"/>
      <u val="single"/>
    </font>
    <font>
      <name val="Calibri"/>
      <family val="2"/>
      <b val="1"/>
      <color rgb="FF1C2833"/>
      <sz val="10"/>
    </font>
  </fonts>
  <fills count="6">
    <fill>
      <patternFill/>
    </fill>
    <fill>
      <patternFill patternType="gray125"/>
    </fill>
    <fill>
      <patternFill patternType="solid">
        <fgColor rgb="FF1B4F72"/>
        <bgColor rgb="FF1B4F72"/>
      </patternFill>
    </fill>
    <fill>
      <patternFill patternType="solid">
        <fgColor rgb="FF2E86C1"/>
        <bgColor rgb="FF2E86C1"/>
      </patternFill>
    </fill>
    <fill>
      <patternFill patternType="solid">
        <fgColor rgb="FFEBF5FB"/>
        <bgColor rgb="FFEBF5FB"/>
      </patternFill>
    </fill>
    <fill>
      <patternFill patternType="solid">
        <fgColor rgb="FFF8F9F9"/>
        <bgColor rgb="FFF8F9F9"/>
      </patternFill>
    </fill>
  </fills>
  <borders count="6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D5D8DC"/>
      </left>
      <right style="thin">
        <color rgb="FFD5D8DC"/>
      </right>
      <top style="thin">
        <color rgb="FF1B4F72"/>
      </top>
      <bottom style="double">
        <color rgb="FF1B4F72"/>
      </bottom>
      <diagonal/>
    </border>
    <border>
      <left/>
      <right/>
      <top style="thin">
        <color rgb="FFD5D8DC"/>
      </top>
      <bottom/>
      <diagonal/>
    </border>
    <border>
      <left/>
      <right style="thin">
        <color rgb="FFD5D8DC"/>
      </right>
      <top style="thin">
        <color rgb="FFD5D8DC"/>
      </top>
      <bottom/>
      <diagonal/>
    </border>
    <border>
      <left/>
      <right style="thin">
        <color rgb="FFD5D8DC"/>
      </right>
      <top style="thin">
        <color rgb="FFD5D8DC"/>
      </top>
      <bottom style="thin">
        <color rgb="FFD5D8D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3" fontId="8" fillId="0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wrapText="1"/>
    </xf>
    <xf numFmtId="3" fontId="8" fillId="5" borderId="1" applyAlignment="1" pivotButton="0" quotePrefix="0" xfId="0">
      <alignment horizontal="right" vertical="center"/>
    </xf>
    <xf numFmtId="164" fontId="8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4" fontId="10" fillId="4" borderId="2" applyAlignment="1" pivotButton="0" quotePrefix="0" xfId="0">
      <alignment horizontal="right" vertical="center"/>
    </xf>
    <xf numFmtId="0" fontId="10" fillId="4" borderId="2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6" fillId="0" borderId="0" pivotButton="0" quotePrefix="0" xfId="0"/>
    <xf numFmtId="0" fontId="0" fillId="0" borderId="0" pivotButton="0" quotePrefix="0" xfId="0"/>
    <xf numFmtId="3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0" fillId="0" borderId="5" pivotButton="0" quotePrefix="0" xfId="0"/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ru-RU"/>
              <a:t>Распределение мероприятий БФ «Дети Марии» по основным типам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'Сводка и аналитика'!$B$10</f>
              <strCache>
                <ptCount val="1"/>
                <pt idx="0">
                  <v>Постов (осн. тип)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'Сводка и аналитика'!$A$11:$A$19</f>
              <strCache>
                <ptCount val="9"/>
                <pt idx="0">
                  <v>Творческие мастер-классы и художественные студии</v>
                </pt>
                <pt idx="1">
                  <v>Выездные лагеря, дача и сезонные программы</v>
                </pt>
                <pt idx="2">
                  <v>Ярмарки, фестивали и благотворительные базары</v>
                </pt>
                <pt idx="3">
                  <v>Выставки, экскурсии и культурные выходы</v>
                </pt>
                <pt idx="4">
                  <v>Кулинарные, образовательные и социально-бытовые занятия</v>
                </pt>
                <pt idx="5">
                  <v>Спектакли, концерты и музыкально-театральные занятия</v>
                </pt>
                <pt idx="6">
                  <v>Праздники, дни рождения и клубные встречи</v>
                </pt>
                <pt idx="7">
                  <v>Спортивные и активные мероприятия</v>
                </pt>
                <pt idx="8">
                  <v>Волонтёрские встречи, обучение и дни открытых дверей</v>
                </pt>
              </strCache>
            </strRef>
          </cat>
          <val>
            <numRef>
              <f>'Сводка и аналитика'!$B$11:$B$19</f>
              <numCache>
                <formatCode>#,##0</formatCode>
                <ptCount val="9"/>
                <pt idx="0">
                  <v>810</v>
                </pt>
                <pt idx="1">
                  <v>226</v>
                </pt>
                <pt idx="2">
                  <v>213</v>
                </pt>
                <pt idx="3">
                  <v>162</v>
                </pt>
                <pt idx="4">
                  <v>131</v>
                </pt>
                <pt idx="5">
                  <v>103</v>
                </pt>
                <pt idx="6">
                  <v>55</v>
                </pt>
                <pt idx="7">
                  <v>22</v>
                </pt>
                <pt idx="8">
                  <v>14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ru-RU"/>
                  <a:t>Количество постов о мероприятиях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ru-RU"/>
                  <a:t>Тип мероприятия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46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4"/>
  <sheetViews>
    <sheetView tabSelected="1" topLeftCell="A11" workbookViewId="0">
      <selection activeCell="A1" sqref="A1:F1"/>
    </sheetView>
  </sheetViews>
  <sheetFormatPr baseColWidth="10" defaultColWidth="8.83203125" defaultRowHeight="15"/>
  <cols>
    <col width="44" customWidth="1" style="19" min="1" max="1"/>
    <col width="18" customWidth="1" style="19" min="2" max="3"/>
    <col width="22" customWidth="1" style="19" min="4" max="4"/>
    <col width="52" customWidth="1" style="19" min="5" max="5"/>
    <col width="16" customWidth="1" style="19" min="6" max="6"/>
  </cols>
  <sheetData>
    <row r="1" ht="28" customHeight="1" s="19">
      <c r="A1" s="17" t="inlineStr">
        <is>
          <t>АНАЛИЗ МЕРОПРИЯТИЙ БЛАГОТВОРИТЕЛЬНОГО ФОНДА «ДЕТИ МАРИИ» (2011–2026)</t>
        </is>
      </c>
    </row>
    <row r="2" ht="20" customHeight="1" s="19">
      <c r="A2" s="15" t="inlineStr">
        <is>
          <t>Автоматическая классификация постов ВК: типы мероприятий, целевая аудитория и профиль навыков волонтёров</t>
        </is>
      </c>
    </row>
    <row r="4" ht="18" customHeight="1" s="19">
      <c r="A4" s="14" t="inlineStr">
        <is>
          <t>ВСЕГО ПОСТОВ С ТЕКСТОМ</t>
        </is>
      </c>
      <c r="B4" s="23" t="n"/>
      <c r="C4" s="14" t="inlineStr">
        <is>
          <t>ВЫДЕЛЕНО МЕРОПРИЯТИЙ</t>
        </is>
      </c>
      <c r="D4" s="23" t="n"/>
      <c r="E4" s="14" t="inlineStr">
        <is>
          <t>ДОЛЯ МЕРОПРИЯТИЙ В КОНТЕНТЕ</t>
        </is>
      </c>
      <c r="F4" s="23" t="n"/>
    </row>
    <row r="5" ht="26" customHeight="1" s="19">
      <c r="A5" s="20" t="n">
        <v>3952</v>
      </c>
      <c r="B5" s="23" t="n"/>
      <c r="C5" s="20">
        <f>B20</f>
        <v/>
      </c>
      <c r="D5" s="23" t="n"/>
      <c r="E5" s="22">
        <f>C5/A5</f>
        <v/>
      </c>
      <c r="F5" s="23" t="n"/>
    </row>
    <row r="6" ht="18" customHeight="1" s="19">
      <c r="A6" s="16" t="inlineStr">
        <is>
          <t>Всего строк в выгрузке: 4386</t>
        </is>
      </c>
      <c r="B6" s="23" t="n"/>
      <c r="C6" s="16" t="inlineStr">
        <is>
          <t>Анонсы, отчёты о занятиях, выездах и ярмарках</t>
        </is>
      </c>
      <c r="D6" s="23" t="n"/>
      <c r="E6" s="16" t="inlineStr">
        <is>
          <t>От всех текстовых публикаций сообщества</t>
        </is>
      </c>
      <c r="F6" s="23" t="n"/>
    </row>
    <row r="9" ht="22" customHeight="1" s="19">
      <c r="A9" s="18" t="inlineStr">
        <is>
          <t>1. Распределение мероприятий по типам (основной фокус и все упоминания)</t>
        </is>
      </c>
    </row>
    <row r="10" ht="24" customHeight="1" s="19">
      <c r="A10" s="1" t="inlineStr">
        <is>
          <t>Тип мероприятия</t>
        </is>
      </c>
      <c r="B10" s="1" t="inlineStr">
        <is>
          <t>Постов (осн. тип)</t>
        </is>
      </c>
      <c r="C10" s="1" t="inlineStr">
        <is>
          <t>Доля (осн. тип)</t>
        </is>
      </c>
      <c r="D10" s="1" t="inlineStr">
        <is>
          <t>Всего упоминаний</t>
        </is>
      </c>
      <c r="E10" s="1" t="inlineStr">
        <is>
          <t>Характерные форматы в «Дети Марии»</t>
        </is>
      </c>
      <c r="F10" s="1" t="inlineStr">
        <is>
          <t>Пример поста ВК</t>
        </is>
      </c>
    </row>
    <row r="11" ht="24" customHeight="1" s="19">
      <c r="A11" s="2" t="inlineStr">
        <is>
          <t>Творческие мастер-классы и художественные студии</t>
        </is>
      </c>
      <c r="B11" s="3" t="n">
        <v>810</v>
      </c>
      <c r="C11" s="4">
        <f>B11/$B$20</f>
        <v/>
      </c>
      <c r="D11" s="3" t="n">
        <v>1108</v>
      </c>
      <c r="E11" s="2" t="inlineStr">
        <is>
          <t>Регулярные занятия и мастер-классы: живопись, керамика, валяние из шерсти, мозаика, шитьё, оригами, столярка, анимация</t>
        </is>
      </c>
      <c r="F11" s="5">
        <f>HYPERLINK("https://vk.com/wall-1825701_7506", "Пост #7506")</f>
        <v/>
      </c>
    </row>
    <row r="12" ht="24" customHeight="1" s="19">
      <c r="A12" s="6" t="inlineStr">
        <is>
          <t>Выездные лагеря, дача и сезонные программы</t>
        </is>
      </c>
      <c r="B12" s="7" t="n">
        <v>226</v>
      </c>
      <c r="C12" s="8">
        <f>B12/$B$20</f>
        <v/>
      </c>
      <c r="D12" s="7" t="n">
        <v>320</v>
      </c>
      <c r="E12" s="6" t="inlineStr">
        <is>
          <t>Летние арт-резиденции, лагеря в Сорочанах и Беслане, субботние выезды в загородную мастерскую (Переделкино)</t>
        </is>
      </c>
      <c r="F12" s="9">
        <f>HYPERLINK("https://vk.com/wall-1825701_7494", "Пост #7494")</f>
        <v/>
      </c>
    </row>
    <row r="13" ht="24" customHeight="1" s="19">
      <c r="A13" s="2" t="inlineStr">
        <is>
          <t>Ярмарки, фестивали и благотворительные базары</t>
        </is>
      </c>
      <c r="B13" s="3" t="n">
        <v>213</v>
      </c>
      <c r="C13" s="4">
        <f>B13/$B$20</f>
        <v/>
      </c>
      <c r="D13" s="3" t="n">
        <v>240</v>
      </c>
      <c r="E13" s="2" t="inlineStr">
        <is>
          <t>Благотворительные маркеты («Шерстяной Базар», «Душевный Bazar», «Жить красиво»), аукционы, фестивали</t>
        </is>
      </c>
      <c r="F13" s="5">
        <f>HYPERLINK("https://vk.com/wall-1825701_7507", "Пост #7507")</f>
        <v/>
      </c>
    </row>
    <row r="14" ht="24" customHeight="1" s="19">
      <c r="A14" s="6" t="inlineStr">
        <is>
          <t>Выставки, экскурсии и культурные выходы</t>
        </is>
      </c>
      <c r="B14" s="7" t="n">
        <v>162</v>
      </c>
      <c r="C14" s="8">
        <f>B14/$B$20</f>
        <v/>
      </c>
      <c r="D14" s="7" t="n">
        <v>258</v>
      </c>
      <c r="E14" s="6" t="inlineStr">
        <is>
          <t>Художественные выставки работ подопечных (ГЭС-2, «Тверская 15»), медиаторские туры, экскурсии в музеи</t>
        </is>
      </c>
      <c r="F14" s="9">
        <f>HYPERLINK("https://vk.com/wall-1825701_7513", "Пост #7513")</f>
        <v/>
      </c>
    </row>
    <row r="15" ht="24" customHeight="1" s="19">
      <c r="A15" s="2" t="inlineStr">
        <is>
          <t>Кулинарные, образовательные и социально-бытовые занятия</t>
        </is>
      </c>
      <c r="B15" s="3" t="n">
        <v>131</v>
      </c>
      <c r="C15" s="4">
        <f>B15/$B$20</f>
        <v/>
      </c>
      <c r="D15" s="3" t="n">
        <v>242</v>
      </c>
      <c r="E15" s="2" t="inlineStr">
        <is>
          <t>Кулинарная мастерская, киноклуб, ориентирование в городе, компьютерные и языковые уроки, настольные игры</t>
        </is>
      </c>
      <c r="F15" s="5">
        <f>HYPERLINK("https://vk.com/wall-1825701_7489", "Пост #7489")</f>
        <v/>
      </c>
    </row>
    <row r="16" ht="24" customHeight="1" s="19">
      <c r="A16" s="6" t="inlineStr">
        <is>
          <t>Спектакли, концерты и музыкально-театральные занятия</t>
        </is>
      </c>
      <c r="B16" s="7" t="n">
        <v>103</v>
      </c>
      <c r="C16" s="8">
        <f>B16/$B$20</f>
        <v/>
      </c>
      <c r="D16" s="7" t="n">
        <v>211</v>
      </c>
      <c r="E16" s="6" t="inlineStr">
        <is>
          <t>Постановки театральной студии, музыкальные вечера, занятия на барабанах и гитаре, концерты и клоунские выезды</t>
        </is>
      </c>
      <c r="F16" s="9">
        <f>HYPERLINK("https://vk.com/wall-1825701_7435", "Пост #7435")</f>
        <v/>
      </c>
    </row>
    <row r="17" ht="24" customHeight="1" s="19">
      <c r="A17" s="2" t="inlineStr">
        <is>
          <t>Праздники, дни рождения и клубные встречи</t>
        </is>
      </c>
      <c r="B17" s="3" t="n">
        <v>55</v>
      </c>
      <c r="C17" s="4">
        <f>B17/$B$20</f>
        <v/>
      </c>
      <c r="D17" s="3" t="n">
        <v>137</v>
      </c>
      <c r="E17" s="2" t="inlineStr">
        <is>
          <t>Сезонные праздники (Масленица, Новый год, Рождество), дни рождения фонда и участников, субботние салоны и пикники</t>
        </is>
      </c>
      <c r="F17" s="5">
        <f>HYPERLINK("https://vk.com/wall-1825701_7366", "Пост #7366")</f>
        <v/>
      </c>
    </row>
    <row r="18" ht="24" customHeight="1" s="19">
      <c r="A18" s="6" t="inlineStr">
        <is>
          <t>Спортивные и активные мероприятия</t>
        </is>
      </c>
      <c r="B18" s="7" t="n">
        <v>22</v>
      </c>
      <c r="C18" s="8">
        <f>B18/$B$20</f>
        <v/>
      </c>
      <c r="D18" s="7" t="n">
        <v>82</v>
      </c>
      <c r="E18" s="6" t="inlineStr">
        <is>
          <t>Благотворительные забеги, футбольные тренировки и турниры, танцы, каток, конный спорт и активный отдых</t>
        </is>
      </c>
      <c r="F18" s="9">
        <f>HYPERLINK("https://vk.com/wall-1825701_6569", "Пост #6569")</f>
        <v/>
      </c>
    </row>
    <row r="19" ht="24" customHeight="1" s="19">
      <c r="A19" s="2" t="inlineStr">
        <is>
          <t>Волонтёрские встречи, обучение и дни открытых дверей</t>
        </is>
      </c>
      <c r="B19" s="3" t="n">
        <v>14</v>
      </c>
      <c r="C19" s="4">
        <f>B19/$B$20</f>
        <v/>
      </c>
      <c r="D19" s="3" t="n">
        <v>16</v>
      </c>
      <c r="E19" s="2" t="inlineStr">
        <is>
          <t>Школа волонтёров, дни открытых дверей в студии, вводные встречи, супервизии для ведущих и субботники</t>
        </is>
      </c>
      <c r="F19" s="5">
        <f>HYPERLINK("https://vk.com/wall-1825701_7496", "Пост #7496")</f>
        <v/>
      </c>
    </row>
    <row r="20" ht="22" customHeight="1" s="19">
      <c r="A20" s="10" t="inlineStr">
        <is>
          <t>ИТОГО МЕРОПРИЯТИЙ</t>
        </is>
      </c>
      <c r="B20" s="11">
        <f>SUM(B11:B19)</f>
        <v/>
      </c>
      <c r="C20" s="12">
        <f>SUM(C11:C19)</f>
        <v/>
      </c>
      <c r="D20" s="11">
        <f>SUM(D11:D19)</f>
        <v/>
      </c>
      <c r="E20" s="10" t="inlineStr">
        <is>
          <t>Сумма по всем категориям (в 1 посте может быть &gt;1 категории)</t>
        </is>
      </c>
      <c r="F20" s="13" t="inlineStr">
        <is>
          <t>—</t>
        </is>
      </c>
    </row>
    <row r="23" ht="22" customHeight="1" s="19">
      <c r="A23" s="18" t="inlineStr">
        <is>
          <t>2. Целевая аудитория мероприятий (охват по категориям благополучателей и участников)</t>
        </is>
      </c>
    </row>
    <row r="24" ht="24" customHeight="1" s="19">
      <c r="A24" s="1" t="inlineStr">
        <is>
          <t>Группа целевой аудитории</t>
        </is>
      </c>
      <c r="B24" s="1" t="inlineStr">
        <is>
          <t>Кол-во постов</t>
        </is>
      </c>
      <c r="C24" s="1" t="inlineStr">
        <is>
          <t>% от мероприятий</t>
        </is>
      </c>
      <c r="D24" s="1" t="inlineStr">
        <is>
          <t>Доля от всех упоминаний ЦА</t>
        </is>
      </c>
      <c r="E24" s="1" t="inlineStr">
        <is>
          <t>Ключевые упоминаемые учреждения и группы в постах</t>
        </is>
      </c>
      <c r="F24" s="1" t="inlineStr">
        <is>
          <t>Пример поста ВК</t>
        </is>
      </c>
    </row>
    <row r="25" ht="24" customHeight="1" s="19">
      <c r="A25" s="2" t="inlineStr">
        <is>
          <t>Подопечные фонда «Дети Марии» (общая группа детей и подростков)</t>
        </is>
      </c>
      <c r="B25" s="3" t="n">
        <v>873</v>
      </c>
      <c r="C25" s="4">
        <f>B25/$B$20</f>
        <v/>
      </c>
      <c r="D25" s="4">
        <f>B25/$B$32</f>
        <v/>
      </c>
      <c r="E25" s="2" t="inlineStr">
        <is>
          <t>Регулярные участники студийных занятий в Москве без указания конкретного номера интерната в тексте</t>
        </is>
      </c>
      <c r="F25" s="5">
        <f>HYPERLINK("https://vk.com/wall-1825701_7507", "Пост #7507")</f>
        <v/>
      </c>
    </row>
    <row r="26" ht="24" customHeight="1" s="19">
      <c r="A26" s="6" t="inlineStr">
        <is>
          <t>Подростки и взрослые с ментальными особенностями и ОВЗ (ПНИ / Социальные дома)</t>
        </is>
      </c>
      <c r="B26" s="7" t="n">
        <v>421</v>
      </c>
      <c r="C26" s="8">
        <f>B26/$B$20</f>
        <v/>
      </c>
      <c r="D26" s="8">
        <f>B26/$B$32</f>
        <v/>
      </c>
      <c r="E26" s="6" t="inlineStr">
        <is>
          <t>Жители ПНИ №16, №11, №20, №30, социальных домов «Филимонки», «Нагатино-Садовники», «Обручевский», люди с ОВЗ</t>
        </is>
      </c>
      <c r="F26" s="9">
        <f>HYPERLINK("https://vk.com/wall-1825701_7495", "Пост #7495")</f>
        <v/>
      </c>
    </row>
    <row r="27" ht="24" customHeight="1" s="19">
      <c r="A27" s="2" t="inlineStr">
        <is>
          <t>Воспитанники ЦССВ, ДДИ и детских домов-интернатов</t>
        </is>
      </c>
      <c r="B27" s="3" t="n">
        <v>322</v>
      </c>
      <c r="C27" s="4">
        <f>B27/$B$20</f>
        <v/>
      </c>
      <c r="D27" s="4">
        <f>B27/$B$32</f>
        <v/>
      </c>
      <c r="E27" s="2" t="inlineStr">
        <is>
          <t>Дети и подростки с опытом сиротства из ЦССВ «Юнона», «Спутник», «Радуга», «Сколковский», «Никулино», ДДИ №7, интерната №31</t>
        </is>
      </c>
      <c r="F27" s="5">
        <f>HYPERLINK("https://vk.com/wall-1825701_7506", "Пост #7506")</f>
        <v/>
      </c>
    </row>
    <row r="28" ht="24" customHeight="1" s="19">
      <c r="A28" s="6" t="inlineStr">
        <is>
          <t>Широкая аудитория, гости и благотворители (открытые события)</t>
        </is>
      </c>
      <c r="B28" s="7" t="n">
        <v>166</v>
      </c>
      <c r="C28" s="8">
        <f>B28/$B$20</f>
        <v/>
      </c>
      <c r="D28" s="8">
        <f>B28/$B$32</f>
        <v/>
      </c>
      <c r="E28" s="6" t="inlineStr">
        <is>
          <t>Гости благотворительных ярмарок, выставок, открытых мастер-классов и спектаклей, сторонники и доноры фонда</t>
        </is>
      </c>
      <c r="F28" s="9">
        <f>HYPERLINK("https://vk.com/wall-1825701_7513", "Пост #7513")</f>
        <v/>
      </c>
    </row>
    <row r="29" ht="24" customHeight="1" s="19">
      <c r="A29" s="2" t="inlineStr">
        <is>
          <t>Выпускники интернатов и детских домов (молодые взрослые)</t>
        </is>
      </c>
      <c r="B29" s="3" t="n">
        <v>129</v>
      </c>
      <c r="C29" s="4">
        <f>B29/$B$20</f>
        <v/>
      </c>
      <c r="D29" s="4">
        <f>B29/$B$32</f>
        <v/>
      </c>
      <c r="E29" s="2" t="inlineStr">
        <is>
          <t>Выпускники детских домов и ЦССВ, участники программы сопровождения и проекта «Тренировочная квартира»</t>
        </is>
      </c>
      <c r="F29" s="5">
        <f>HYPERLINK("https://vk.com/wall-1825701_7476", "Пост #7476")</f>
        <v/>
      </c>
    </row>
    <row r="30" ht="24" customHeight="1" s="19">
      <c r="A30" s="6" t="inlineStr">
        <is>
          <t>Дети и семьи (в т.ч. приёмные семьи и программа в Беслане)</t>
        </is>
      </c>
      <c r="B30" s="7" t="n">
        <v>66</v>
      </c>
      <c r="C30" s="8">
        <f>B30/$B$20</f>
        <v/>
      </c>
      <c r="D30" s="8">
        <f>B30/$B$32</f>
        <v/>
      </c>
      <c r="E30" s="6" t="inlineStr">
        <is>
          <t>Дети и школьники Беслана (выездные смены), приёмные, опекунские и кризисные семьи с детьми</t>
        </is>
      </c>
      <c r="F30" s="9">
        <f>HYPERLINK("https://vk.com/wall-1825701_7472", "Пост #7472")</f>
        <v/>
      </c>
    </row>
    <row r="31" ht="24" customHeight="1" s="19">
      <c r="A31" s="2" t="inlineStr">
        <is>
          <t>Волонтёры, тьюторы и команда НКО</t>
        </is>
      </c>
      <c r="B31" s="3" t="n">
        <v>3</v>
      </c>
      <c r="C31" s="4">
        <f>B31/$B$20</f>
        <v/>
      </c>
      <c r="D31" s="4">
        <f>B31/$B$32</f>
        <v/>
      </c>
      <c r="E31" s="2" t="inlineStr">
        <is>
          <t>Новые и действующие волонтёры, ведущие творческих мастерских, тьюторы и кураторы программ</t>
        </is>
      </c>
      <c r="F31" s="5">
        <f>HYPERLINK("https://vk.com/wall-1825701_7496", "Пост #7496")</f>
        <v/>
      </c>
    </row>
    <row r="32" ht="22" customHeight="1" s="19">
      <c r="A32" s="10" t="inlineStr">
        <is>
          <t>ВСЕГО УПОМИНАНИЙ АУДИТОРИЙ</t>
        </is>
      </c>
      <c r="B32" s="11">
        <f>SUM(B25:B31)</f>
        <v/>
      </c>
      <c r="C32" s="12">
        <f>B32/$B$20</f>
        <v/>
      </c>
      <c r="D32" s="12">
        <f>SUM(D25:D31)</f>
        <v/>
      </c>
      <c r="E32" s="10" t="inlineStr">
        <is>
          <t>Инклюзивные события часто объединяют сразу несколько групп ЦА</t>
        </is>
      </c>
      <c r="F32" s="13" t="inlineStr">
        <is>
          <t>—</t>
        </is>
      </c>
    </row>
    <row r="35" ht="22" customHeight="1" s="19">
      <c r="A35" s="18" t="inlineStr">
        <is>
          <t>3. Востребованные навыки и компетенции волонтёров на мероприятиях</t>
        </is>
      </c>
    </row>
    <row r="36" ht="24" customHeight="1" s="19">
      <c r="A36" s="1" t="inlineStr">
        <is>
          <t>Категория навыков волонтёров</t>
        </is>
      </c>
      <c r="B36" s="1" t="inlineStr">
        <is>
          <t>Кол-во мероприятий</t>
        </is>
      </c>
      <c r="C36" s="1" t="inlineStr">
        <is>
          <t>% от мероприятий</t>
        </is>
      </c>
      <c r="D36" s="1" t="inlineStr">
        <is>
          <t>Доля в профиле навыков</t>
        </is>
      </c>
      <c r="E36" s="1" t="inlineStr">
        <is>
          <t>Конкретные умения и задачи волонтёров</t>
        </is>
      </c>
      <c r="F36" s="1" t="inlineStr">
        <is>
          <t>Пример поста ВК</t>
        </is>
      </c>
    </row>
    <row r="37" ht="24" customHeight="1" s="19">
      <c r="A37" s="2" t="inlineStr">
        <is>
          <t>Художественно-прикладные и ремесленные навыки</t>
        </is>
      </c>
      <c r="B37" s="3" t="n">
        <v>816</v>
      </c>
      <c r="C37" s="4">
        <f>B37/$B$20</f>
        <v/>
      </c>
      <c r="D37" s="4">
        <f>B37/$B$44</f>
        <v/>
      </c>
      <c r="E37" s="2" t="inlineStr">
        <is>
          <t>Живопись и рисунок, керамика и работа с глиной, сухое и мокрое валяние из шерсти, шитьё, мозаика, оригами, столярное дело</t>
        </is>
      </c>
      <c r="F37" s="5">
        <f>HYPERLINK("https://vk.com/wall-1825701_7507", "Пост #7507")</f>
        <v/>
      </c>
    </row>
    <row r="38" ht="24" customHeight="1" s="19">
      <c r="A38" s="6" t="inlineStr">
        <is>
          <t>Коммуникативные навыки, эмпатия и тьюторское сопровождение</t>
        </is>
      </c>
      <c r="B38" s="7" t="n">
        <v>658</v>
      </c>
      <c r="C38" s="8">
        <f>B38/$B$20</f>
        <v/>
      </c>
      <c r="D38" s="8">
        <f>B38/$B$44</f>
        <v/>
      </c>
      <c r="E38" s="6" t="inlineStr">
        <is>
          <t>Бережное общение, эмоциональная поддержка, индивидуальное тьюторство для людей с ОВЗ и опытом сиротства, фасилитация</t>
        </is>
      </c>
      <c r="F38" s="9">
        <f>HYPERLINK("https://vk.com/wall-1825701_7506", "Пост #7506")</f>
        <v/>
      </c>
    </row>
    <row r="39" ht="24" customHeight="1" s="19">
      <c r="A39" s="2" t="inlineStr">
        <is>
          <t>Артистические, музыкальные и спортивно-игровые навыки</t>
        </is>
      </c>
      <c r="B39" s="3" t="n">
        <v>555</v>
      </c>
      <c r="C39" s="4">
        <f>B39/$B$20</f>
        <v/>
      </c>
      <c r="D39" s="4">
        <f>B39/$B$44</f>
        <v/>
      </c>
      <c r="E39" s="2" t="inlineStr">
        <is>
          <t>Игра на музыкальных инструментах (гитара, барабаны), актёрское мастерство, проведение игр, викторин, танцев и спорттренировок</t>
        </is>
      </c>
      <c r="F39" s="5">
        <f>HYPERLINK("https://vk.com/wall-1825701_7506", "Пост #7506")</f>
        <v/>
      </c>
    </row>
    <row r="40" ht="24" customHeight="1" s="19">
      <c r="A40" s="6" t="inlineStr">
        <is>
          <t>Педагогические и наставнические навыки (кулинария, быт, учёба)</t>
        </is>
      </c>
      <c r="B40" s="7" t="n">
        <v>479</v>
      </c>
      <c r="C40" s="8">
        <f>B40/$B$20</f>
        <v/>
      </c>
      <c r="D40" s="8">
        <f>B40/$B$44</f>
        <v/>
      </c>
      <c r="E40" s="6" t="inlineStr">
        <is>
          <t>Обучение кулинарии, финансовой и бытовой грамотности, ориентированию в городе, английскому языку, работе с ПК и подготовке к школе</t>
        </is>
      </c>
      <c r="F40" s="9">
        <f>HYPERLINK("https://vk.com/wall-1825701_7506", "Пост #7506")</f>
        <v/>
      </c>
    </row>
    <row r="41" ht="24" customHeight="1" s="19">
      <c r="A41" s="2" t="inlineStr">
        <is>
          <t>Организационные, ивент- и ярмарочные навыки</t>
        </is>
      </c>
      <c r="B41" s="3" t="n">
        <v>477</v>
      </c>
      <c r="C41" s="4">
        <f>B41/$B$20</f>
        <v/>
      </c>
      <c r="D41" s="4">
        <f>B41/$B$44</f>
        <v/>
      </c>
      <c r="E41" s="2" t="inlineStr">
        <is>
          <t>Работа за стендом на благотворительных базарах, презентация сувениров, организация чаепитий, праздников, логистика и субботники</t>
        </is>
      </c>
      <c r="F41" s="5">
        <f>HYPERLINK("https://vk.com/wall-1825701_7507", "Пост #7507")</f>
        <v/>
      </c>
    </row>
    <row r="42" ht="24" customHeight="1" s="19">
      <c r="A42" s="6" t="inlineStr">
        <is>
          <t>Мобильность, выездное сопровождение и автоволонтёрство</t>
        </is>
      </c>
      <c r="B42" s="7" t="n">
        <v>417</v>
      </c>
      <c r="C42" s="8">
        <f>B42/$B$20</f>
        <v/>
      </c>
      <c r="D42" s="8">
        <f>B42/$B$44</f>
        <v/>
      </c>
      <c r="E42" s="6" t="inlineStr">
        <is>
          <t>Сопровождение в выездных лагерях, походах и музеях, физическая помощь маломобильным участникам на колясках, автоволонтёрство</t>
        </is>
      </c>
      <c r="F42" s="9">
        <f>HYPERLINK("https://vk.com/wall-1825701_7513", "Пост #7513")</f>
        <v/>
      </c>
    </row>
    <row r="43" ht="24" customHeight="1" s="19">
      <c r="A43" s="2" t="inlineStr">
        <is>
          <t>Медиа, фото/видеосъёмка и культурная медиация</t>
        </is>
      </c>
      <c r="B43" s="3" t="n">
        <v>124</v>
      </c>
      <c r="C43" s="4">
        <f>B43/$B$20</f>
        <v/>
      </c>
      <c r="D43" s="4">
        <f>B43/$B$44</f>
        <v/>
      </c>
      <c r="E43" s="2" t="inlineStr">
        <is>
          <t>Репортажная фото- и видеосъёмка мероприятий, проведение медиаторских туров и экскурсий по выставкам, монтаж и дизайн</t>
        </is>
      </c>
      <c r="F43" s="5">
        <f>HYPERLINK("https://vk.com/wall-1825701_7504", "Пост #7504")</f>
        <v/>
      </c>
    </row>
    <row r="44" ht="22" customHeight="1" s="19">
      <c r="A44" s="10" t="inlineStr">
        <is>
          <t>ВСЕГО УПОМИНАНИЙ НАВЫКОВ</t>
        </is>
      </c>
      <c r="B44" s="11">
        <f>SUM(B37:B43)</f>
        <v/>
      </c>
      <c r="C44" s="12">
        <f>B44/$B$20</f>
        <v/>
      </c>
      <c r="D44" s="12">
        <f>SUM(D37:D43)</f>
        <v/>
      </c>
      <c r="E44" s="10" t="inlineStr">
        <is>
          <t>В каждом мероприятии обычно задействовано от 2 до 4 групп навыков</t>
        </is>
      </c>
      <c r="F44" s="13" t="inlineStr">
        <is>
          <t>—</t>
        </is>
      </c>
    </row>
  </sheetData>
  <mergeCells count="14">
    <mergeCell ref="A4:B4"/>
    <mergeCell ref="A2:F2"/>
    <mergeCell ref="E4:F4"/>
    <mergeCell ref="E6:F6"/>
    <mergeCell ref="C6:D6"/>
    <mergeCell ref="A1:F1"/>
    <mergeCell ref="A23:F23"/>
    <mergeCell ref="C5:D5"/>
    <mergeCell ref="A5:B5"/>
    <mergeCell ref="A9:F9"/>
    <mergeCell ref="E5:F5"/>
    <mergeCell ref="A35:F35"/>
    <mergeCell ref="A6:B6"/>
    <mergeCell ref="C4:D4"/>
  </mergeCells>
  <pageMargins left="0.75" right="0.75" top="1" bottom="1" header="0.5" footer="0.5"/>
  <pageSetup orientation="landscape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2026-10-21T14:27:48Z</dcterms:created>
  <dcterms:modified xmlns:dcterms="http://purl.org/dc/terms/" xmlns:xsi="http://www.w3.org/2001/XMLSchema-instance" xsi:type="dcterms:W3CDTF">2026-10-21T14:54:52Z</dcterms:modified>
  <cp:lastModifiedBy>k27178</cp:lastModifiedBy>
</cp:coreProperties>
</file>